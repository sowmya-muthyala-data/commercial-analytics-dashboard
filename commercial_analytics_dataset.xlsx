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1139DD8-AC33-4AC5-BBBB-D77E5C68A933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Pivot_Engine" sheetId="3" r:id="rId1"/>
    <sheet name="Sheet1" sheetId="4" r:id="rId2"/>
    <sheet name="salesdaily" sheetId="1" r:id="rId3"/>
  </sheets>
  <definedNames>
    <definedName name="_xlnm._FilterDatabase" localSheetId="2" hidden="1">salesdaily!$A$1:$L$1</definedName>
  </definedNames>
  <calcPr calcId="191029"/>
  <pivotCaches>
    <pivotCache cacheId="1" r:id="rId4"/>
  </pivotCaches>
</workbook>
</file>

<file path=xl/calcChain.xml><?xml version="1.0" encoding="utf-8"?>
<calcChain xmlns="http://schemas.openxmlformats.org/spreadsheetml/2006/main">
  <c r="M2" i="1" l="1"/>
  <c r="N2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O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O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O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O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O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O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1002" i="1"/>
  <c r="N1002" i="1" s="1"/>
  <c r="M1003" i="1"/>
  <c r="N1003" i="1" s="1"/>
  <c r="M1004" i="1"/>
  <c r="N1004" i="1" s="1"/>
  <c r="M1005" i="1"/>
  <c r="N1005" i="1" s="1"/>
  <c r="M1006" i="1"/>
  <c r="N1006" i="1" s="1"/>
  <c r="M1007" i="1"/>
  <c r="N1007" i="1" s="1"/>
  <c r="M1008" i="1"/>
  <c r="N1008" i="1" s="1"/>
  <c r="M1009" i="1"/>
  <c r="N1009" i="1" s="1"/>
  <c r="M1010" i="1"/>
  <c r="N1010" i="1" s="1"/>
  <c r="M1011" i="1"/>
  <c r="N1011" i="1" s="1"/>
  <c r="M1012" i="1"/>
  <c r="N1012" i="1" s="1"/>
  <c r="O1012" i="1" s="1"/>
  <c r="M1013" i="1"/>
  <c r="N1013" i="1" s="1"/>
  <c r="M1014" i="1"/>
  <c r="N1014" i="1" s="1"/>
  <c r="M1015" i="1"/>
  <c r="N1015" i="1" s="1"/>
  <c r="M1016" i="1"/>
  <c r="N1016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1" i="1"/>
  <c r="N1051" i="1" s="1"/>
  <c r="M1052" i="1"/>
  <c r="N1052" i="1" s="1"/>
  <c r="M1053" i="1"/>
  <c r="N1053" i="1" s="1"/>
  <c r="M1054" i="1"/>
  <c r="N1054" i="1" s="1"/>
  <c r="M1055" i="1"/>
  <c r="N1055" i="1" s="1"/>
  <c r="M1056" i="1"/>
  <c r="N1056" i="1" s="1"/>
  <c r="M1057" i="1"/>
  <c r="N1057" i="1" s="1"/>
  <c r="M1058" i="1"/>
  <c r="N1058" i="1" s="1"/>
  <c r="M1059" i="1"/>
  <c r="N1059" i="1" s="1"/>
  <c r="M1060" i="1"/>
  <c r="N1060" i="1" s="1"/>
  <c r="M1061" i="1"/>
  <c r="N1061" i="1" s="1"/>
  <c r="M1062" i="1"/>
  <c r="N1062" i="1" s="1"/>
  <c r="M1063" i="1"/>
  <c r="N1063" i="1" s="1"/>
  <c r="M1064" i="1"/>
  <c r="N1064" i="1" s="1"/>
  <c r="M1065" i="1"/>
  <c r="N1065" i="1" s="1"/>
  <c r="M1066" i="1"/>
  <c r="N1066" i="1" s="1"/>
  <c r="M1067" i="1"/>
  <c r="N1067" i="1" s="1"/>
  <c r="M1068" i="1"/>
  <c r="N1068" i="1" s="1"/>
  <c r="M1069" i="1"/>
  <c r="N1069" i="1" s="1"/>
  <c r="M1070" i="1"/>
  <c r="N1070" i="1" s="1"/>
  <c r="M1071" i="1"/>
  <c r="N1071" i="1" s="1"/>
  <c r="M1072" i="1"/>
  <c r="N1072" i="1" s="1"/>
  <c r="M1073" i="1"/>
  <c r="N1073" i="1" s="1"/>
  <c r="M1074" i="1"/>
  <c r="N1074" i="1" s="1"/>
  <c r="M1075" i="1"/>
  <c r="N1075" i="1" s="1"/>
  <c r="M1076" i="1"/>
  <c r="N1076" i="1" s="1"/>
  <c r="O1076" i="1" s="1"/>
  <c r="M1077" i="1"/>
  <c r="N1077" i="1" s="1"/>
  <c r="M1078" i="1"/>
  <c r="N1078" i="1" s="1"/>
  <c r="M1079" i="1"/>
  <c r="N1079" i="1" s="1"/>
  <c r="M1080" i="1"/>
  <c r="N1080" i="1" s="1"/>
  <c r="M1081" i="1"/>
  <c r="N1081" i="1" s="1"/>
  <c r="M1082" i="1"/>
  <c r="N1082" i="1" s="1"/>
  <c r="M1083" i="1"/>
  <c r="N1083" i="1" s="1"/>
  <c r="M1084" i="1"/>
  <c r="N1084" i="1" s="1"/>
  <c r="M1085" i="1"/>
  <c r="N1085" i="1" s="1"/>
  <c r="M1086" i="1"/>
  <c r="N1086" i="1" s="1"/>
  <c r="M1087" i="1"/>
  <c r="N1087" i="1" s="1"/>
  <c r="M1088" i="1"/>
  <c r="N1088" i="1" s="1"/>
  <c r="M1089" i="1"/>
  <c r="N1089" i="1" s="1"/>
  <c r="M1090" i="1"/>
  <c r="N1090" i="1" s="1"/>
  <c r="M1091" i="1"/>
  <c r="N1091" i="1" s="1"/>
  <c r="M1092" i="1"/>
  <c r="N1092" i="1" s="1"/>
  <c r="M1093" i="1"/>
  <c r="N1093" i="1" s="1"/>
  <c r="M1094" i="1"/>
  <c r="N1094" i="1" s="1"/>
  <c r="M1095" i="1"/>
  <c r="N1095" i="1" s="1"/>
  <c r="M1096" i="1"/>
  <c r="N1096" i="1" s="1"/>
  <c r="M1097" i="1"/>
  <c r="N1097" i="1" s="1"/>
  <c r="M1098" i="1"/>
  <c r="N1098" i="1" s="1"/>
  <c r="M1099" i="1"/>
  <c r="N1099" i="1" s="1"/>
  <c r="M1100" i="1"/>
  <c r="N1100" i="1" s="1"/>
  <c r="M1101" i="1"/>
  <c r="N1101" i="1" s="1"/>
  <c r="M1102" i="1"/>
  <c r="N1102" i="1" s="1"/>
  <c r="M1103" i="1"/>
  <c r="N1103" i="1" s="1"/>
  <c r="M1104" i="1"/>
  <c r="N1104" i="1" s="1"/>
  <c r="M1105" i="1"/>
  <c r="N1105" i="1" s="1"/>
  <c r="M1106" i="1"/>
  <c r="N1106" i="1" s="1"/>
  <c r="M1107" i="1"/>
  <c r="N1107" i="1" s="1"/>
  <c r="M1108" i="1"/>
  <c r="N1108" i="1" s="1"/>
  <c r="M1109" i="1"/>
  <c r="N1109" i="1" s="1"/>
  <c r="M1110" i="1"/>
  <c r="N1110" i="1" s="1"/>
  <c r="M1111" i="1"/>
  <c r="N1111" i="1" s="1"/>
  <c r="M1112" i="1"/>
  <c r="N1112" i="1" s="1"/>
  <c r="M1113" i="1"/>
  <c r="N1113" i="1" s="1"/>
  <c r="M1114" i="1"/>
  <c r="N1114" i="1" s="1"/>
  <c r="M1115" i="1"/>
  <c r="N1115" i="1" s="1"/>
  <c r="M1116" i="1"/>
  <c r="N1116" i="1" s="1"/>
  <c r="M1117" i="1"/>
  <c r="N1117" i="1" s="1"/>
  <c r="M1118" i="1"/>
  <c r="N1118" i="1" s="1"/>
  <c r="M1119" i="1"/>
  <c r="N1119" i="1" s="1"/>
  <c r="M1120" i="1"/>
  <c r="N1120" i="1" s="1"/>
  <c r="M1121" i="1"/>
  <c r="N1121" i="1" s="1"/>
  <c r="M1122" i="1"/>
  <c r="N1122" i="1" s="1"/>
  <c r="M1123" i="1"/>
  <c r="N1123" i="1" s="1"/>
  <c r="M1124" i="1"/>
  <c r="N1124" i="1" s="1"/>
  <c r="M1125" i="1"/>
  <c r="N1125" i="1" s="1"/>
  <c r="M1126" i="1"/>
  <c r="N1126" i="1" s="1"/>
  <c r="M1127" i="1"/>
  <c r="N1127" i="1" s="1"/>
  <c r="M1128" i="1"/>
  <c r="N1128" i="1" s="1"/>
  <c r="M1129" i="1"/>
  <c r="N1129" i="1" s="1"/>
  <c r="M1130" i="1"/>
  <c r="N1130" i="1" s="1"/>
  <c r="M1131" i="1"/>
  <c r="N1131" i="1" s="1"/>
  <c r="M1132" i="1"/>
  <c r="N1132" i="1" s="1"/>
  <c r="M1133" i="1"/>
  <c r="N1133" i="1" s="1"/>
  <c r="M1134" i="1"/>
  <c r="N1134" i="1" s="1"/>
  <c r="M1135" i="1"/>
  <c r="N1135" i="1" s="1"/>
  <c r="M1136" i="1"/>
  <c r="N1136" i="1" s="1"/>
  <c r="M1137" i="1"/>
  <c r="N1137" i="1" s="1"/>
  <c r="M1138" i="1"/>
  <c r="N1138" i="1" s="1"/>
  <c r="M1139" i="1"/>
  <c r="N1139" i="1" s="1"/>
  <c r="M1140" i="1"/>
  <c r="N1140" i="1" s="1"/>
  <c r="O1140" i="1" s="1"/>
  <c r="M1141" i="1"/>
  <c r="N1141" i="1" s="1"/>
  <c r="M1142" i="1"/>
  <c r="N1142" i="1" s="1"/>
  <c r="M1143" i="1"/>
  <c r="N1143" i="1" s="1"/>
  <c r="M1144" i="1"/>
  <c r="N1144" i="1" s="1"/>
  <c r="M1145" i="1"/>
  <c r="N1145" i="1" s="1"/>
  <c r="M1146" i="1"/>
  <c r="N1146" i="1" s="1"/>
  <c r="M1147" i="1"/>
  <c r="N1147" i="1" s="1"/>
  <c r="M1148" i="1"/>
  <c r="N1148" i="1" s="1"/>
  <c r="M1149" i="1"/>
  <c r="N1149" i="1" s="1"/>
  <c r="M1150" i="1"/>
  <c r="N1150" i="1" s="1"/>
  <c r="M1151" i="1"/>
  <c r="N1151" i="1" s="1"/>
  <c r="M1152" i="1"/>
  <c r="N1152" i="1" s="1"/>
  <c r="M1153" i="1"/>
  <c r="N1153" i="1" s="1"/>
  <c r="M1154" i="1"/>
  <c r="N1154" i="1" s="1"/>
  <c r="M1155" i="1"/>
  <c r="N1155" i="1" s="1"/>
  <c r="M1156" i="1"/>
  <c r="N1156" i="1" s="1"/>
  <c r="M1157" i="1"/>
  <c r="N1157" i="1" s="1"/>
  <c r="M1158" i="1"/>
  <c r="N1158" i="1" s="1"/>
  <c r="M1159" i="1"/>
  <c r="N1159" i="1" s="1"/>
  <c r="M1160" i="1"/>
  <c r="N1160" i="1" s="1"/>
  <c r="M1161" i="1"/>
  <c r="N1161" i="1" s="1"/>
  <c r="M1162" i="1"/>
  <c r="N1162" i="1" s="1"/>
  <c r="M1163" i="1"/>
  <c r="N1163" i="1" s="1"/>
  <c r="M1164" i="1"/>
  <c r="N1164" i="1" s="1"/>
  <c r="M1165" i="1"/>
  <c r="N1165" i="1" s="1"/>
  <c r="M1166" i="1"/>
  <c r="N1166" i="1" s="1"/>
  <c r="M1167" i="1"/>
  <c r="N1167" i="1" s="1"/>
  <c r="M1168" i="1"/>
  <c r="N1168" i="1" s="1"/>
  <c r="M1169" i="1"/>
  <c r="N1169" i="1" s="1"/>
  <c r="M1170" i="1"/>
  <c r="N1170" i="1" s="1"/>
  <c r="M1171" i="1"/>
  <c r="N1171" i="1" s="1"/>
  <c r="M1172" i="1"/>
  <c r="N1172" i="1" s="1"/>
  <c r="M1173" i="1"/>
  <c r="N1173" i="1" s="1"/>
  <c r="M1174" i="1"/>
  <c r="N1174" i="1" s="1"/>
  <c r="M1175" i="1"/>
  <c r="N1175" i="1" s="1"/>
  <c r="M1176" i="1"/>
  <c r="N1176" i="1" s="1"/>
  <c r="M1177" i="1"/>
  <c r="N1177" i="1" s="1"/>
  <c r="M1178" i="1"/>
  <c r="N1178" i="1" s="1"/>
  <c r="M1179" i="1"/>
  <c r="N1179" i="1" s="1"/>
  <c r="M1180" i="1"/>
  <c r="N1180" i="1" s="1"/>
  <c r="M1181" i="1"/>
  <c r="N1181" i="1" s="1"/>
  <c r="M1182" i="1"/>
  <c r="N1182" i="1" s="1"/>
  <c r="M1183" i="1"/>
  <c r="N1183" i="1" s="1"/>
  <c r="M1184" i="1"/>
  <c r="N1184" i="1" s="1"/>
  <c r="M1185" i="1"/>
  <c r="N1185" i="1" s="1"/>
  <c r="M1186" i="1"/>
  <c r="N1186" i="1" s="1"/>
  <c r="M1187" i="1"/>
  <c r="N1187" i="1" s="1"/>
  <c r="M1188" i="1"/>
  <c r="N1188" i="1" s="1"/>
  <c r="M1189" i="1"/>
  <c r="N1189" i="1" s="1"/>
  <c r="M1190" i="1"/>
  <c r="N1190" i="1" s="1"/>
  <c r="M1191" i="1"/>
  <c r="N1191" i="1" s="1"/>
  <c r="M1192" i="1"/>
  <c r="N1192" i="1" s="1"/>
  <c r="M1193" i="1"/>
  <c r="N1193" i="1" s="1"/>
  <c r="M1194" i="1"/>
  <c r="N1194" i="1" s="1"/>
  <c r="M1195" i="1"/>
  <c r="N1195" i="1" s="1"/>
  <c r="M1196" i="1"/>
  <c r="N1196" i="1" s="1"/>
  <c r="M1197" i="1"/>
  <c r="N1197" i="1" s="1"/>
  <c r="M1198" i="1"/>
  <c r="N1198" i="1" s="1"/>
  <c r="M1199" i="1"/>
  <c r="N1199" i="1" s="1"/>
  <c r="M1200" i="1"/>
  <c r="N1200" i="1" s="1"/>
  <c r="O1200" i="1" s="1"/>
  <c r="M1201" i="1"/>
  <c r="N1201" i="1" s="1"/>
  <c r="M1202" i="1"/>
  <c r="N1202" i="1" s="1"/>
  <c r="M1203" i="1"/>
  <c r="N1203" i="1" s="1"/>
  <c r="M1204" i="1"/>
  <c r="N1204" i="1" s="1"/>
  <c r="M1205" i="1"/>
  <c r="N1205" i="1" s="1"/>
  <c r="M1206" i="1"/>
  <c r="N1206" i="1" s="1"/>
  <c r="M1207" i="1"/>
  <c r="N1207" i="1" s="1"/>
  <c r="M1208" i="1"/>
  <c r="N1208" i="1" s="1"/>
  <c r="M1209" i="1"/>
  <c r="N1209" i="1" s="1"/>
  <c r="M1210" i="1"/>
  <c r="N1210" i="1" s="1"/>
  <c r="M1211" i="1"/>
  <c r="N1211" i="1" s="1"/>
  <c r="M1212" i="1"/>
  <c r="N1212" i="1" s="1"/>
  <c r="M1213" i="1"/>
  <c r="N1213" i="1" s="1"/>
  <c r="M1214" i="1"/>
  <c r="N1214" i="1" s="1"/>
  <c r="M1215" i="1"/>
  <c r="N1215" i="1" s="1"/>
  <c r="M1216" i="1"/>
  <c r="N1216" i="1" s="1"/>
  <c r="M1217" i="1"/>
  <c r="N1217" i="1" s="1"/>
  <c r="M1218" i="1"/>
  <c r="N1218" i="1" s="1"/>
  <c r="M1219" i="1"/>
  <c r="N1219" i="1" s="1"/>
  <c r="M1220" i="1"/>
  <c r="N1220" i="1" s="1"/>
  <c r="M1221" i="1"/>
  <c r="N1221" i="1" s="1"/>
  <c r="M1222" i="1"/>
  <c r="N1222" i="1" s="1"/>
  <c r="M1223" i="1"/>
  <c r="N1223" i="1" s="1"/>
  <c r="M1224" i="1"/>
  <c r="N1224" i="1" s="1"/>
  <c r="M1225" i="1"/>
  <c r="N1225" i="1" s="1"/>
  <c r="M1226" i="1"/>
  <c r="N1226" i="1" s="1"/>
  <c r="M1227" i="1"/>
  <c r="N1227" i="1" s="1"/>
  <c r="M1228" i="1"/>
  <c r="N1228" i="1" s="1"/>
  <c r="M1229" i="1"/>
  <c r="N1229" i="1" s="1"/>
  <c r="M1230" i="1"/>
  <c r="N1230" i="1" s="1"/>
  <c r="M1231" i="1"/>
  <c r="N1231" i="1" s="1"/>
  <c r="M1232" i="1"/>
  <c r="N1232" i="1" s="1"/>
  <c r="O1232" i="1" s="1"/>
  <c r="M1233" i="1"/>
  <c r="N1233" i="1" s="1"/>
  <c r="M1234" i="1"/>
  <c r="N1234" i="1" s="1"/>
  <c r="M1235" i="1"/>
  <c r="N1235" i="1" s="1"/>
  <c r="M1236" i="1"/>
  <c r="N1236" i="1" s="1"/>
  <c r="M1237" i="1"/>
  <c r="N1237" i="1" s="1"/>
  <c r="M1238" i="1"/>
  <c r="N1238" i="1" s="1"/>
  <c r="M1239" i="1"/>
  <c r="N1239" i="1" s="1"/>
  <c r="M1240" i="1"/>
  <c r="N1240" i="1" s="1"/>
  <c r="M1241" i="1"/>
  <c r="N1241" i="1" s="1"/>
  <c r="M1242" i="1"/>
  <c r="N1242" i="1" s="1"/>
  <c r="M1243" i="1"/>
  <c r="N1243" i="1" s="1"/>
  <c r="M1244" i="1"/>
  <c r="N1244" i="1" s="1"/>
  <c r="M1245" i="1"/>
  <c r="N1245" i="1" s="1"/>
  <c r="M1246" i="1"/>
  <c r="N1246" i="1" s="1"/>
  <c r="M1247" i="1"/>
  <c r="N1247" i="1" s="1"/>
  <c r="M1248" i="1"/>
  <c r="N1248" i="1" s="1"/>
  <c r="M1249" i="1"/>
  <c r="N1249" i="1" s="1"/>
  <c r="M1250" i="1"/>
  <c r="N1250" i="1" s="1"/>
  <c r="M1251" i="1"/>
  <c r="N1251" i="1" s="1"/>
  <c r="M1252" i="1"/>
  <c r="N1252" i="1" s="1"/>
  <c r="M1253" i="1"/>
  <c r="N1253" i="1" s="1"/>
  <c r="M1254" i="1"/>
  <c r="N1254" i="1" s="1"/>
  <c r="O1254" i="1" s="1"/>
  <c r="M1255" i="1"/>
  <c r="N1255" i="1" s="1"/>
  <c r="M1256" i="1"/>
  <c r="N1256" i="1" s="1"/>
  <c r="M1257" i="1"/>
  <c r="N1257" i="1" s="1"/>
  <c r="M1258" i="1"/>
  <c r="N1258" i="1" s="1"/>
  <c r="M1259" i="1"/>
  <c r="N1259" i="1" s="1"/>
  <c r="M1260" i="1"/>
  <c r="N1260" i="1" s="1"/>
  <c r="M1261" i="1"/>
  <c r="N1261" i="1" s="1"/>
  <c r="M1262" i="1"/>
  <c r="N1262" i="1" s="1"/>
  <c r="M1263" i="1"/>
  <c r="N1263" i="1" s="1"/>
  <c r="M1264" i="1"/>
  <c r="N1264" i="1" s="1"/>
  <c r="M1265" i="1"/>
  <c r="N1265" i="1" s="1"/>
  <c r="M1266" i="1"/>
  <c r="N1266" i="1" s="1"/>
  <c r="M1267" i="1"/>
  <c r="N1267" i="1" s="1"/>
  <c r="M1268" i="1"/>
  <c r="N1268" i="1" s="1"/>
  <c r="M1269" i="1"/>
  <c r="N1269" i="1" s="1"/>
  <c r="M1270" i="1"/>
  <c r="N1270" i="1" s="1"/>
  <c r="O1270" i="1" s="1"/>
  <c r="M1271" i="1"/>
  <c r="N1271" i="1" s="1"/>
  <c r="M1272" i="1"/>
  <c r="N1272" i="1" s="1"/>
  <c r="M1273" i="1"/>
  <c r="N1273" i="1" s="1"/>
  <c r="M1274" i="1"/>
  <c r="N1274" i="1" s="1"/>
  <c r="M1275" i="1"/>
  <c r="N1275" i="1" s="1"/>
  <c r="M1276" i="1"/>
  <c r="N1276" i="1" s="1"/>
  <c r="M1277" i="1"/>
  <c r="N1277" i="1" s="1"/>
  <c r="M1278" i="1"/>
  <c r="N1278" i="1" s="1"/>
  <c r="M1279" i="1"/>
  <c r="N1279" i="1" s="1"/>
  <c r="M1280" i="1"/>
  <c r="N1280" i="1" s="1"/>
  <c r="M1281" i="1"/>
  <c r="N1281" i="1" s="1"/>
  <c r="M1282" i="1"/>
  <c r="N1282" i="1" s="1"/>
  <c r="M1283" i="1"/>
  <c r="N1283" i="1" s="1"/>
  <c r="M1284" i="1"/>
  <c r="N1284" i="1" s="1"/>
  <c r="M1285" i="1"/>
  <c r="N1285" i="1" s="1"/>
  <c r="M1286" i="1"/>
  <c r="N1286" i="1" s="1"/>
  <c r="O1286" i="1" s="1"/>
  <c r="M1287" i="1"/>
  <c r="N1287" i="1" s="1"/>
  <c r="M1288" i="1"/>
  <c r="N1288" i="1" s="1"/>
  <c r="M1289" i="1"/>
  <c r="N1289" i="1" s="1"/>
  <c r="M1290" i="1"/>
  <c r="N1290" i="1" s="1"/>
  <c r="M1291" i="1"/>
  <c r="N1291" i="1" s="1"/>
  <c r="M1292" i="1"/>
  <c r="N1292" i="1" s="1"/>
  <c r="M1293" i="1"/>
  <c r="N1293" i="1" s="1"/>
  <c r="M1294" i="1"/>
  <c r="N1294" i="1" s="1"/>
  <c r="M1295" i="1"/>
  <c r="N1295" i="1" s="1"/>
  <c r="M1296" i="1"/>
  <c r="N1296" i="1" s="1"/>
  <c r="M1297" i="1"/>
  <c r="N1297" i="1" s="1"/>
  <c r="M1298" i="1"/>
  <c r="N1298" i="1" s="1"/>
  <c r="M1299" i="1"/>
  <c r="N1299" i="1" s="1"/>
  <c r="M1300" i="1"/>
  <c r="N1300" i="1" s="1"/>
  <c r="M1301" i="1"/>
  <c r="N1301" i="1" s="1"/>
  <c r="M1302" i="1"/>
  <c r="N1302" i="1" s="1"/>
  <c r="O1302" i="1" s="1"/>
  <c r="M1303" i="1"/>
  <c r="N1303" i="1" s="1"/>
  <c r="M1304" i="1"/>
  <c r="N1304" i="1" s="1"/>
  <c r="M1305" i="1"/>
  <c r="N1305" i="1" s="1"/>
  <c r="M1306" i="1"/>
  <c r="N1306" i="1" s="1"/>
  <c r="M1307" i="1"/>
  <c r="N1307" i="1" s="1"/>
  <c r="M1308" i="1"/>
  <c r="N1308" i="1" s="1"/>
  <c r="M1309" i="1"/>
  <c r="N1309" i="1" s="1"/>
  <c r="M1310" i="1"/>
  <c r="N1310" i="1" s="1"/>
  <c r="M1311" i="1"/>
  <c r="N1311" i="1" s="1"/>
  <c r="M1312" i="1"/>
  <c r="N1312" i="1" s="1"/>
  <c r="M1313" i="1"/>
  <c r="N1313" i="1" s="1"/>
  <c r="M1314" i="1"/>
  <c r="N1314" i="1" s="1"/>
  <c r="M1315" i="1"/>
  <c r="N1315" i="1" s="1"/>
  <c r="M1316" i="1"/>
  <c r="N1316" i="1" s="1"/>
  <c r="M1317" i="1"/>
  <c r="N1317" i="1" s="1"/>
  <c r="M1318" i="1"/>
  <c r="N1318" i="1" s="1"/>
  <c r="O1318" i="1" s="1"/>
  <c r="M1319" i="1"/>
  <c r="N1319" i="1" s="1"/>
  <c r="M1320" i="1"/>
  <c r="N1320" i="1" s="1"/>
  <c r="M1321" i="1"/>
  <c r="N1321" i="1" s="1"/>
  <c r="M1322" i="1"/>
  <c r="N1322" i="1" s="1"/>
  <c r="M1323" i="1"/>
  <c r="N1323" i="1" s="1"/>
  <c r="M1324" i="1"/>
  <c r="N1324" i="1" s="1"/>
  <c r="M1325" i="1"/>
  <c r="N1325" i="1" s="1"/>
  <c r="M1326" i="1"/>
  <c r="N1326" i="1" s="1"/>
  <c r="M1327" i="1"/>
  <c r="N1327" i="1" s="1"/>
  <c r="M1328" i="1"/>
  <c r="N1328" i="1" s="1"/>
  <c r="M1329" i="1"/>
  <c r="N1329" i="1" s="1"/>
  <c r="M1330" i="1"/>
  <c r="N1330" i="1" s="1"/>
  <c r="M1331" i="1"/>
  <c r="N1331" i="1" s="1"/>
  <c r="M1332" i="1"/>
  <c r="N1332" i="1" s="1"/>
  <c r="M1333" i="1"/>
  <c r="N1333" i="1" s="1"/>
  <c r="M1334" i="1"/>
  <c r="N1334" i="1" s="1"/>
  <c r="O1334" i="1" s="1"/>
  <c r="M1335" i="1"/>
  <c r="N1335" i="1" s="1"/>
  <c r="M1336" i="1"/>
  <c r="N1336" i="1" s="1"/>
  <c r="M1337" i="1"/>
  <c r="N1337" i="1" s="1"/>
  <c r="M1338" i="1"/>
  <c r="N1338" i="1" s="1"/>
  <c r="M1339" i="1"/>
  <c r="N1339" i="1" s="1"/>
  <c r="M1340" i="1"/>
  <c r="N1340" i="1" s="1"/>
  <c r="M1341" i="1"/>
  <c r="N1341" i="1" s="1"/>
  <c r="M1342" i="1"/>
  <c r="N1342" i="1" s="1"/>
  <c r="M1343" i="1"/>
  <c r="N1343" i="1" s="1"/>
  <c r="M1344" i="1"/>
  <c r="N1344" i="1" s="1"/>
  <c r="M1345" i="1"/>
  <c r="N1345" i="1" s="1"/>
  <c r="M1346" i="1"/>
  <c r="N1346" i="1" s="1"/>
  <c r="M1347" i="1"/>
  <c r="N1347" i="1" s="1"/>
  <c r="M1348" i="1"/>
  <c r="N1348" i="1" s="1"/>
  <c r="M1349" i="1"/>
  <c r="N1349" i="1" s="1"/>
  <c r="M1350" i="1"/>
  <c r="N1350" i="1" s="1"/>
  <c r="O1350" i="1" s="1"/>
  <c r="M1351" i="1"/>
  <c r="N1351" i="1" s="1"/>
  <c r="M1352" i="1"/>
  <c r="N1352" i="1" s="1"/>
  <c r="M1353" i="1"/>
  <c r="N1353" i="1" s="1"/>
  <c r="M1354" i="1"/>
  <c r="N1354" i="1" s="1"/>
  <c r="M1355" i="1"/>
  <c r="N1355" i="1" s="1"/>
  <c r="M1356" i="1"/>
  <c r="N1356" i="1" s="1"/>
  <c r="M1357" i="1"/>
  <c r="N1357" i="1" s="1"/>
  <c r="M1358" i="1"/>
  <c r="N1358" i="1" s="1"/>
  <c r="M1359" i="1"/>
  <c r="N1359" i="1" s="1"/>
  <c r="M1360" i="1"/>
  <c r="N1360" i="1" s="1"/>
  <c r="M1361" i="1"/>
  <c r="N1361" i="1" s="1"/>
  <c r="M1362" i="1"/>
  <c r="N1362" i="1" s="1"/>
  <c r="M1363" i="1"/>
  <c r="N1363" i="1" s="1"/>
  <c r="M1364" i="1"/>
  <c r="N1364" i="1" s="1"/>
  <c r="M1365" i="1"/>
  <c r="N1365" i="1" s="1"/>
  <c r="M1366" i="1"/>
  <c r="N1366" i="1" s="1"/>
  <c r="O1366" i="1" s="1"/>
  <c r="M1367" i="1"/>
  <c r="N1367" i="1" s="1"/>
  <c r="M1368" i="1"/>
  <c r="N1368" i="1" s="1"/>
  <c r="M1369" i="1"/>
  <c r="N1369" i="1" s="1"/>
  <c r="M1370" i="1"/>
  <c r="N1370" i="1" s="1"/>
  <c r="M1371" i="1"/>
  <c r="N1371" i="1" s="1"/>
  <c r="M1372" i="1"/>
  <c r="N1372" i="1" s="1"/>
  <c r="M1373" i="1"/>
  <c r="N1373" i="1" s="1"/>
  <c r="M1374" i="1"/>
  <c r="N1374" i="1" s="1"/>
  <c r="M1375" i="1"/>
  <c r="N1375" i="1" s="1"/>
  <c r="M1376" i="1"/>
  <c r="N1376" i="1" s="1"/>
  <c r="M1377" i="1"/>
  <c r="N1377" i="1" s="1"/>
  <c r="M1378" i="1"/>
  <c r="N1378" i="1" s="1"/>
  <c r="M1379" i="1"/>
  <c r="N1379" i="1" s="1"/>
  <c r="M1380" i="1"/>
  <c r="N1380" i="1" s="1"/>
  <c r="M1381" i="1"/>
  <c r="N1381" i="1" s="1"/>
  <c r="M1382" i="1"/>
  <c r="N1382" i="1" s="1"/>
  <c r="O1382" i="1" s="1"/>
  <c r="M1383" i="1"/>
  <c r="N1383" i="1" s="1"/>
  <c r="M1384" i="1"/>
  <c r="N1384" i="1" s="1"/>
  <c r="M1385" i="1"/>
  <c r="N1385" i="1" s="1"/>
  <c r="M1386" i="1"/>
  <c r="N1386" i="1" s="1"/>
  <c r="M1387" i="1"/>
  <c r="N1387" i="1" s="1"/>
  <c r="M1388" i="1"/>
  <c r="N1388" i="1" s="1"/>
  <c r="M1389" i="1"/>
  <c r="N1389" i="1" s="1"/>
  <c r="M1390" i="1"/>
  <c r="N1390" i="1" s="1"/>
  <c r="M1391" i="1"/>
  <c r="N1391" i="1" s="1"/>
  <c r="M1392" i="1"/>
  <c r="N1392" i="1" s="1"/>
  <c r="M1393" i="1"/>
  <c r="N1393" i="1" s="1"/>
  <c r="M1394" i="1"/>
  <c r="N1394" i="1" s="1"/>
  <c r="M1395" i="1"/>
  <c r="N1395" i="1" s="1"/>
  <c r="M1396" i="1"/>
  <c r="N1396" i="1" s="1"/>
  <c r="M1397" i="1"/>
  <c r="N1397" i="1" s="1"/>
  <c r="M1398" i="1"/>
  <c r="N1398" i="1" s="1"/>
  <c r="O1398" i="1" s="1"/>
  <c r="M1399" i="1"/>
  <c r="N1399" i="1" s="1"/>
  <c r="M1400" i="1"/>
  <c r="N1400" i="1" s="1"/>
  <c r="M1401" i="1"/>
  <c r="N1401" i="1" s="1"/>
  <c r="M1402" i="1"/>
  <c r="N1402" i="1" s="1"/>
  <c r="M1403" i="1"/>
  <c r="N1403" i="1" s="1"/>
  <c r="M1404" i="1"/>
  <c r="N1404" i="1" s="1"/>
  <c r="M1405" i="1"/>
  <c r="N1405" i="1" s="1"/>
  <c r="M1406" i="1"/>
  <c r="N1406" i="1" s="1"/>
  <c r="M1407" i="1"/>
  <c r="N1407" i="1" s="1"/>
  <c r="M1408" i="1"/>
  <c r="N1408" i="1" s="1"/>
  <c r="M1409" i="1"/>
  <c r="N1409" i="1" s="1"/>
  <c r="M1410" i="1"/>
  <c r="N1410" i="1" s="1"/>
  <c r="M1411" i="1"/>
  <c r="N1411" i="1" s="1"/>
  <c r="M1412" i="1"/>
  <c r="N1412" i="1" s="1"/>
  <c r="M1413" i="1"/>
  <c r="N1413" i="1" s="1"/>
  <c r="M1414" i="1"/>
  <c r="N1414" i="1" s="1"/>
  <c r="O1414" i="1" s="1"/>
  <c r="M1415" i="1"/>
  <c r="N1415" i="1" s="1"/>
  <c r="M1416" i="1"/>
  <c r="N1416" i="1" s="1"/>
  <c r="M1417" i="1"/>
  <c r="N1417" i="1" s="1"/>
  <c r="M1418" i="1"/>
  <c r="N1418" i="1" s="1"/>
  <c r="M1419" i="1"/>
  <c r="N1419" i="1" s="1"/>
  <c r="M1420" i="1"/>
  <c r="N1420" i="1" s="1"/>
  <c r="M1421" i="1"/>
  <c r="N1421" i="1" s="1"/>
  <c r="M1422" i="1"/>
  <c r="N1422" i="1" s="1"/>
  <c r="M1423" i="1"/>
  <c r="N1423" i="1" s="1"/>
  <c r="M1424" i="1"/>
  <c r="N1424" i="1" s="1"/>
  <c r="M1425" i="1"/>
  <c r="N1425" i="1" s="1"/>
  <c r="M1426" i="1"/>
  <c r="N1426" i="1" s="1"/>
  <c r="M1427" i="1"/>
  <c r="N1427" i="1" s="1"/>
  <c r="M1428" i="1"/>
  <c r="N1428" i="1" s="1"/>
  <c r="M1429" i="1"/>
  <c r="N1429" i="1" s="1"/>
  <c r="M1430" i="1"/>
  <c r="N1430" i="1" s="1"/>
  <c r="O1430" i="1" s="1"/>
  <c r="M1431" i="1"/>
  <c r="N1431" i="1" s="1"/>
  <c r="M1432" i="1"/>
  <c r="N1432" i="1" s="1"/>
  <c r="M1433" i="1"/>
  <c r="N1433" i="1" s="1"/>
  <c r="M1434" i="1"/>
  <c r="N1434" i="1" s="1"/>
  <c r="M1435" i="1"/>
  <c r="N1435" i="1" s="1"/>
  <c r="M1436" i="1"/>
  <c r="N1436" i="1" s="1"/>
  <c r="M1437" i="1"/>
  <c r="N1437" i="1" s="1"/>
  <c r="M1438" i="1"/>
  <c r="N1438" i="1" s="1"/>
  <c r="M1439" i="1"/>
  <c r="N1439" i="1" s="1"/>
  <c r="M1440" i="1"/>
  <c r="N1440" i="1" s="1"/>
  <c r="M1441" i="1"/>
  <c r="N1441" i="1" s="1"/>
  <c r="M1442" i="1"/>
  <c r="N1442" i="1" s="1"/>
  <c r="M1443" i="1"/>
  <c r="N1443" i="1" s="1"/>
  <c r="M1444" i="1"/>
  <c r="N1444" i="1" s="1"/>
  <c r="M1445" i="1"/>
  <c r="N1445" i="1" s="1"/>
  <c r="M1446" i="1"/>
  <c r="N1446" i="1" s="1"/>
  <c r="O1446" i="1" s="1"/>
  <c r="M1447" i="1"/>
  <c r="N1447" i="1" s="1"/>
  <c r="P1447" i="1" s="1"/>
  <c r="M1448" i="1"/>
  <c r="N1448" i="1" s="1"/>
  <c r="M1449" i="1"/>
  <c r="N1449" i="1" s="1"/>
  <c r="M1450" i="1"/>
  <c r="N1450" i="1" s="1"/>
  <c r="M1451" i="1"/>
  <c r="N1451" i="1" s="1"/>
  <c r="M1452" i="1"/>
  <c r="N1452" i="1" s="1"/>
  <c r="M1453" i="1"/>
  <c r="N1453" i="1" s="1"/>
  <c r="M1454" i="1"/>
  <c r="N1454" i="1" s="1"/>
  <c r="M1455" i="1"/>
  <c r="N1455" i="1" s="1"/>
  <c r="M1456" i="1"/>
  <c r="N1456" i="1" s="1"/>
  <c r="M1457" i="1"/>
  <c r="N1457" i="1" s="1"/>
  <c r="M1458" i="1"/>
  <c r="N1458" i="1" s="1"/>
  <c r="M1459" i="1"/>
  <c r="N1459" i="1" s="1"/>
  <c r="M1460" i="1"/>
  <c r="N1460" i="1" s="1"/>
  <c r="M1461" i="1"/>
  <c r="N1461" i="1" s="1"/>
  <c r="M1462" i="1"/>
  <c r="N1462" i="1" s="1"/>
  <c r="O1462" i="1" s="1"/>
  <c r="M1463" i="1"/>
  <c r="N1463" i="1" s="1"/>
  <c r="M1464" i="1"/>
  <c r="N1464" i="1" s="1"/>
  <c r="M1465" i="1"/>
  <c r="N1465" i="1" s="1"/>
  <c r="M1466" i="1"/>
  <c r="N1466" i="1" s="1"/>
  <c r="M1467" i="1"/>
  <c r="N1467" i="1" s="1"/>
  <c r="M1468" i="1"/>
  <c r="N1468" i="1" s="1"/>
  <c r="M1469" i="1"/>
  <c r="N1469" i="1" s="1"/>
  <c r="M1470" i="1"/>
  <c r="N1470" i="1" s="1"/>
  <c r="M1471" i="1"/>
  <c r="N1471" i="1" s="1"/>
  <c r="M1472" i="1"/>
  <c r="N1472" i="1" s="1"/>
  <c r="M1473" i="1"/>
  <c r="N1473" i="1" s="1"/>
  <c r="M1474" i="1"/>
  <c r="N1474" i="1" s="1"/>
  <c r="M1475" i="1"/>
  <c r="N1475" i="1" s="1"/>
  <c r="M1476" i="1"/>
  <c r="N1476" i="1" s="1"/>
  <c r="M1477" i="1"/>
  <c r="N1477" i="1" s="1"/>
  <c r="M1478" i="1"/>
  <c r="N1478" i="1" s="1"/>
  <c r="O1478" i="1" s="1"/>
  <c r="M1479" i="1"/>
  <c r="N1479" i="1" s="1"/>
  <c r="M1480" i="1"/>
  <c r="N1480" i="1" s="1"/>
  <c r="M1481" i="1"/>
  <c r="N1481" i="1" s="1"/>
  <c r="M1482" i="1"/>
  <c r="N1482" i="1" s="1"/>
  <c r="M1483" i="1"/>
  <c r="N1483" i="1" s="1"/>
  <c r="M1484" i="1"/>
  <c r="N1484" i="1" s="1"/>
  <c r="M1485" i="1"/>
  <c r="N1485" i="1" s="1"/>
  <c r="M1486" i="1"/>
  <c r="N1486" i="1" s="1"/>
  <c r="M1487" i="1"/>
  <c r="N1487" i="1" s="1"/>
  <c r="M1488" i="1"/>
  <c r="N1488" i="1" s="1"/>
  <c r="M1489" i="1"/>
  <c r="N1489" i="1" s="1"/>
  <c r="M1490" i="1"/>
  <c r="N1490" i="1" s="1"/>
  <c r="M1491" i="1"/>
  <c r="N1491" i="1" s="1"/>
  <c r="M1492" i="1"/>
  <c r="N1492" i="1" s="1"/>
  <c r="M1493" i="1"/>
  <c r="N1493" i="1" s="1"/>
  <c r="M1494" i="1"/>
  <c r="N1494" i="1" s="1"/>
  <c r="O1494" i="1" s="1"/>
  <c r="M1495" i="1"/>
  <c r="N1495" i="1" s="1"/>
  <c r="M1496" i="1"/>
  <c r="N1496" i="1" s="1"/>
  <c r="M1497" i="1"/>
  <c r="N1497" i="1" s="1"/>
  <c r="M1498" i="1"/>
  <c r="N1498" i="1" s="1"/>
  <c r="M1499" i="1"/>
  <c r="N1499" i="1" s="1"/>
  <c r="M1500" i="1"/>
  <c r="N1500" i="1" s="1"/>
  <c r="M1501" i="1"/>
  <c r="N1501" i="1" s="1"/>
  <c r="M1502" i="1"/>
  <c r="N1502" i="1" s="1"/>
  <c r="M1503" i="1"/>
  <c r="N1503" i="1" s="1"/>
  <c r="M1504" i="1"/>
  <c r="N1504" i="1" s="1"/>
  <c r="M1505" i="1"/>
  <c r="N1505" i="1" s="1"/>
  <c r="M1506" i="1"/>
  <c r="N1506" i="1" s="1"/>
  <c r="M1507" i="1"/>
  <c r="N1507" i="1" s="1"/>
  <c r="M1508" i="1"/>
  <c r="N1508" i="1" s="1"/>
  <c r="M1509" i="1"/>
  <c r="N1509" i="1" s="1"/>
  <c r="M1510" i="1"/>
  <c r="N1510" i="1" s="1"/>
  <c r="O1510" i="1" s="1"/>
  <c r="M1511" i="1"/>
  <c r="N1511" i="1" s="1"/>
  <c r="M1512" i="1"/>
  <c r="N1512" i="1" s="1"/>
  <c r="M1513" i="1"/>
  <c r="N1513" i="1" s="1"/>
  <c r="M1514" i="1"/>
  <c r="N1514" i="1" s="1"/>
  <c r="M1515" i="1"/>
  <c r="N1515" i="1" s="1"/>
  <c r="M1516" i="1"/>
  <c r="N1516" i="1" s="1"/>
  <c r="M1517" i="1"/>
  <c r="N1517" i="1" s="1"/>
  <c r="M1518" i="1"/>
  <c r="N1518" i="1" s="1"/>
  <c r="M1519" i="1"/>
  <c r="N1519" i="1" s="1"/>
  <c r="M1520" i="1"/>
  <c r="N1520" i="1" s="1"/>
  <c r="M1521" i="1"/>
  <c r="N1521" i="1" s="1"/>
  <c r="M1522" i="1"/>
  <c r="N1522" i="1" s="1"/>
  <c r="M1523" i="1"/>
  <c r="N1523" i="1" s="1"/>
  <c r="M1524" i="1"/>
  <c r="N1524" i="1" s="1"/>
  <c r="M1525" i="1"/>
  <c r="N1525" i="1" s="1"/>
  <c r="M1526" i="1"/>
  <c r="N1526" i="1" s="1"/>
  <c r="O1526" i="1" s="1"/>
  <c r="M1527" i="1"/>
  <c r="N1527" i="1" s="1"/>
  <c r="M1528" i="1"/>
  <c r="N1528" i="1" s="1"/>
  <c r="M1529" i="1"/>
  <c r="N1529" i="1" s="1"/>
  <c r="M1530" i="1"/>
  <c r="N1530" i="1" s="1"/>
  <c r="M1531" i="1"/>
  <c r="N1531" i="1" s="1"/>
  <c r="M1532" i="1"/>
  <c r="N1532" i="1" s="1"/>
  <c r="M1533" i="1"/>
  <c r="N1533" i="1" s="1"/>
  <c r="M1534" i="1"/>
  <c r="N1534" i="1" s="1"/>
  <c r="M1535" i="1"/>
  <c r="N1535" i="1" s="1"/>
  <c r="M1536" i="1"/>
  <c r="N1536" i="1" s="1"/>
  <c r="P1536" i="1" s="1"/>
  <c r="M1537" i="1"/>
  <c r="N1537" i="1" s="1"/>
  <c r="M1538" i="1"/>
  <c r="N1538" i="1" s="1"/>
  <c r="M1539" i="1"/>
  <c r="N1539" i="1" s="1"/>
  <c r="M1540" i="1"/>
  <c r="N1540" i="1" s="1"/>
  <c r="M1541" i="1"/>
  <c r="N1541" i="1" s="1"/>
  <c r="M1542" i="1"/>
  <c r="N1542" i="1" s="1"/>
  <c r="O1542" i="1" s="1"/>
  <c r="M1543" i="1"/>
  <c r="N1543" i="1" s="1"/>
  <c r="M1544" i="1"/>
  <c r="N1544" i="1" s="1"/>
  <c r="M1545" i="1"/>
  <c r="N1545" i="1" s="1"/>
  <c r="M1546" i="1"/>
  <c r="N1546" i="1" s="1"/>
  <c r="M1547" i="1"/>
  <c r="N1547" i="1" s="1"/>
  <c r="M1548" i="1"/>
  <c r="N1548" i="1" s="1"/>
  <c r="M1549" i="1"/>
  <c r="N1549" i="1" s="1"/>
  <c r="M1550" i="1"/>
  <c r="N1550" i="1" s="1"/>
  <c r="M1551" i="1"/>
  <c r="N1551" i="1" s="1"/>
  <c r="M1552" i="1"/>
  <c r="N1552" i="1" s="1"/>
  <c r="M1553" i="1"/>
  <c r="N1553" i="1" s="1"/>
  <c r="M1554" i="1"/>
  <c r="N1554" i="1" s="1"/>
  <c r="M1555" i="1"/>
  <c r="N1555" i="1" s="1"/>
  <c r="M1556" i="1"/>
  <c r="N1556" i="1" s="1"/>
  <c r="M1557" i="1"/>
  <c r="N1557" i="1" s="1"/>
  <c r="M1558" i="1"/>
  <c r="N1558" i="1" s="1"/>
  <c r="O1558" i="1" s="1"/>
  <c r="M1559" i="1"/>
  <c r="N1559" i="1" s="1"/>
  <c r="M1560" i="1"/>
  <c r="N1560" i="1" s="1"/>
  <c r="M1561" i="1"/>
  <c r="N1561" i="1" s="1"/>
  <c r="M1562" i="1"/>
  <c r="N1562" i="1" s="1"/>
  <c r="M1563" i="1"/>
  <c r="N1563" i="1" s="1"/>
  <c r="M1564" i="1"/>
  <c r="N1564" i="1" s="1"/>
  <c r="M1565" i="1"/>
  <c r="N1565" i="1" s="1"/>
  <c r="M1566" i="1"/>
  <c r="N1566" i="1" s="1"/>
  <c r="M1567" i="1"/>
  <c r="N1567" i="1" s="1"/>
  <c r="M1568" i="1"/>
  <c r="N1568" i="1" s="1"/>
  <c r="M1569" i="1"/>
  <c r="N1569" i="1" s="1"/>
  <c r="M1570" i="1"/>
  <c r="N1570" i="1" s="1"/>
  <c r="M1571" i="1"/>
  <c r="N1571" i="1" s="1"/>
  <c r="M1572" i="1"/>
  <c r="N1572" i="1" s="1"/>
  <c r="M1573" i="1"/>
  <c r="N1573" i="1" s="1"/>
  <c r="M1574" i="1"/>
  <c r="N1574" i="1" s="1"/>
  <c r="O1574" i="1" s="1"/>
  <c r="M1575" i="1"/>
  <c r="N1575" i="1" s="1"/>
  <c r="M1576" i="1"/>
  <c r="N1576" i="1" s="1"/>
  <c r="M1577" i="1"/>
  <c r="N1577" i="1" s="1"/>
  <c r="M1578" i="1"/>
  <c r="N1578" i="1" s="1"/>
  <c r="M1579" i="1"/>
  <c r="N1579" i="1" s="1"/>
  <c r="M1580" i="1"/>
  <c r="N1580" i="1" s="1"/>
  <c r="M1581" i="1"/>
  <c r="N1581" i="1" s="1"/>
  <c r="M1582" i="1"/>
  <c r="N1582" i="1" s="1"/>
  <c r="M1583" i="1"/>
  <c r="N1583" i="1" s="1"/>
  <c r="M1584" i="1"/>
  <c r="N1584" i="1" s="1"/>
  <c r="M1585" i="1"/>
  <c r="N1585" i="1" s="1"/>
  <c r="M1586" i="1"/>
  <c r="N1586" i="1" s="1"/>
  <c r="M1587" i="1"/>
  <c r="N1587" i="1" s="1"/>
  <c r="M1588" i="1"/>
  <c r="N1588" i="1" s="1"/>
  <c r="M1589" i="1"/>
  <c r="N1589" i="1" s="1"/>
  <c r="M1590" i="1"/>
  <c r="N1590" i="1" s="1"/>
  <c r="O1590" i="1" s="1"/>
  <c r="M1591" i="1"/>
  <c r="N1591" i="1" s="1"/>
  <c r="M1592" i="1"/>
  <c r="N1592" i="1" s="1"/>
  <c r="M1593" i="1"/>
  <c r="N1593" i="1" s="1"/>
  <c r="M1594" i="1"/>
  <c r="N1594" i="1" s="1"/>
  <c r="M1595" i="1"/>
  <c r="N1595" i="1" s="1"/>
  <c r="M1596" i="1"/>
  <c r="N1596" i="1" s="1"/>
  <c r="M1597" i="1"/>
  <c r="N1597" i="1" s="1"/>
  <c r="M1598" i="1"/>
  <c r="N1598" i="1" s="1"/>
  <c r="M1599" i="1"/>
  <c r="N1599" i="1" s="1"/>
  <c r="M1600" i="1"/>
  <c r="N1600" i="1" s="1"/>
  <c r="P1600" i="1" s="1"/>
  <c r="M1601" i="1"/>
  <c r="N1601" i="1" s="1"/>
  <c r="M1602" i="1"/>
  <c r="N1602" i="1" s="1"/>
  <c r="M1603" i="1"/>
  <c r="N1603" i="1" s="1"/>
  <c r="M1604" i="1"/>
  <c r="N1604" i="1" s="1"/>
  <c r="M1605" i="1"/>
  <c r="N1605" i="1" s="1"/>
  <c r="M1606" i="1"/>
  <c r="N1606" i="1" s="1"/>
  <c r="O1606" i="1" s="1"/>
  <c r="M1607" i="1"/>
  <c r="N1607" i="1" s="1"/>
  <c r="M1608" i="1"/>
  <c r="N1608" i="1" s="1"/>
  <c r="M1609" i="1"/>
  <c r="N1609" i="1" s="1"/>
  <c r="M1610" i="1"/>
  <c r="N1610" i="1" s="1"/>
  <c r="M1611" i="1"/>
  <c r="N1611" i="1" s="1"/>
  <c r="M1612" i="1"/>
  <c r="N1612" i="1" s="1"/>
  <c r="M1613" i="1"/>
  <c r="N1613" i="1" s="1"/>
  <c r="M1614" i="1"/>
  <c r="N1614" i="1" s="1"/>
  <c r="M1615" i="1"/>
  <c r="N1615" i="1" s="1"/>
  <c r="M1616" i="1"/>
  <c r="N1616" i="1" s="1"/>
  <c r="M1617" i="1"/>
  <c r="N1617" i="1" s="1"/>
  <c r="M1618" i="1"/>
  <c r="N1618" i="1" s="1"/>
  <c r="M1619" i="1"/>
  <c r="N1619" i="1" s="1"/>
  <c r="M1620" i="1"/>
  <c r="N1620" i="1" s="1"/>
  <c r="M1621" i="1"/>
  <c r="N1621" i="1" s="1"/>
  <c r="M1622" i="1"/>
  <c r="N1622" i="1" s="1"/>
  <c r="O1622" i="1" s="1"/>
  <c r="M1623" i="1"/>
  <c r="N1623" i="1" s="1"/>
  <c r="M1624" i="1"/>
  <c r="N1624" i="1" s="1"/>
  <c r="M1625" i="1"/>
  <c r="N1625" i="1" s="1"/>
  <c r="M1626" i="1"/>
  <c r="N1626" i="1" s="1"/>
  <c r="M1627" i="1"/>
  <c r="N1627" i="1" s="1"/>
  <c r="M1628" i="1"/>
  <c r="N1628" i="1" s="1"/>
  <c r="M1629" i="1"/>
  <c r="N1629" i="1" s="1"/>
  <c r="M1630" i="1"/>
  <c r="N1630" i="1" s="1"/>
  <c r="M1631" i="1"/>
  <c r="N1631" i="1" s="1"/>
  <c r="M1632" i="1"/>
  <c r="N1632" i="1" s="1"/>
  <c r="M1633" i="1"/>
  <c r="N1633" i="1" s="1"/>
  <c r="M1634" i="1"/>
  <c r="N1634" i="1" s="1"/>
  <c r="M1635" i="1"/>
  <c r="N1635" i="1" s="1"/>
  <c r="M1636" i="1"/>
  <c r="N1636" i="1" s="1"/>
  <c r="O1636" i="1" s="1"/>
  <c r="M1637" i="1"/>
  <c r="N1637" i="1" s="1"/>
  <c r="M1638" i="1"/>
  <c r="N1638" i="1" s="1"/>
  <c r="M1639" i="1"/>
  <c r="N1639" i="1" s="1"/>
  <c r="M1640" i="1"/>
  <c r="N1640" i="1" s="1"/>
  <c r="M1641" i="1"/>
  <c r="N1641" i="1" s="1"/>
  <c r="M1642" i="1"/>
  <c r="N1642" i="1" s="1"/>
  <c r="M1643" i="1"/>
  <c r="N1643" i="1" s="1"/>
  <c r="M1644" i="1"/>
  <c r="N1644" i="1" s="1"/>
  <c r="O1644" i="1" s="1"/>
  <c r="M1645" i="1"/>
  <c r="N1645" i="1" s="1"/>
  <c r="M1646" i="1"/>
  <c r="N1646" i="1" s="1"/>
  <c r="M1647" i="1"/>
  <c r="N1647" i="1" s="1"/>
  <c r="M1648" i="1"/>
  <c r="N1648" i="1" s="1"/>
  <c r="M1649" i="1"/>
  <c r="N1649" i="1" s="1"/>
  <c r="M1650" i="1"/>
  <c r="N1650" i="1" s="1"/>
  <c r="M1651" i="1"/>
  <c r="N1651" i="1" s="1"/>
  <c r="M1652" i="1"/>
  <c r="N1652" i="1" s="1"/>
  <c r="O1652" i="1" s="1"/>
  <c r="M1653" i="1"/>
  <c r="N1653" i="1" s="1"/>
  <c r="M1654" i="1"/>
  <c r="N1654" i="1" s="1"/>
  <c r="M1655" i="1"/>
  <c r="N1655" i="1" s="1"/>
  <c r="M1656" i="1"/>
  <c r="N1656" i="1" s="1"/>
  <c r="M1657" i="1"/>
  <c r="N1657" i="1" s="1"/>
  <c r="M1658" i="1"/>
  <c r="N1658" i="1" s="1"/>
  <c r="M1659" i="1"/>
  <c r="N1659" i="1" s="1"/>
  <c r="M1660" i="1"/>
  <c r="N1660" i="1" s="1"/>
  <c r="O1660" i="1" s="1"/>
  <c r="M1661" i="1"/>
  <c r="N1661" i="1" s="1"/>
  <c r="M1662" i="1"/>
  <c r="N1662" i="1" s="1"/>
  <c r="M1663" i="1"/>
  <c r="N1663" i="1" s="1"/>
  <c r="M1664" i="1"/>
  <c r="N1664" i="1" s="1"/>
  <c r="P1664" i="1" s="1"/>
  <c r="M1665" i="1"/>
  <c r="N1665" i="1" s="1"/>
  <c r="M1666" i="1"/>
  <c r="N1666" i="1" s="1"/>
  <c r="M1667" i="1"/>
  <c r="N1667" i="1" s="1"/>
  <c r="M1668" i="1"/>
  <c r="N1668" i="1" s="1"/>
  <c r="O1668" i="1" s="1"/>
  <c r="M1669" i="1"/>
  <c r="N1669" i="1" s="1"/>
  <c r="M1670" i="1"/>
  <c r="N1670" i="1" s="1"/>
  <c r="M1671" i="1"/>
  <c r="N1671" i="1" s="1"/>
  <c r="M1672" i="1"/>
  <c r="N1672" i="1" s="1"/>
  <c r="M1673" i="1"/>
  <c r="N1673" i="1" s="1"/>
  <c r="M1674" i="1"/>
  <c r="N1674" i="1" s="1"/>
  <c r="M1675" i="1"/>
  <c r="N1675" i="1" s="1"/>
  <c r="M1676" i="1"/>
  <c r="N1676" i="1" s="1"/>
  <c r="O1676" i="1" s="1"/>
  <c r="M1677" i="1"/>
  <c r="N1677" i="1" s="1"/>
  <c r="M1678" i="1"/>
  <c r="N1678" i="1" s="1"/>
  <c r="M1679" i="1"/>
  <c r="N1679" i="1" s="1"/>
  <c r="M1680" i="1"/>
  <c r="N1680" i="1" s="1"/>
  <c r="M1681" i="1"/>
  <c r="N1681" i="1" s="1"/>
  <c r="M1682" i="1"/>
  <c r="N1682" i="1" s="1"/>
  <c r="M1683" i="1"/>
  <c r="N1683" i="1" s="1"/>
  <c r="M1684" i="1"/>
  <c r="N1684" i="1" s="1"/>
  <c r="O1684" i="1" s="1"/>
  <c r="M1685" i="1"/>
  <c r="N1685" i="1" s="1"/>
  <c r="M1686" i="1"/>
  <c r="N1686" i="1" s="1"/>
  <c r="M1687" i="1"/>
  <c r="N1687" i="1" s="1"/>
  <c r="M1688" i="1"/>
  <c r="N1688" i="1" s="1"/>
  <c r="M1689" i="1"/>
  <c r="N1689" i="1" s="1"/>
  <c r="M1690" i="1"/>
  <c r="N1690" i="1" s="1"/>
  <c r="M1691" i="1"/>
  <c r="N1691" i="1" s="1"/>
  <c r="M1692" i="1"/>
  <c r="N1692" i="1" s="1"/>
  <c r="O1692" i="1" s="1"/>
  <c r="M1693" i="1"/>
  <c r="N1693" i="1" s="1"/>
  <c r="M1694" i="1"/>
  <c r="N1694" i="1" s="1"/>
  <c r="M1695" i="1"/>
  <c r="N1695" i="1" s="1"/>
  <c r="M1696" i="1"/>
  <c r="N1696" i="1" s="1"/>
  <c r="M1697" i="1"/>
  <c r="N1697" i="1" s="1"/>
  <c r="M1698" i="1"/>
  <c r="N1698" i="1" s="1"/>
  <c r="M1699" i="1"/>
  <c r="N1699" i="1" s="1"/>
  <c r="M1700" i="1"/>
  <c r="N1700" i="1" s="1"/>
  <c r="O1700" i="1" s="1"/>
  <c r="M1701" i="1"/>
  <c r="N1701" i="1" s="1"/>
  <c r="M1702" i="1"/>
  <c r="N1702" i="1" s="1"/>
  <c r="M1703" i="1"/>
  <c r="N1703" i="1" s="1"/>
  <c r="M1704" i="1"/>
  <c r="N1704" i="1" s="1"/>
  <c r="M1705" i="1"/>
  <c r="N1705" i="1" s="1"/>
  <c r="M1706" i="1"/>
  <c r="N1706" i="1" s="1"/>
  <c r="M1707" i="1"/>
  <c r="N1707" i="1" s="1"/>
  <c r="M1708" i="1"/>
  <c r="N1708" i="1" s="1"/>
  <c r="O1708" i="1" s="1"/>
  <c r="M1709" i="1"/>
  <c r="N1709" i="1" s="1"/>
  <c r="M1710" i="1"/>
  <c r="N1710" i="1" s="1"/>
  <c r="M1711" i="1"/>
  <c r="N1711" i="1" s="1"/>
  <c r="M1712" i="1"/>
  <c r="N1712" i="1" s="1"/>
  <c r="M1713" i="1"/>
  <c r="N1713" i="1" s="1"/>
  <c r="M1714" i="1"/>
  <c r="N1714" i="1" s="1"/>
  <c r="M1715" i="1"/>
  <c r="N1715" i="1" s="1"/>
  <c r="M1716" i="1"/>
  <c r="N1716" i="1" s="1"/>
  <c r="O1716" i="1" s="1"/>
  <c r="M1717" i="1"/>
  <c r="N1717" i="1" s="1"/>
  <c r="M1718" i="1"/>
  <c r="N1718" i="1" s="1"/>
  <c r="M1719" i="1"/>
  <c r="N1719" i="1" s="1"/>
  <c r="M1720" i="1"/>
  <c r="N1720" i="1" s="1"/>
  <c r="M1721" i="1"/>
  <c r="N1721" i="1" s="1"/>
  <c r="M1722" i="1"/>
  <c r="N1722" i="1" s="1"/>
  <c r="M1723" i="1"/>
  <c r="N1723" i="1" s="1"/>
  <c r="M1724" i="1"/>
  <c r="N1724" i="1" s="1"/>
  <c r="O1724" i="1" s="1"/>
  <c r="M1725" i="1"/>
  <c r="N1725" i="1" s="1"/>
  <c r="M1726" i="1"/>
  <c r="N1726" i="1" s="1"/>
  <c r="M1727" i="1"/>
  <c r="N1727" i="1" s="1"/>
  <c r="M1728" i="1"/>
  <c r="N1728" i="1" s="1"/>
  <c r="P1728" i="1" s="1"/>
  <c r="M1729" i="1"/>
  <c r="N1729" i="1" s="1"/>
  <c r="M1730" i="1"/>
  <c r="N1730" i="1" s="1"/>
  <c r="M1731" i="1"/>
  <c r="N1731" i="1" s="1"/>
  <c r="M1732" i="1"/>
  <c r="N1732" i="1" s="1"/>
  <c r="O1732" i="1" s="1"/>
  <c r="M1733" i="1"/>
  <c r="N1733" i="1" s="1"/>
  <c r="M1734" i="1"/>
  <c r="N1734" i="1" s="1"/>
  <c r="M1735" i="1"/>
  <c r="N1735" i="1" s="1"/>
  <c r="M1736" i="1"/>
  <c r="N1736" i="1" s="1"/>
  <c r="M1737" i="1"/>
  <c r="N1737" i="1" s="1"/>
  <c r="M1738" i="1"/>
  <c r="N1738" i="1" s="1"/>
  <c r="M1739" i="1"/>
  <c r="N1739" i="1" s="1"/>
  <c r="M1740" i="1"/>
  <c r="N1740" i="1" s="1"/>
  <c r="O1740" i="1" s="1"/>
  <c r="M1741" i="1"/>
  <c r="N1741" i="1" s="1"/>
  <c r="M1742" i="1"/>
  <c r="N1742" i="1" s="1"/>
  <c r="M1743" i="1"/>
  <c r="N1743" i="1" s="1"/>
  <c r="M1744" i="1"/>
  <c r="N1744" i="1" s="1"/>
  <c r="M1745" i="1"/>
  <c r="N1745" i="1" s="1"/>
  <c r="O1745" i="1" s="1"/>
  <c r="M1746" i="1"/>
  <c r="N1746" i="1" s="1"/>
  <c r="M1747" i="1"/>
  <c r="N1747" i="1" s="1"/>
  <c r="M1748" i="1"/>
  <c r="N1748" i="1" s="1"/>
  <c r="M1749" i="1"/>
  <c r="N1749" i="1" s="1"/>
  <c r="O1749" i="1" s="1"/>
  <c r="M1750" i="1"/>
  <c r="N1750" i="1" s="1"/>
  <c r="M1751" i="1"/>
  <c r="N1751" i="1" s="1"/>
  <c r="M1752" i="1"/>
  <c r="N1752" i="1" s="1"/>
  <c r="M1753" i="1"/>
  <c r="N1753" i="1" s="1"/>
  <c r="O1753" i="1" s="1"/>
  <c r="M1754" i="1"/>
  <c r="N1754" i="1" s="1"/>
  <c r="M1755" i="1"/>
  <c r="N1755" i="1" s="1"/>
  <c r="M1756" i="1"/>
  <c r="N1756" i="1" s="1"/>
  <c r="M1757" i="1"/>
  <c r="N1757" i="1" s="1"/>
  <c r="O1757" i="1" s="1"/>
  <c r="M1758" i="1"/>
  <c r="N1758" i="1" s="1"/>
  <c r="M1759" i="1"/>
  <c r="N1759" i="1" s="1"/>
  <c r="M1760" i="1"/>
  <c r="N1760" i="1" s="1"/>
  <c r="M1761" i="1"/>
  <c r="N1761" i="1" s="1"/>
  <c r="O1761" i="1" s="1"/>
  <c r="M1762" i="1"/>
  <c r="N1762" i="1" s="1"/>
  <c r="M1763" i="1"/>
  <c r="N1763" i="1" s="1"/>
  <c r="M1764" i="1"/>
  <c r="N1764" i="1" s="1"/>
  <c r="M1765" i="1"/>
  <c r="N1765" i="1" s="1"/>
  <c r="O1765" i="1" s="1"/>
  <c r="M1766" i="1"/>
  <c r="N1766" i="1" s="1"/>
  <c r="M1767" i="1"/>
  <c r="N1767" i="1" s="1"/>
  <c r="M1768" i="1"/>
  <c r="N1768" i="1" s="1"/>
  <c r="M1769" i="1"/>
  <c r="N1769" i="1" s="1"/>
  <c r="O1769" i="1" s="1"/>
  <c r="M1770" i="1"/>
  <c r="N1770" i="1" s="1"/>
  <c r="M1771" i="1"/>
  <c r="N1771" i="1" s="1"/>
  <c r="M1772" i="1"/>
  <c r="N1772" i="1" s="1"/>
  <c r="M1773" i="1"/>
  <c r="N1773" i="1" s="1"/>
  <c r="O1773" i="1" s="1"/>
  <c r="M1774" i="1"/>
  <c r="N1774" i="1" s="1"/>
  <c r="M1775" i="1"/>
  <c r="N1775" i="1" s="1"/>
  <c r="M1776" i="1"/>
  <c r="N1776" i="1" s="1"/>
  <c r="M1777" i="1"/>
  <c r="N1777" i="1" s="1"/>
  <c r="O1777" i="1" s="1"/>
  <c r="M1778" i="1"/>
  <c r="N1778" i="1" s="1"/>
  <c r="M1779" i="1"/>
  <c r="N1779" i="1" s="1"/>
  <c r="M1780" i="1"/>
  <c r="N1780" i="1" s="1"/>
  <c r="M1781" i="1"/>
  <c r="N1781" i="1" s="1"/>
  <c r="O1781" i="1" s="1"/>
  <c r="M1782" i="1"/>
  <c r="N1782" i="1" s="1"/>
  <c r="M1783" i="1"/>
  <c r="N1783" i="1" s="1"/>
  <c r="M1784" i="1"/>
  <c r="N1784" i="1" s="1"/>
  <c r="M1785" i="1"/>
  <c r="N1785" i="1" s="1"/>
  <c r="O1785" i="1" s="1"/>
  <c r="M1786" i="1"/>
  <c r="N1786" i="1" s="1"/>
  <c r="M1787" i="1"/>
  <c r="N1787" i="1" s="1"/>
  <c r="M1788" i="1"/>
  <c r="N1788" i="1" s="1"/>
  <c r="M1789" i="1"/>
  <c r="N1789" i="1" s="1"/>
  <c r="O1789" i="1" s="1"/>
  <c r="M1790" i="1"/>
  <c r="N1790" i="1" s="1"/>
  <c r="M1791" i="1"/>
  <c r="N1791" i="1" s="1"/>
  <c r="M1792" i="1"/>
  <c r="N1792" i="1" s="1"/>
  <c r="P1792" i="1" s="1"/>
  <c r="M1793" i="1"/>
  <c r="N1793" i="1" s="1"/>
  <c r="O1793" i="1" s="1"/>
  <c r="M1794" i="1"/>
  <c r="N1794" i="1" s="1"/>
  <c r="M1795" i="1"/>
  <c r="N1795" i="1" s="1"/>
  <c r="M1796" i="1"/>
  <c r="N1796" i="1" s="1"/>
  <c r="M1797" i="1"/>
  <c r="N1797" i="1" s="1"/>
  <c r="O1797" i="1" s="1"/>
  <c r="M1798" i="1"/>
  <c r="N1798" i="1" s="1"/>
  <c r="M1799" i="1"/>
  <c r="N1799" i="1" s="1"/>
  <c r="M1800" i="1"/>
  <c r="N1800" i="1" s="1"/>
  <c r="M1801" i="1"/>
  <c r="N1801" i="1" s="1"/>
  <c r="O1801" i="1" s="1"/>
  <c r="M1802" i="1"/>
  <c r="N1802" i="1" s="1"/>
  <c r="M1803" i="1"/>
  <c r="N1803" i="1" s="1"/>
  <c r="M1804" i="1"/>
  <c r="N1804" i="1" s="1"/>
  <c r="M1805" i="1"/>
  <c r="N1805" i="1" s="1"/>
  <c r="O1805" i="1" s="1"/>
  <c r="M1806" i="1"/>
  <c r="N1806" i="1" s="1"/>
  <c r="M1807" i="1"/>
  <c r="N1807" i="1" s="1"/>
  <c r="M1808" i="1"/>
  <c r="N1808" i="1" s="1"/>
  <c r="M1809" i="1"/>
  <c r="N1809" i="1" s="1"/>
  <c r="O1809" i="1" s="1"/>
  <c r="M1810" i="1"/>
  <c r="N1810" i="1" s="1"/>
  <c r="M1811" i="1"/>
  <c r="N1811" i="1" s="1"/>
  <c r="M1812" i="1"/>
  <c r="N1812" i="1" s="1"/>
  <c r="M1813" i="1"/>
  <c r="N1813" i="1" s="1"/>
  <c r="O1813" i="1" s="1"/>
  <c r="M1814" i="1"/>
  <c r="N1814" i="1" s="1"/>
  <c r="M1815" i="1"/>
  <c r="N1815" i="1" s="1"/>
  <c r="M1816" i="1"/>
  <c r="N1816" i="1" s="1"/>
  <c r="M1817" i="1"/>
  <c r="N1817" i="1" s="1"/>
  <c r="O1817" i="1" s="1"/>
  <c r="M1818" i="1"/>
  <c r="N1818" i="1" s="1"/>
  <c r="M1819" i="1"/>
  <c r="N1819" i="1" s="1"/>
  <c r="M1820" i="1"/>
  <c r="N1820" i="1" s="1"/>
  <c r="M1821" i="1"/>
  <c r="N1821" i="1" s="1"/>
  <c r="O1821" i="1" s="1"/>
  <c r="M1822" i="1"/>
  <c r="N1822" i="1" s="1"/>
  <c r="M1823" i="1"/>
  <c r="N1823" i="1" s="1"/>
  <c r="M1824" i="1"/>
  <c r="N1824" i="1" s="1"/>
  <c r="M1825" i="1"/>
  <c r="N1825" i="1" s="1"/>
  <c r="O1825" i="1" s="1"/>
  <c r="M1826" i="1"/>
  <c r="N1826" i="1" s="1"/>
  <c r="M1827" i="1"/>
  <c r="N1827" i="1" s="1"/>
  <c r="M1828" i="1"/>
  <c r="N1828" i="1" s="1"/>
  <c r="M1829" i="1"/>
  <c r="N1829" i="1" s="1"/>
  <c r="O1829" i="1" s="1"/>
  <c r="M1830" i="1"/>
  <c r="N1830" i="1" s="1"/>
  <c r="M1831" i="1"/>
  <c r="N1831" i="1" s="1"/>
  <c r="M1832" i="1"/>
  <c r="N1832" i="1" s="1"/>
  <c r="M1833" i="1"/>
  <c r="N1833" i="1" s="1"/>
  <c r="O1833" i="1" s="1"/>
  <c r="M1834" i="1"/>
  <c r="N1834" i="1" s="1"/>
  <c r="M1835" i="1"/>
  <c r="N1835" i="1" s="1"/>
  <c r="M1836" i="1"/>
  <c r="N1836" i="1" s="1"/>
  <c r="M1837" i="1"/>
  <c r="N1837" i="1" s="1"/>
  <c r="O1837" i="1" s="1"/>
  <c r="M1838" i="1"/>
  <c r="N1838" i="1" s="1"/>
  <c r="M1839" i="1"/>
  <c r="N1839" i="1" s="1"/>
  <c r="M1840" i="1"/>
  <c r="N1840" i="1" s="1"/>
  <c r="M1841" i="1"/>
  <c r="N1841" i="1" s="1"/>
  <c r="O1841" i="1" s="1"/>
  <c r="M1842" i="1"/>
  <c r="N1842" i="1" s="1"/>
  <c r="M1843" i="1"/>
  <c r="N1843" i="1" s="1"/>
  <c r="M1844" i="1"/>
  <c r="N1844" i="1" s="1"/>
  <c r="M1845" i="1"/>
  <c r="N1845" i="1" s="1"/>
  <c r="O1845" i="1" s="1"/>
  <c r="M1846" i="1"/>
  <c r="N1846" i="1" s="1"/>
  <c r="M1847" i="1"/>
  <c r="N1847" i="1" s="1"/>
  <c r="M1848" i="1"/>
  <c r="N1848" i="1" s="1"/>
  <c r="M1849" i="1"/>
  <c r="N1849" i="1" s="1"/>
  <c r="O1849" i="1" s="1"/>
  <c r="M1850" i="1"/>
  <c r="N1850" i="1" s="1"/>
  <c r="M1851" i="1"/>
  <c r="N1851" i="1" s="1"/>
  <c r="M1852" i="1"/>
  <c r="N1852" i="1" s="1"/>
  <c r="M1853" i="1"/>
  <c r="N1853" i="1" s="1"/>
  <c r="O1853" i="1" s="1"/>
  <c r="M1854" i="1"/>
  <c r="N1854" i="1" s="1"/>
  <c r="M1855" i="1"/>
  <c r="N1855" i="1" s="1"/>
  <c r="M1856" i="1"/>
  <c r="N1856" i="1" s="1"/>
  <c r="P1856" i="1" s="1"/>
  <c r="M1857" i="1"/>
  <c r="N1857" i="1" s="1"/>
  <c r="O1857" i="1" s="1"/>
  <c r="M1858" i="1"/>
  <c r="N1858" i="1" s="1"/>
  <c r="M1859" i="1"/>
  <c r="N1859" i="1" s="1"/>
  <c r="M1860" i="1"/>
  <c r="N1860" i="1" s="1"/>
  <c r="M1861" i="1"/>
  <c r="N1861" i="1" s="1"/>
  <c r="O1861" i="1" s="1"/>
  <c r="M1862" i="1"/>
  <c r="N1862" i="1" s="1"/>
  <c r="M1863" i="1"/>
  <c r="N1863" i="1" s="1"/>
  <c r="M1864" i="1"/>
  <c r="N1864" i="1" s="1"/>
  <c r="M1865" i="1"/>
  <c r="N1865" i="1" s="1"/>
  <c r="O1865" i="1" s="1"/>
  <c r="M1866" i="1"/>
  <c r="N1866" i="1" s="1"/>
  <c r="M1867" i="1"/>
  <c r="N1867" i="1" s="1"/>
  <c r="M1868" i="1"/>
  <c r="N1868" i="1" s="1"/>
  <c r="M1869" i="1"/>
  <c r="N1869" i="1" s="1"/>
  <c r="O1869" i="1" s="1"/>
  <c r="M1870" i="1"/>
  <c r="N1870" i="1" s="1"/>
  <c r="M1871" i="1"/>
  <c r="N1871" i="1" s="1"/>
  <c r="M1872" i="1"/>
  <c r="N1872" i="1" s="1"/>
  <c r="M1873" i="1"/>
  <c r="N1873" i="1" s="1"/>
  <c r="O1873" i="1" s="1"/>
  <c r="M1874" i="1"/>
  <c r="N1874" i="1" s="1"/>
  <c r="M1875" i="1"/>
  <c r="N1875" i="1" s="1"/>
  <c r="M1876" i="1"/>
  <c r="N1876" i="1" s="1"/>
  <c r="M1877" i="1"/>
  <c r="N1877" i="1" s="1"/>
  <c r="O1877" i="1" s="1"/>
  <c r="M1878" i="1"/>
  <c r="N1878" i="1" s="1"/>
  <c r="M1879" i="1"/>
  <c r="N1879" i="1" s="1"/>
  <c r="M1880" i="1"/>
  <c r="N1880" i="1" s="1"/>
  <c r="M1881" i="1"/>
  <c r="N1881" i="1" s="1"/>
  <c r="O1881" i="1" s="1"/>
  <c r="M1882" i="1"/>
  <c r="N1882" i="1" s="1"/>
  <c r="M1883" i="1"/>
  <c r="N1883" i="1" s="1"/>
  <c r="M1884" i="1"/>
  <c r="N1884" i="1" s="1"/>
  <c r="M1885" i="1"/>
  <c r="N1885" i="1" s="1"/>
  <c r="O1885" i="1" s="1"/>
  <c r="M1886" i="1"/>
  <c r="N1886" i="1" s="1"/>
  <c r="M1887" i="1"/>
  <c r="N1887" i="1" s="1"/>
  <c r="M1888" i="1"/>
  <c r="N1888" i="1" s="1"/>
  <c r="M1889" i="1"/>
  <c r="N1889" i="1" s="1"/>
  <c r="O1889" i="1" s="1"/>
  <c r="M1890" i="1"/>
  <c r="N1890" i="1" s="1"/>
  <c r="M1891" i="1"/>
  <c r="N1891" i="1" s="1"/>
  <c r="M1892" i="1"/>
  <c r="N1892" i="1" s="1"/>
  <c r="M1893" i="1"/>
  <c r="N1893" i="1" s="1"/>
  <c r="O1893" i="1" s="1"/>
  <c r="M1894" i="1"/>
  <c r="N1894" i="1" s="1"/>
  <c r="M1895" i="1"/>
  <c r="N1895" i="1" s="1"/>
  <c r="M1896" i="1"/>
  <c r="N1896" i="1" s="1"/>
  <c r="M1897" i="1"/>
  <c r="N1897" i="1" s="1"/>
  <c r="O1897" i="1" s="1"/>
  <c r="M1898" i="1"/>
  <c r="N1898" i="1" s="1"/>
  <c r="M1899" i="1"/>
  <c r="N1899" i="1" s="1"/>
  <c r="M1900" i="1"/>
  <c r="N1900" i="1" s="1"/>
  <c r="M1901" i="1"/>
  <c r="N1901" i="1" s="1"/>
  <c r="O1901" i="1" s="1"/>
  <c r="M1902" i="1"/>
  <c r="N1902" i="1" s="1"/>
  <c r="M1903" i="1"/>
  <c r="N1903" i="1" s="1"/>
  <c r="M1904" i="1"/>
  <c r="N1904" i="1" s="1"/>
  <c r="M1905" i="1"/>
  <c r="N1905" i="1" s="1"/>
  <c r="O1905" i="1" s="1"/>
  <c r="M1906" i="1"/>
  <c r="N1906" i="1" s="1"/>
  <c r="M1907" i="1"/>
  <c r="N1907" i="1" s="1"/>
  <c r="M1908" i="1"/>
  <c r="N1908" i="1" s="1"/>
  <c r="M1909" i="1"/>
  <c r="N1909" i="1" s="1"/>
  <c r="O1909" i="1" s="1"/>
  <c r="M1910" i="1"/>
  <c r="N1910" i="1" s="1"/>
  <c r="M1911" i="1"/>
  <c r="N1911" i="1" s="1"/>
  <c r="M1912" i="1"/>
  <c r="N1912" i="1" s="1"/>
  <c r="M1913" i="1"/>
  <c r="N1913" i="1" s="1"/>
  <c r="O1913" i="1" s="1"/>
  <c r="M1914" i="1"/>
  <c r="N1914" i="1" s="1"/>
  <c r="M1915" i="1"/>
  <c r="N1915" i="1" s="1"/>
  <c r="M1916" i="1"/>
  <c r="N1916" i="1" s="1"/>
  <c r="M1917" i="1"/>
  <c r="N1917" i="1" s="1"/>
  <c r="O1917" i="1" s="1"/>
  <c r="M1918" i="1"/>
  <c r="N1918" i="1" s="1"/>
  <c r="M1919" i="1"/>
  <c r="N1919" i="1" s="1"/>
  <c r="M1920" i="1"/>
  <c r="N1920" i="1" s="1"/>
  <c r="P1920" i="1" s="1"/>
  <c r="M1921" i="1"/>
  <c r="N1921" i="1" s="1"/>
  <c r="O1921" i="1" s="1"/>
  <c r="M1922" i="1"/>
  <c r="N1922" i="1" s="1"/>
  <c r="M1923" i="1"/>
  <c r="N1923" i="1" s="1"/>
  <c r="M1924" i="1"/>
  <c r="N1924" i="1" s="1"/>
  <c r="M1925" i="1"/>
  <c r="N1925" i="1" s="1"/>
  <c r="O1925" i="1" s="1"/>
  <c r="M1926" i="1"/>
  <c r="N1926" i="1" s="1"/>
  <c r="M1927" i="1"/>
  <c r="N1927" i="1" s="1"/>
  <c r="M1928" i="1"/>
  <c r="N1928" i="1" s="1"/>
  <c r="M1929" i="1"/>
  <c r="N1929" i="1" s="1"/>
  <c r="O1929" i="1" s="1"/>
  <c r="M1930" i="1"/>
  <c r="N1930" i="1" s="1"/>
  <c r="M1931" i="1"/>
  <c r="N1931" i="1" s="1"/>
  <c r="M1932" i="1"/>
  <c r="N1932" i="1" s="1"/>
  <c r="M1933" i="1"/>
  <c r="N1933" i="1" s="1"/>
  <c r="O1933" i="1" s="1"/>
  <c r="M1934" i="1"/>
  <c r="N1934" i="1" s="1"/>
  <c r="M1935" i="1"/>
  <c r="N1935" i="1" s="1"/>
  <c r="M1936" i="1"/>
  <c r="N1936" i="1" s="1"/>
  <c r="M1937" i="1"/>
  <c r="N1937" i="1" s="1"/>
  <c r="O1937" i="1" s="1"/>
  <c r="M1938" i="1"/>
  <c r="N1938" i="1" s="1"/>
  <c r="M1939" i="1"/>
  <c r="N1939" i="1" s="1"/>
  <c r="M1940" i="1"/>
  <c r="N1940" i="1" s="1"/>
  <c r="M1941" i="1"/>
  <c r="N1941" i="1" s="1"/>
  <c r="O1941" i="1" s="1"/>
  <c r="M1942" i="1"/>
  <c r="N1942" i="1" s="1"/>
  <c r="M1943" i="1"/>
  <c r="N1943" i="1" s="1"/>
  <c r="M1944" i="1"/>
  <c r="N1944" i="1" s="1"/>
  <c r="M1945" i="1"/>
  <c r="N1945" i="1" s="1"/>
  <c r="O1945" i="1" s="1"/>
  <c r="M1946" i="1"/>
  <c r="N1946" i="1" s="1"/>
  <c r="M1947" i="1"/>
  <c r="N1947" i="1" s="1"/>
  <c r="M1948" i="1"/>
  <c r="N1948" i="1" s="1"/>
  <c r="M1949" i="1"/>
  <c r="N1949" i="1" s="1"/>
  <c r="O1949" i="1" s="1"/>
  <c r="M1950" i="1"/>
  <c r="N1950" i="1" s="1"/>
  <c r="M1951" i="1"/>
  <c r="N1951" i="1" s="1"/>
  <c r="M1952" i="1"/>
  <c r="N1952" i="1" s="1"/>
  <c r="M1953" i="1"/>
  <c r="N1953" i="1" s="1"/>
  <c r="O1953" i="1" s="1"/>
  <c r="M1954" i="1"/>
  <c r="N1954" i="1" s="1"/>
  <c r="M1955" i="1"/>
  <c r="N1955" i="1" s="1"/>
  <c r="M1956" i="1"/>
  <c r="N1956" i="1" s="1"/>
  <c r="M1957" i="1"/>
  <c r="N1957" i="1" s="1"/>
  <c r="O1957" i="1" s="1"/>
  <c r="M1958" i="1"/>
  <c r="N1958" i="1" s="1"/>
  <c r="M1959" i="1"/>
  <c r="N1959" i="1" s="1"/>
  <c r="M1960" i="1"/>
  <c r="N1960" i="1" s="1"/>
  <c r="P1960" i="1" s="1"/>
  <c r="M1961" i="1"/>
  <c r="N1961" i="1" s="1"/>
  <c r="O1961" i="1" s="1"/>
  <c r="M1962" i="1"/>
  <c r="N1962" i="1" s="1"/>
  <c r="M1963" i="1"/>
  <c r="N1963" i="1" s="1"/>
  <c r="M1964" i="1"/>
  <c r="N1964" i="1" s="1"/>
  <c r="M1965" i="1"/>
  <c r="N1965" i="1" s="1"/>
  <c r="O1965" i="1" s="1"/>
  <c r="M1966" i="1"/>
  <c r="N1966" i="1" s="1"/>
  <c r="M1967" i="1"/>
  <c r="N1967" i="1" s="1"/>
  <c r="M1968" i="1"/>
  <c r="N1968" i="1" s="1"/>
  <c r="M1969" i="1"/>
  <c r="N1969" i="1" s="1"/>
  <c r="O1969" i="1" s="1"/>
  <c r="M1970" i="1"/>
  <c r="N1970" i="1" s="1"/>
  <c r="M1971" i="1"/>
  <c r="N1971" i="1" s="1"/>
  <c r="M1972" i="1"/>
  <c r="N1972" i="1" s="1"/>
  <c r="M1973" i="1"/>
  <c r="N1973" i="1" s="1"/>
  <c r="O1973" i="1" s="1"/>
  <c r="M1974" i="1"/>
  <c r="N1974" i="1" s="1"/>
  <c r="M1975" i="1"/>
  <c r="N1975" i="1" s="1"/>
  <c r="M1976" i="1"/>
  <c r="N1976" i="1" s="1"/>
  <c r="M1977" i="1"/>
  <c r="N1977" i="1" s="1"/>
  <c r="O1977" i="1" s="1"/>
  <c r="M1978" i="1"/>
  <c r="N1978" i="1" s="1"/>
  <c r="M1979" i="1"/>
  <c r="N1979" i="1" s="1"/>
  <c r="M1980" i="1"/>
  <c r="N1980" i="1" s="1"/>
  <c r="M1981" i="1"/>
  <c r="N1981" i="1" s="1"/>
  <c r="O1981" i="1" s="1"/>
  <c r="M1982" i="1"/>
  <c r="N1982" i="1" s="1"/>
  <c r="M1983" i="1"/>
  <c r="N1983" i="1" s="1"/>
  <c r="M1984" i="1"/>
  <c r="N1984" i="1" s="1"/>
  <c r="M1985" i="1"/>
  <c r="N1985" i="1" s="1"/>
  <c r="O1985" i="1" s="1"/>
  <c r="M1986" i="1"/>
  <c r="N1986" i="1" s="1"/>
  <c r="M1987" i="1"/>
  <c r="N1987" i="1" s="1"/>
  <c r="M1988" i="1"/>
  <c r="N1988" i="1" s="1"/>
  <c r="M1989" i="1"/>
  <c r="N1989" i="1" s="1"/>
  <c r="O1989" i="1" s="1"/>
  <c r="M1990" i="1"/>
  <c r="N1990" i="1" s="1"/>
  <c r="M1991" i="1"/>
  <c r="N1991" i="1" s="1"/>
  <c r="M1992" i="1"/>
  <c r="N1992" i="1" s="1"/>
  <c r="M1993" i="1"/>
  <c r="N1993" i="1" s="1"/>
  <c r="O1993" i="1" s="1"/>
  <c r="M1994" i="1"/>
  <c r="N1994" i="1" s="1"/>
  <c r="M1995" i="1"/>
  <c r="N1995" i="1" s="1"/>
  <c r="P1995" i="1" s="1"/>
  <c r="M1996" i="1"/>
  <c r="N1996" i="1" s="1"/>
  <c r="M1997" i="1"/>
  <c r="N1997" i="1" s="1"/>
  <c r="O1997" i="1" s="1"/>
  <c r="M1998" i="1"/>
  <c r="N1998" i="1" s="1"/>
  <c r="M1999" i="1"/>
  <c r="N1999" i="1" s="1"/>
  <c r="M2000" i="1"/>
  <c r="N2000" i="1" s="1"/>
  <c r="M2001" i="1"/>
  <c r="N2001" i="1" s="1"/>
  <c r="O2001" i="1" s="1"/>
  <c r="M2002" i="1"/>
  <c r="N2002" i="1" s="1"/>
  <c r="M2003" i="1"/>
  <c r="N2003" i="1" s="1"/>
  <c r="M2004" i="1"/>
  <c r="N2004" i="1" s="1"/>
  <c r="M2005" i="1"/>
  <c r="N2005" i="1" s="1"/>
  <c r="O2005" i="1" s="1"/>
  <c r="M2006" i="1"/>
  <c r="N2006" i="1" s="1"/>
  <c r="M2007" i="1"/>
  <c r="N2007" i="1" s="1"/>
  <c r="M2008" i="1"/>
  <c r="N2008" i="1" s="1"/>
  <c r="M2009" i="1"/>
  <c r="N2009" i="1" s="1"/>
  <c r="O2009" i="1" s="1"/>
  <c r="M2010" i="1"/>
  <c r="N2010" i="1" s="1"/>
  <c r="M2011" i="1"/>
  <c r="N2011" i="1" s="1"/>
  <c r="P2011" i="1" s="1"/>
  <c r="M2012" i="1"/>
  <c r="N2012" i="1" s="1"/>
  <c r="M2013" i="1"/>
  <c r="N2013" i="1" s="1"/>
  <c r="O2013" i="1" s="1"/>
  <c r="M2014" i="1"/>
  <c r="N2014" i="1" s="1"/>
  <c r="M2015" i="1"/>
  <c r="N2015" i="1" s="1"/>
  <c r="M2016" i="1"/>
  <c r="N2016" i="1" s="1"/>
  <c r="M2017" i="1"/>
  <c r="N2017" i="1" s="1"/>
  <c r="O2017" i="1" s="1"/>
  <c r="M2018" i="1"/>
  <c r="N2018" i="1" s="1"/>
  <c r="M2019" i="1"/>
  <c r="N2019" i="1" s="1"/>
  <c r="M2020" i="1"/>
  <c r="N2020" i="1" s="1"/>
  <c r="M2021" i="1"/>
  <c r="N2021" i="1" s="1"/>
  <c r="O2021" i="1" s="1"/>
  <c r="M2022" i="1"/>
  <c r="N2022" i="1" s="1"/>
  <c r="M2023" i="1"/>
  <c r="N2023" i="1" s="1"/>
  <c r="M2024" i="1"/>
  <c r="N2024" i="1" s="1"/>
  <c r="M2025" i="1"/>
  <c r="N2025" i="1" s="1"/>
  <c r="O2025" i="1" s="1"/>
  <c r="M2026" i="1"/>
  <c r="N2026" i="1" s="1"/>
  <c r="M2027" i="1"/>
  <c r="N2027" i="1" s="1"/>
  <c r="P2027" i="1" s="1"/>
  <c r="M2028" i="1"/>
  <c r="N2028" i="1" s="1"/>
  <c r="M2029" i="1"/>
  <c r="N2029" i="1" s="1"/>
  <c r="O2029" i="1" s="1"/>
  <c r="M2030" i="1"/>
  <c r="N2030" i="1" s="1"/>
  <c r="M2031" i="1"/>
  <c r="N2031" i="1" s="1"/>
  <c r="M2032" i="1"/>
  <c r="N2032" i="1" s="1"/>
  <c r="M2033" i="1"/>
  <c r="N2033" i="1" s="1"/>
  <c r="O2033" i="1" s="1"/>
  <c r="M2034" i="1"/>
  <c r="N2034" i="1" s="1"/>
  <c r="M2035" i="1"/>
  <c r="N2035" i="1" s="1"/>
  <c r="M2036" i="1"/>
  <c r="N2036" i="1" s="1"/>
  <c r="M2037" i="1"/>
  <c r="N2037" i="1" s="1"/>
  <c r="O2037" i="1" s="1"/>
  <c r="M2038" i="1"/>
  <c r="N2038" i="1" s="1"/>
  <c r="M2039" i="1"/>
  <c r="N2039" i="1" s="1"/>
  <c r="M2040" i="1"/>
  <c r="N2040" i="1" s="1"/>
  <c r="M2041" i="1"/>
  <c r="N2041" i="1" s="1"/>
  <c r="O2041" i="1" s="1"/>
  <c r="M2042" i="1"/>
  <c r="N2042" i="1" s="1"/>
  <c r="M2043" i="1"/>
  <c r="N2043" i="1" s="1"/>
  <c r="P2043" i="1" s="1"/>
  <c r="M2044" i="1"/>
  <c r="N2044" i="1" s="1"/>
  <c r="M2045" i="1"/>
  <c r="N2045" i="1" s="1"/>
  <c r="O2045" i="1" s="1"/>
  <c r="M2046" i="1"/>
  <c r="N2046" i="1" s="1"/>
  <c r="M2047" i="1"/>
  <c r="N2047" i="1" s="1"/>
  <c r="M2048" i="1"/>
  <c r="N2048" i="1" s="1"/>
  <c r="M2049" i="1"/>
  <c r="N2049" i="1" s="1"/>
  <c r="O2049" i="1" s="1"/>
  <c r="M2050" i="1"/>
  <c r="N2050" i="1" s="1"/>
  <c r="M2051" i="1"/>
  <c r="N2051" i="1" s="1"/>
  <c r="M2052" i="1"/>
  <c r="N2052" i="1" s="1"/>
  <c r="M2053" i="1"/>
  <c r="N2053" i="1" s="1"/>
  <c r="O2053" i="1" s="1"/>
  <c r="M2054" i="1"/>
  <c r="N2054" i="1" s="1"/>
  <c r="M2055" i="1"/>
  <c r="N2055" i="1" s="1"/>
  <c r="M2056" i="1"/>
  <c r="N2056" i="1" s="1"/>
  <c r="M2057" i="1"/>
  <c r="N2057" i="1" s="1"/>
  <c r="O2057" i="1" s="1"/>
  <c r="M2058" i="1"/>
  <c r="N2058" i="1" s="1"/>
  <c r="M2059" i="1"/>
  <c r="N2059" i="1" s="1"/>
  <c r="P2059" i="1" s="1"/>
  <c r="M2060" i="1"/>
  <c r="N2060" i="1" s="1"/>
  <c r="M2061" i="1"/>
  <c r="N2061" i="1" s="1"/>
  <c r="O2061" i="1" s="1"/>
  <c r="M2062" i="1"/>
  <c r="N2062" i="1" s="1"/>
  <c r="M2063" i="1"/>
  <c r="N2063" i="1" s="1"/>
  <c r="M2064" i="1"/>
  <c r="N2064" i="1" s="1"/>
  <c r="M2065" i="1"/>
  <c r="N2065" i="1" s="1"/>
  <c r="O2065" i="1" s="1"/>
  <c r="M2066" i="1"/>
  <c r="N2066" i="1" s="1"/>
  <c r="M2067" i="1"/>
  <c r="N2067" i="1" s="1"/>
  <c r="M2068" i="1"/>
  <c r="N2068" i="1" s="1"/>
  <c r="M2069" i="1"/>
  <c r="N2069" i="1" s="1"/>
  <c r="O2069" i="1" s="1"/>
  <c r="M2070" i="1"/>
  <c r="N2070" i="1" s="1"/>
  <c r="M2071" i="1"/>
  <c r="N2071" i="1" s="1"/>
  <c r="M2072" i="1"/>
  <c r="N2072" i="1" s="1"/>
  <c r="M2073" i="1"/>
  <c r="N2073" i="1" s="1"/>
  <c r="O2073" i="1" s="1"/>
  <c r="M2074" i="1"/>
  <c r="N2074" i="1" s="1"/>
  <c r="M2075" i="1"/>
  <c r="N2075" i="1" s="1"/>
  <c r="P2075" i="1" s="1"/>
  <c r="M2076" i="1"/>
  <c r="N2076" i="1" s="1"/>
  <c r="M2077" i="1"/>
  <c r="N2077" i="1" s="1"/>
  <c r="O2077" i="1" s="1"/>
  <c r="M2078" i="1"/>
  <c r="N2078" i="1" s="1"/>
  <c r="M2079" i="1"/>
  <c r="N2079" i="1" s="1"/>
  <c r="M2080" i="1"/>
  <c r="N2080" i="1" s="1"/>
  <c r="M2081" i="1"/>
  <c r="N2081" i="1" s="1"/>
  <c r="O2081" i="1" s="1"/>
  <c r="M2082" i="1"/>
  <c r="N2082" i="1" s="1"/>
  <c r="M2083" i="1"/>
  <c r="N2083" i="1" s="1"/>
  <c r="M2084" i="1"/>
  <c r="N2084" i="1" s="1"/>
  <c r="M2085" i="1"/>
  <c r="N2085" i="1" s="1"/>
  <c r="O2085" i="1" s="1"/>
  <c r="M2086" i="1"/>
  <c r="N2086" i="1" s="1"/>
  <c r="M2087" i="1"/>
  <c r="N2087" i="1" s="1"/>
  <c r="M2088" i="1"/>
  <c r="N2088" i="1" s="1"/>
  <c r="M2089" i="1"/>
  <c r="N2089" i="1" s="1"/>
  <c r="O2089" i="1" s="1"/>
  <c r="M2090" i="1"/>
  <c r="N2090" i="1" s="1"/>
  <c r="M2091" i="1"/>
  <c r="N2091" i="1" s="1"/>
  <c r="P2091" i="1" s="1"/>
  <c r="M2092" i="1"/>
  <c r="N2092" i="1" s="1"/>
  <c r="M2093" i="1"/>
  <c r="N2093" i="1" s="1"/>
  <c r="O2093" i="1" s="1"/>
  <c r="M2094" i="1"/>
  <c r="N2094" i="1" s="1"/>
  <c r="M2095" i="1"/>
  <c r="N2095" i="1" s="1"/>
  <c r="M2096" i="1"/>
  <c r="N2096" i="1" s="1"/>
  <c r="M2097" i="1"/>
  <c r="N2097" i="1" s="1"/>
  <c r="O2097" i="1" s="1"/>
  <c r="M2098" i="1"/>
  <c r="N2098" i="1" s="1"/>
  <c r="M2099" i="1"/>
  <c r="N2099" i="1" s="1"/>
  <c r="M2100" i="1"/>
  <c r="N2100" i="1" s="1"/>
  <c r="M2101" i="1"/>
  <c r="N2101" i="1" s="1"/>
  <c r="O2101" i="1" s="1"/>
  <c r="M2102" i="1"/>
  <c r="N2102" i="1" s="1"/>
  <c r="M2103" i="1"/>
  <c r="N2103" i="1" s="1"/>
  <c r="M2104" i="1"/>
  <c r="N2104" i="1" s="1"/>
  <c r="M2105" i="1"/>
  <c r="N2105" i="1" s="1"/>
  <c r="O2105" i="1" s="1"/>
  <c r="M2106" i="1"/>
  <c r="N2106" i="1" s="1"/>
  <c r="M2107" i="1"/>
  <c r="N2107" i="1" s="1"/>
  <c r="P2107" i="1" s="1"/>
  <c r="P2089" i="1" l="1"/>
  <c r="P2025" i="1"/>
  <c r="P1961" i="1"/>
  <c r="P1897" i="1"/>
  <c r="P1833" i="1"/>
  <c r="P1769" i="1"/>
  <c r="P1446" i="1"/>
  <c r="O2091" i="1"/>
  <c r="P2073" i="1"/>
  <c r="P2009" i="1"/>
  <c r="P1945" i="1"/>
  <c r="P1881" i="1"/>
  <c r="P1817" i="1"/>
  <c r="P1753" i="1"/>
  <c r="P1382" i="1"/>
  <c r="O2027" i="1"/>
  <c r="P2057" i="1"/>
  <c r="P1993" i="1"/>
  <c r="P1929" i="1"/>
  <c r="P1865" i="1"/>
  <c r="P1801" i="1"/>
  <c r="P1574" i="1"/>
  <c r="P1318" i="1"/>
  <c r="P2105" i="1"/>
  <c r="P2041" i="1"/>
  <c r="P1977" i="1"/>
  <c r="P1913" i="1"/>
  <c r="P1849" i="1"/>
  <c r="P1785" i="1"/>
  <c r="P1510" i="1"/>
  <c r="P1254" i="1"/>
  <c r="O2096" i="1"/>
  <c r="P2096" i="1"/>
  <c r="O2084" i="1"/>
  <c r="P2084" i="1"/>
  <c r="O2076" i="1"/>
  <c r="P2076" i="1"/>
  <c r="O2064" i="1"/>
  <c r="P2064" i="1"/>
  <c r="O2048" i="1"/>
  <c r="P2048" i="1"/>
  <c r="O2040" i="1"/>
  <c r="P2040" i="1"/>
  <c r="O2032" i="1"/>
  <c r="P2032" i="1"/>
  <c r="O2020" i="1"/>
  <c r="P2020" i="1"/>
  <c r="O2012" i="1"/>
  <c r="P2012" i="1"/>
  <c r="O2000" i="1"/>
  <c r="P2000" i="1"/>
  <c r="O1988" i="1"/>
  <c r="P1988" i="1"/>
  <c r="O1972" i="1"/>
  <c r="P1972" i="1"/>
  <c r="O1948" i="1"/>
  <c r="P1948" i="1"/>
  <c r="O1940" i="1"/>
  <c r="P1940" i="1"/>
  <c r="O1908" i="1"/>
  <c r="P1908" i="1"/>
  <c r="O1900" i="1"/>
  <c r="P1900" i="1"/>
  <c r="O1888" i="1"/>
  <c r="P1888" i="1"/>
  <c r="O1880" i="1"/>
  <c r="P1880" i="1"/>
  <c r="O1844" i="1"/>
  <c r="P1844" i="1"/>
  <c r="O1836" i="1"/>
  <c r="P1836" i="1"/>
  <c r="O1824" i="1"/>
  <c r="P1824" i="1"/>
  <c r="O1812" i="1"/>
  <c r="P1812" i="1"/>
  <c r="O1784" i="1"/>
  <c r="P1784" i="1"/>
  <c r="O1772" i="1"/>
  <c r="P1772" i="1"/>
  <c r="O1760" i="1"/>
  <c r="P1760" i="1"/>
  <c r="O1752" i="1"/>
  <c r="P1752" i="1"/>
  <c r="O1744" i="1"/>
  <c r="P1744" i="1"/>
  <c r="P1712" i="1"/>
  <c r="O1712" i="1"/>
  <c r="O1680" i="1"/>
  <c r="P1680" i="1"/>
  <c r="O1672" i="1"/>
  <c r="P1672" i="1"/>
  <c r="O1640" i="1"/>
  <c r="P1640" i="1"/>
  <c r="O1628" i="1"/>
  <c r="P1628" i="1"/>
  <c r="P1616" i="1"/>
  <c r="O1616" i="1"/>
  <c r="O1608" i="1"/>
  <c r="P1608" i="1"/>
  <c r="O1596" i="1"/>
  <c r="P1596" i="1"/>
  <c r="P1584" i="1"/>
  <c r="O1584" i="1"/>
  <c r="O1564" i="1"/>
  <c r="P1564" i="1"/>
  <c r="O1556" i="1"/>
  <c r="P1556" i="1"/>
  <c r="O1524" i="1"/>
  <c r="P1524" i="1"/>
  <c r="O1512" i="1"/>
  <c r="P1512" i="1"/>
  <c r="P1504" i="1"/>
  <c r="O1504" i="1"/>
  <c r="O1492" i="1"/>
  <c r="P1492" i="1"/>
  <c r="O1476" i="1"/>
  <c r="P1476" i="1"/>
  <c r="O1464" i="1"/>
  <c r="P1464" i="1"/>
  <c r="O1452" i="1"/>
  <c r="P1452" i="1"/>
  <c r="O1448" i="1"/>
  <c r="P1448" i="1"/>
  <c r="O1436" i="1"/>
  <c r="P1436" i="1"/>
  <c r="O1424" i="1"/>
  <c r="P1424" i="1"/>
  <c r="O1416" i="1"/>
  <c r="P1416" i="1"/>
  <c r="O1400" i="1"/>
  <c r="P1400" i="1"/>
  <c r="O1388" i="1"/>
  <c r="P1388" i="1"/>
  <c r="O1376" i="1"/>
  <c r="P1376" i="1"/>
  <c r="O1364" i="1"/>
  <c r="P1364" i="1"/>
  <c r="O1352" i="1"/>
  <c r="P1352" i="1"/>
  <c r="O1344" i="1"/>
  <c r="P1344" i="1"/>
  <c r="O1332" i="1"/>
  <c r="P1332" i="1"/>
  <c r="O1320" i="1"/>
  <c r="P1320" i="1"/>
  <c r="O1312" i="1"/>
  <c r="P1312" i="1"/>
  <c r="O1300" i="1"/>
  <c r="P1300" i="1"/>
  <c r="O1288" i="1"/>
  <c r="P1288" i="1"/>
  <c r="O1276" i="1"/>
  <c r="P1276" i="1"/>
  <c r="O1268" i="1"/>
  <c r="P1268" i="1"/>
  <c r="O1256" i="1"/>
  <c r="P1256" i="1"/>
  <c r="O1244" i="1"/>
  <c r="P1244" i="1"/>
  <c r="O1236" i="1"/>
  <c r="P1236" i="1"/>
  <c r="O1220" i="1"/>
  <c r="P1220" i="1"/>
  <c r="O1208" i="1"/>
  <c r="P1208" i="1"/>
  <c r="O1196" i="1"/>
  <c r="P1196" i="1"/>
  <c r="O1184" i="1"/>
  <c r="P1184" i="1"/>
  <c r="O1180" i="1"/>
  <c r="P1180" i="1"/>
  <c r="O1168" i="1"/>
  <c r="P1168" i="1"/>
  <c r="O1156" i="1"/>
  <c r="P1156" i="1"/>
  <c r="O1128" i="1"/>
  <c r="P1128" i="1"/>
  <c r="O1116" i="1"/>
  <c r="P1116" i="1"/>
  <c r="O1108" i="1"/>
  <c r="P1108" i="1"/>
  <c r="O1096" i="1"/>
  <c r="P1096" i="1"/>
  <c r="O1084" i="1"/>
  <c r="P1084" i="1"/>
  <c r="O1064" i="1"/>
  <c r="P1064" i="1"/>
  <c r="O1052" i="1"/>
  <c r="P1052" i="1"/>
  <c r="O1040" i="1"/>
  <c r="P1040" i="1"/>
  <c r="O1028" i="1"/>
  <c r="P1028" i="1"/>
  <c r="O1016" i="1"/>
  <c r="P1016" i="1"/>
  <c r="O1004" i="1"/>
  <c r="P1004" i="1"/>
  <c r="O992" i="1"/>
  <c r="P992" i="1"/>
  <c r="O980" i="1"/>
  <c r="P980" i="1"/>
  <c r="O972" i="1"/>
  <c r="P972" i="1"/>
  <c r="O960" i="1"/>
  <c r="P960" i="1"/>
  <c r="O932" i="1"/>
  <c r="P932" i="1"/>
  <c r="O920" i="1"/>
  <c r="P920" i="1"/>
  <c r="O908" i="1"/>
  <c r="P908" i="1"/>
  <c r="O900" i="1"/>
  <c r="P900" i="1"/>
  <c r="O872" i="1"/>
  <c r="P872" i="1"/>
  <c r="O860" i="1"/>
  <c r="P860" i="1"/>
  <c r="O852" i="1"/>
  <c r="P852" i="1"/>
  <c r="O840" i="1"/>
  <c r="P840" i="1"/>
  <c r="O828" i="1"/>
  <c r="P828" i="1"/>
  <c r="O816" i="1"/>
  <c r="P816" i="1"/>
  <c r="O804" i="1"/>
  <c r="P804" i="1"/>
  <c r="O792" i="1"/>
  <c r="P792" i="1"/>
  <c r="O784" i="1"/>
  <c r="P784" i="1"/>
  <c r="O772" i="1"/>
  <c r="P772" i="1"/>
  <c r="O744" i="1"/>
  <c r="P744" i="1"/>
  <c r="O732" i="1"/>
  <c r="P732" i="1"/>
  <c r="O724" i="1"/>
  <c r="P724" i="1"/>
  <c r="O712" i="1"/>
  <c r="P712" i="1"/>
  <c r="O700" i="1"/>
  <c r="P700" i="1"/>
  <c r="O696" i="1"/>
  <c r="P696" i="1"/>
  <c r="O684" i="1"/>
  <c r="P684" i="1"/>
  <c r="O672" i="1"/>
  <c r="P672" i="1"/>
  <c r="O664" i="1"/>
  <c r="P664" i="1"/>
  <c r="O652" i="1"/>
  <c r="P652" i="1"/>
  <c r="O640" i="1"/>
  <c r="P640" i="1"/>
  <c r="O632" i="1"/>
  <c r="P632" i="1"/>
  <c r="O620" i="1"/>
  <c r="P620" i="1"/>
  <c r="O604" i="1"/>
  <c r="P604" i="1"/>
  <c r="O596" i="1"/>
  <c r="P596" i="1"/>
  <c r="O588" i="1"/>
  <c r="P588" i="1"/>
  <c r="O576" i="1"/>
  <c r="P576" i="1"/>
  <c r="O568" i="1"/>
  <c r="P568" i="1"/>
  <c r="O556" i="1"/>
  <c r="P556" i="1"/>
  <c r="O544" i="1"/>
  <c r="P544" i="1"/>
  <c r="O532" i="1"/>
  <c r="P532" i="1"/>
  <c r="O524" i="1"/>
  <c r="P524" i="1"/>
  <c r="O512" i="1"/>
  <c r="P512" i="1"/>
  <c r="O500" i="1"/>
  <c r="P500" i="1"/>
  <c r="O492" i="1"/>
  <c r="P492" i="1"/>
  <c r="O480" i="1"/>
  <c r="P480" i="1"/>
  <c r="O468" i="1"/>
  <c r="P468" i="1"/>
  <c r="O460" i="1"/>
  <c r="P460" i="1"/>
  <c r="O448" i="1"/>
  <c r="P448" i="1"/>
  <c r="O436" i="1"/>
  <c r="P436" i="1"/>
  <c r="O428" i="1"/>
  <c r="P428" i="1"/>
  <c r="O416" i="1"/>
  <c r="P416" i="1"/>
  <c r="O404" i="1"/>
  <c r="P404" i="1"/>
  <c r="O396" i="1"/>
  <c r="P396" i="1"/>
  <c r="O384" i="1"/>
  <c r="P384" i="1"/>
  <c r="O372" i="1"/>
  <c r="P372" i="1"/>
  <c r="O364" i="1"/>
  <c r="P364" i="1"/>
  <c r="O352" i="1"/>
  <c r="P352" i="1"/>
  <c r="O340" i="1"/>
  <c r="P340" i="1"/>
  <c r="O328" i="1"/>
  <c r="P328" i="1"/>
  <c r="O316" i="1"/>
  <c r="P316" i="1"/>
  <c r="O308" i="1"/>
  <c r="P308" i="1"/>
  <c r="O296" i="1"/>
  <c r="P296" i="1"/>
  <c r="O284" i="1"/>
  <c r="P284" i="1"/>
  <c r="O272" i="1"/>
  <c r="P272" i="1"/>
  <c r="O264" i="1"/>
  <c r="P264" i="1"/>
  <c r="O252" i="1"/>
  <c r="P252" i="1"/>
  <c r="O240" i="1"/>
  <c r="P240" i="1"/>
  <c r="O232" i="1"/>
  <c r="P232" i="1"/>
  <c r="O220" i="1"/>
  <c r="P220" i="1"/>
  <c r="O208" i="1"/>
  <c r="P208" i="1"/>
  <c r="O196" i="1"/>
  <c r="P196" i="1"/>
  <c r="O184" i="1"/>
  <c r="P184" i="1"/>
  <c r="O176" i="1"/>
  <c r="P176" i="1"/>
  <c r="O164" i="1"/>
  <c r="P164" i="1"/>
  <c r="O156" i="1"/>
  <c r="P156" i="1"/>
  <c r="O144" i="1"/>
  <c r="P144" i="1"/>
  <c r="O136" i="1"/>
  <c r="P136" i="1"/>
  <c r="O128" i="1"/>
  <c r="P128" i="1"/>
  <c r="O1920" i="1"/>
  <c r="P1732" i="1"/>
  <c r="P1700" i="1"/>
  <c r="P1668" i="1"/>
  <c r="P1636" i="1"/>
  <c r="P1076" i="1"/>
  <c r="P820" i="1"/>
  <c r="O1443" i="1"/>
  <c r="P1443" i="1"/>
  <c r="O1439" i="1"/>
  <c r="P1439" i="1"/>
  <c r="O1435" i="1"/>
  <c r="P1435" i="1"/>
  <c r="O1431" i="1"/>
  <c r="P1431" i="1"/>
  <c r="O1427" i="1"/>
  <c r="P1427" i="1"/>
  <c r="O1423" i="1"/>
  <c r="P1423" i="1"/>
  <c r="O1419" i="1"/>
  <c r="P1419" i="1"/>
  <c r="O1415" i="1"/>
  <c r="P1415" i="1"/>
  <c r="O1411" i="1"/>
  <c r="P1411" i="1"/>
  <c r="O1407" i="1"/>
  <c r="P1407" i="1"/>
  <c r="O1403" i="1"/>
  <c r="P1403" i="1"/>
  <c r="O1399" i="1"/>
  <c r="P1399" i="1"/>
  <c r="O1395" i="1"/>
  <c r="P1395" i="1"/>
  <c r="O1391" i="1"/>
  <c r="P1391" i="1"/>
  <c r="O1387" i="1"/>
  <c r="P1387" i="1"/>
  <c r="O1383" i="1"/>
  <c r="P1383" i="1"/>
  <c r="O1379" i="1"/>
  <c r="P1379" i="1"/>
  <c r="O1375" i="1"/>
  <c r="P1375" i="1"/>
  <c r="O1371" i="1"/>
  <c r="P1371" i="1"/>
  <c r="O1367" i="1"/>
  <c r="P1367" i="1"/>
  <c r="O1363" i="1"/>
  <c r="P1363" i="1"/>
  <c r="O1359" i="1"/>
  <c r="P1359" i="1"/>
  <c r="O1355" i="1"/>
  <c r="P1355" i="1"/>
  <c r="O1351" i="1"/>
  <c r="P1351" i="1"/>
  <c r="O1347" i="1"/>
  <c r="P1347" i="1"/>
  <c r="O1343" i="1"/>
  <c r="P1343" i="1"/>
  <c r="O1339" i="1"/>
  <c r="P1339" i="1"/>
  <c r="O1335" i="1"/>
  <c r="P1335" i="1"/>
  <c r="O1331" i="1"/>
  <c r="P1331" i="1"/>
  <c r="O1327" i="1"/>
  <c r="P1327" i="1"/>
  <c r="O1323" i="1"/>
  <c r="P1323" i="1"/>
  <c r="O1319" i="1"/>
  <c r="P1319" i="1"/>
  <c r="O1315" i="1"/>
  <c r="P1315" i="1"/>
  <c r="O1311" i="1"/>
  <c r="P1311" i="1"/>
  <c r="O1307" i="1"/>
  <c r="P1307" i="1"/>
  <c r="O1303" i="1"/>
  <c r="P1303" i="1"/>
  <c r="O1299" i="1"/>
  <c r="P1299" i="1"/>
  <c r="O1295" i="1"/>
  <c r="P1295" i="1"/>
  <c r="O1291" i="1"/>
  <c r="P1291" i="1"/>
  <c r="O1287" i="1"/>
  <c r="P1287" i="1"/>
  <c r="O1283" i="1"/>
  <c r="P1283" i="1"/>
  <c r="O1279" i="1"/>
  <c r="P1279" i="1"/>
  <c r="O1275" i="1"/>
  <c r="P1275" i="1"/>
  <c r="O1271" i="1"/>
  <c r="P1271" i="1"/>
  <c r="O1267" i="1"/>
  <c r="P1267" i="1"/>
  <c r="O1263" i="1"/>
  <c r="P1263" i="1"/>
  <c r="O1259" i="1"/>
  <c r="P1259" i="1"/>
  <c r="O1255" i="1"/>
  <c r="P1255" i="1"/>
  <c r="O1251" i="1"/>
  <c r="P1251" i="1"/>
  <c r="O1247" i="1"/>
  <c r="P1247" i="1"/>
  <c r="O1243" i="1"/>
  <c r="P1243" i="1"/>
  <c r="O1239" i="1"/>
  <c r="P1239" i="1"/>
  <c r="O1235" i="1"/>
  <c r="P1235" i="1"/>
  <c r="O1231" i="1"/>
  <c r="P1231" i="1"/>
  <c r="O1227" i="1"/>
  <c r="P1227" i="1"/>
  <c r="O1223" i="1"/>
  <c r="P1223" i="1"/>
  <c r="O1219" i="1"/>
  <c r="P1219" i="1"/>
  <c r="O1215" i="1"/>
  <c r="P1215" i="1"/>
  <c r="O1211" i="1"/>
  <c r="P1211" i="1"/>
  <c r="O1207" i="1"/>
  <c r="P1207" i="1"/>
  <c r="O1203" i="1"/>
  <c r="P1203" i="1"/>
  <c r="O1199" i="1"/>
  <c r="P1199" i="1"/>
  <c r="O1195" i="1"/>
  <c r="P1195" i="1"/>
  <c r="O1191" i="1"/>
  <c r="P1191" i="1"/>
  <c r="O1187" i="1"/>
  <c r="P1187" i="1"/>
  <c r="O1183" i="1"/>
  <c r="P1183" i="1"/>
  <c r="O1179" i="1"/>
  <c r="P1179" i="1"/>
  <c r="O1175" i="1"/>
  <c r="P1175" i="1"/>
  <c r="O1171" i="1"/>
  <c r="P1171" i="1"/>
  <c r="O1167" i="1"/>
  <c r="P1167" i="1"/>
  <c r="O1163" i="1"/>
  <c r="P1163" i="1"/>
  <c r="O1159" i="1"/>
  <c r="P1159" i="1"/>
  <c r="O1155" i="1"/>
  <c r="P1155" i="1"/>
  <c r="O1151" i="1"/>
  <c r="P1151" i="1"/>
  <c r="O1147" i="1"/>
  <c r="P1147" i="1"/>
  <c r="O1143" i="1"/>
  <c r="P1143" i="1"/>
  <c r="O1139" i="1"/>
  <c r="P1139" i="1"/>
  <c r="O1135" i="1"/>
  <c r="P1135" i="1"/>
  <c r="O1131" i="1"/>
  <c r="P1131" i="1"/>
  <c r="O1127" i="1"/>
  <c r="P1127" i="1"/>
  <c r="O1123" i="1"/>
  <c r="P1123" i="1"/>
  <c r="O1119" i="1"/>
  <c r="P1119" i="1"/>
  <c r="O1115" i="1"/>
  <c r="P1115" i="1"/>
  <c r="O1111" i="1"/>
  <c r="P1111" i="1"/>
  <c r="O1107" i="1"/>
  <c r="P1107" i="1"/>
  <c r="O1103" i="1"/>
  <c r="P1103" i="1"/>
  <c r="O1099" i="1"/>
  <c r="P1099" i="1"/>
  <c r="O1095" i="1"/>
  <c r="P1095" i="1"/>
  <c r="O1091" i="1"/>
  <c r="P1091" i="1"/>
  <c r="O1087" i="1"/>
  <c r="P1087" i="1"/>
  <c r="O1083" i="1"/>
  <c r="P1083" i="1"/>
  <c r="O1079" i="1"/>
  <c r="P1079" i="1"/>
  <c r="O1075" i="1"/>
  <c r="P1075" i="1"/>
  <c r="O1071" i="1"/>
  <c r="P1071" i="1"/>
  <c r="O1067" i="1"/>
  <c r="P1067" i="1"/>
  <c r="O1063" i="1"/>
  <c r="P1063" i="1"/>
  <c r="O1059" i="1"/>
  <c r="P1059" i="1"/>
  <c r="O1055" i="1"/>
  <c r="P1055" i="1"/>
  <c r="O1051" i="1"/>
  <c r="P1051" i="1"/>
  <c r="O1047" i="1"/>
  <c r="P1047" i="1"/>
  <c r="O1043" i="1"/>
  <c r="P1043" i="1"/>
  <c r="O1039" i="1"/>
  <c r="P1039" i="1"/>
  <c r="O1035" i="1"/>
  <c r="P1035" i="1"/>
  <c r="O1031" i="1"/>
  <c r="P1031" i="1"/>
  <c r="O1027" i="1"/>
  <c r="P1027" i="1"/>
  <c r="O1023" i="1"/>
  <c r="P1023" i="1"/>
  <c r="O1019" i="1"/>
  <c r="P1019" i="1"/>
  <c r="O1015" i="1"/>
  <c r="P1015" i="1"/>
  <c r="O1011" i="1"/>
  <c r="P1011" i="1"/>
  <c r="O1007" i="1"/>
  <c r="P1007" i="1"/>
  <c r="O1003" i="1"/>
  <c r="P1003" i="1"/>
  <c r="O999" i="1"/>
  <c r="P999" i="1"/>
  <c r="O995" i="1"/>
  <c r="P995" i="1"/>
  <c r="O991" i="1"/>
  <c r="P991" i="1"/>
  <c r="O987" i="1"/>
  <c r="P987" i="1"/>
  <c r="O983" i="1"/>
  <c r="P983" i="1"/>
  <c r="O979" i="1"/>
  <c r="P979" i="1"/>
  <c r="O975" i="1"/>
  <c r="P975" i="1"/>
  <c r="O971" i="1"/>
  <c r="P971" i="1"/>
  <c r="O967" i="1"/>
  <c r="P967" i="1"/>
  <c r="O963" i="1"/>
  <c r="P963" i="1"/>
  <c r="O959" i="1"/>
  <c r="P959" i="1"/>
  <c r="O955" i="1"/>
  <c r="P955" i="1"/>
  <c r="O951" i="1"/>
  <c r="P951" i="1"/>
  <c r="O947" i="1"/>
  <c r="P947" i="1"/>
  <c r="O943" i="1"/>
  <c r="P943" i="1"/>
  <c r="O939" i="1"/>
  <c r="P939" i="1"/>
  <c r="O935" i="1"/>
  <c r="P935" i="1"/>
  <c r="O931" i="1"/>
  <c r="P931" i="1"/>
  <c r="O927" i="1"/>
  <c r="P927" i="1"/>
  <c r="O923" i="1"/>
  <c r="P923" i="1"/>
  <c r="O919" i="1"/>
  <c r="P919" i="1"/>
  <c r="O915" i="1"/>
  <c r="P915" i="1"/>
  <c r="O911" i="1"/>
  <c r="P911" i="1"/>
  <c r="O907" i="1"/>
  <c r="P907" i="1"/>
  <c r="O903" i="1"/>
  <c r="P903" i="1"/>
  <c r="O899" i="1"/>
  <c r="P899" i="1"/>
  <c r="O895" i="1"/>
  <c r="P895" i="1"/>
  <c r="O891" i="1"/>
  <c r="P891" i="1"/>
  <c r="O887" i="1"/>
  <c r="P887" i="1"/>
  <c r="O883" i="1"/>
  <c r="P883" i="1"/>
  <c r="O879" i="1"/>
  <c r="P879" i="1"/>
  <c r="O875" i="1"/>
  <c r="P875" i="1"/>
  <c r="O871" i="1"/>
  <c r="P871" i="1"/>
  <c r="O867" i="1"/>
  <c r="P867" i="1"/>
  <c r="O863" i="1"/>
  <c r="P863" i="1"/>
  <c r="O859" i="1"/>
  <c r="P859" i="1"/>
  <c r="O855" i="1"/>
  <c r="P855" i="1"/>
  <c r="O851" i="1"/>
  <c r="P851" i="1"/>
  <c r="O847" i="1"/>
  <c r="P847" i="1"/>
  <c r="O843" i="1"/>
  <c r="P843" i="1"/>
  <c r="O839" i="1"/>
  <c r="P839" i="1"/>
  <c r="O835" i="1"/>
  <c r="P835" i="1"/>
  <c r="O831" i="1"/>
  <c r="P831" i="1"/>
  <c r="O827" i="1"/>
  <c r="P827" i="1"/>
  <c r="O823" i="1"/>
  <c r="P823" i="1"/>
  <c r="O819" i="1"/>
  <c r="P819" i="1"/>
  <c r="O815" i="1"/>
  <c r="P815" i="1"/>
  <c r="O811" i="1"/>
  <c r="P811" i="1"/>
  <c r="O807" i="1"/>
  <c r="P807" i="1"/>
  <c r="O803" i="1"/>
  <c r="P803" i="1"/>
  <c r="O799" i="1"/>
  <c r="P799" i="1"/>
  <c r="O795" i="1"/>
  <c r="P795" i="1"/>
  <c r="O791" i="1"/>
  <c r="P791" i="1"/>
  <c r="O787" i="1"/>
  <c r="P787" i="1"/>
  <c r="O783" i="1"/>
  <c r="P783" i="1"/>
  <c r="O779" i="1"/>
  <c r="P779" i="1"/>
  <c r="O775" i="1"/>
  <c r="P775" i="1"/>
  <c r="O771" i="1"/>
  <c r="P771" i="1"/>
  <c r="O767" i="1"/>
  <c r="P767" i="1"/>
  <c r="O763" i="1"/>
  <c r="P763" i="1"/>
  <c r="O759" i="1"/>
  <c r="P759" i="1"/>
  <c r="O755" i="1"/>
  <c r="P755" i="1"/>
  <c r="O751" i="1"/>
  <c r="P751" i="1"/>
  <c r="O747" i="1"/>
  <c r="P747" i="1"/>
  <c r="O743" i="1"/>
  <c r="P743" i="1"/>
  <c r="O739" i="1"/>
  <c r="P739" i="1"/>
  <c r="O735" i="1"/>
  <c r="P735" i="1"/>
  <c r="O731" i="1"/>
  <c r="P731" i="1"/>
  <c r="O727" i="1"/>
  <c r="P727" i="1"/>
  <c r="O723" i="1"/>
  <c r="P723" i="1"/>
  <c r="O719" i="1"/>
  <c r="P719" i="1"/>
  <c r="O715" i="1"/>
  <c r="P715" i="1"/>
  <c r="O711" i="1"/>
  <c r="P711" i="1"/>
  <c r="O707" i="1"/>
  <c r="P707" i="1"/>
  <c r="O703" i="1"/>
  <c r="P703" i="1"/>
  <c r="O699" i="1"/>
  <c r="P699" i="1"/>
  <c r="O695" i="1"/>
  <c r="P695" i="1"/>
  <c r="O691" i="1"/>
  <c r="P691" i="1"/>
  <c r="O687" i="1"/>
  <c r="P687" i="1"/>
  <c r="O683" i="1"/>
  <c r="P683" i="1"/>
  <c r="O679" i="1"/>
  <c r="P679" i="1"/>
  <c r="O675" i="1"/>
  <c r="P675" i="1"/>
  <c r="O671" i="1"/>
  <c r="P671" i="1"/>
  <c r="O667" i="1"/>
  <c r="P667" i="1"/>
  <c r="O663" i="1"/>
  <c r="P663" i="1"/>
  <c r="O659" i="1"/>
  <c r="P659" i="1"/>
  <c r="O655" i="1"/>
  <c r="P655" i="1"/>
  <c r="O651" i="1"/>
  <c r="P651" i="1"/>
  <c r="O647" i="1"/>
  <c r="P647" i="1"/>
  <c r="O643" i="1"/>
  <c r="P643" i="1"/>
  <c r="O639" i="1"/>
  <c r="P639" i="1"/>
  <c r="O635" i="1"/>
  <c r="P635" i="1"/>
  <c r="O631" i="1"/>
  <c r="P631" i="1"/>
  <c r="O627" i="1"/>
  <c r="P627" i="1"/>
  <c r="O623" i="1"/>
  <c r="P623" i="1"/>
  <c r="O619" i="1"/>
  <c r="P619" i="1"/>
  <c r="O615" i="1"/>
  <c r="P615" i="1"/>
  <c r="O611" i="1"/>
  <c r="P611" i="1"/>
  <c r="O607" i="1"/>
  <c r="P607" i="1"/>
  <c r="O603" i="1"/>
  <c r="P603" i="1"/>
  <c r="O599" i="1"/>
  <c r="P599" i="1"/>
  <c r="O595" i="1"/>
  <c r="P595" i="1"/>
  <c r="O591" i="1"/>
  <c r="P591" i="1"/>
  <c r="O587" i="1"/>
  <c r="P587" i="1"/>
  <c r="O583" i="1"/>
  <c r="P583" i="1"/>
  <c r="O579" i="1"/>
  <c r="P579" i="1"/>
  <c r="O575" i="1"/>
  <c r="P575" i="1"/>
  <c r="O571" i="1"/>
  <c r="P571" i="1"/>
  <c r="O567" i="1"/>
  <c r="P567" i="1"/>
  <c r="O563" i="1"/>
  <c r="P563" i="1"/>
  <c r="O559" i="1"/>
  <c r="P559" i="1"/>
  <c r="O555" i="1"/>
  <c r="P555" i="1"/>
  <c r="O551" i="1"/>
  <c r="P551" i="1"/>
  <c r="O547" i="1"/>
  <c r="P547" i="1"/>
  <c r="O543" i="1"/>
  <c r="P543" i="1"/>
  <c r="O539" i="1"/>
  <c r="P539" i="1"/>
  <c r="O535" i="1"/>
  <c r="P535" i="1"/>
  <c r="O531" i="1"/>
  <c r="P531" i="1"/>
  <c r="O527" i="1"/>
  <c r="P527" i="1"/>
  <c r="O523" i="1"/>
  <c r="P523" i="1"/>
  <c r="O519" i="1"/>
  <c r="P519" i="1"/>
  <c r="O515" i="1"/>
  <c r="P515" i="1"/>
  <c r="O511" i="1"/>
  <c r="P511" i="1"/>
  <c r="O507" i="1"/>
  <c r="P507" i="1"/>
  <c r="O503" i="1"/>
  <c r="P503" i="1"/>
  <c r="O499" i="1"/>
  <c r="P499" i="1"/>
  <c r="O495" i="1"/>
  <c r="P495" i="1"/>
  <c r="O491" i="1"/>
  <c r="P491" i="1"/>
  <c r="O487" i="1"/>
  <c r="P487" i="1"/>
  <c r="O483" i="1"/>
  <c r="P483" i="1"/>
  <c r="O479" i="1"/>
  <c r="P479" i="1"/>
  <c r="O475" i="1"/>
  <c r="P475" i="1"/>
  <c r="O471" i="1"/>
  <c r="P471" i="1"/>
  <c r="O467" i="1"/>
  <c r="P467" i="1"/>
  <c r="O463" i="1"/>
  <c r="P463" i="1"/>
  <c r="O459" i="1"/>
  <c r="P459" i="1"/>
  <c r="O455" i="1"/>
  <c r="P455" i="1"/>
  <c r="O451" i="1"/>
  <c r="P451" i="1"/>
  <c r="O447" i="1"/>
  <c r="P447" i="1"/>
  <c r="O443" i="1"/>
  <c r="P443" i="1"/>
  <c r="O439" i="1"/>
  <c r="P439" i="1"/>
  <c r="O435" i="1"/>
  <c r="P435" i="1"/>
  <c r="O431" i="1"/>
  <c r="P431" i="1"/>
  <c r="O427" i="1"/>
  <c r="P427" i="1"/>
  <c r="O423" i="1"/>
  <c r="P423" i="1"/>
  <c r="O419" i="1"/>
  <c r="P419" i="1"/>
  <c r="O415" i="1"/>
  <c r="P415" i="1"/>
  <c r="O411" i="1"/>
  <c r="P411" i="1"/>
  <c r="O407" i="1"/>
  <c r="P407" i="1"/>
  <c r="O403" i="1"/>
  <c r="P403" i="1"/>
  <c r="O399" i="1"/>
  <c r="P399" i="1"/>
  <c r="O395" i="1"/>
  <c r="P395" i="1"/>
  <c r="O391" i="1"/>
  <c r="P391" i="1"/>
  <c r="O387" i="1"/>
  <c r="P387" i="1"/>
  <c r="O383" i="1"/>
  <c r="P383" i="1"/>
  <c r="O379" i="1"/>
  <c r="P379" i="1"/>
  <c r="O375" i="1"/>
  <c r="P375" i="1"/>
  <c r="O371" i="1"/>
  <c r="P371" i="1"/>
  <c r="O367" i="1"/>
  <c r="P367" i="1"/>
  <c r="O363" i="1"/>
  <c r="P363" i="1"/>
  <c r="O359" i="1"/>
  <c r="P359" i="1"/>
  <c r="O355" i="1"/>
  <c r="P355" i="1"/>
  <c r="O351" i="1"/>
  <c r="P351" i="1"/>
  <c r="O347" i="1"/>
  <c r="P347" i="1"/>
  <c r="O343" i="1"/>
  <c r="P343" i="1"/>
  <c r="O339" i="1"/>
  <c r="P339" i="1"/>
  <c r="O335" i="1"/>
  <c r="P335" i="1"/>
  <c r="O331" i="1"/>
  <c r="P331" i="1"/>
  <c r="O327" i="1"/>
  <c r="P327" i="1"/>
  <c r="O323" i="1"/>
  <c r="P323" i="1"/>
  <c r="O319" i="1"/>
  <c r="P319" i="1"/>
  <c r="O315" i="1"/>
  <c r="P315" i="1"/>
  <c r="O311" i="1"/>
  <c r="P311" i="1"/>
  <c r="O307" i="1"/>
  <c r="P307" i="1"/>
  <c r="O303" i="1"/>
  <c r="P303" i="1"/>
  <c r="O299" i="1"/>
  <c r="P299" i="1"/>
  <c r="O295" i="1"/>
  <c r="P295" i="1"/>
  <c r="O291" i="1"/>
  <c r="P291" i="1"/>
  <c r="O287" i="1"/>
  <c r="P287" i="1"/>
  <c r="O283" i="1"/>
  <c r="P283" i="1"/>
  <c r="O279" i="1"/>
  <c r="P279" i="1"/>
  <c r="O275" i="1"/>
  <c r="P275" i="1"/>
  <c r="O271" i="1"/>
  <c r="P271" i="1"/>
  <c r="O267" i="1"/>
  <c r="P267" i="1"/>
  <c r="O263" i="1"/>
  <c r="P263" i="1"/>
  <c r="O259" i="1"/>
  <c r="P259" i="1"/>
  <c r="O255" i="1"/>
  <c r="P255" i="1"/>
  <c r="O251" i="1"/>
  <c r="P251" i="1"/>
  <c r="O247" i="1"/>
  <c r="P247" i="1"/>
  <c r="O243" i="1"/>
  <c r="P243" i="1"/>
  <c r="O239" i="1"/>
  <c r="P239" i="1"/>
  <c r="O235" i="1"/>
  <c r="P235" i="1"/>
  <c r="O231" i="1"/>
  <c r="P231" i="1"/>
  <c r="O227" i="1"/>
  <c r="P227" i="1"/>
  <c r="O223" i="1"/>
  <c r="P223" i="1"/>
  <c r="O219" i="1"/>
  <c r="P219" i="1"/>
  <c r="O215" i="1"/>
  <c r="P215" i="1"/>
  <c r="O211" i="1"/>
  <c r="P211" i="1"/>
  <c r="O207" i="1"/>
  <c r="P207" i="1"/>
  <c r="O203" i="1"/>
  <c r="P203" i="1"/>
  <c r="O199" i="1"/>
  <c r="P199" i="1"/>
  <c r="O195" i="1"/>
  <c r="P195" i="1"/>
  <c r="O191" i="1"/>
  <c r="P191" i="1"/>
  <c r="O187" i="1"/>
  <c r="P187" i="1"/>
  <c r="O183" i="1"/>
  <c r="P183" i="1"/>
  <c r="O179" i="1"/>
  <c r="P179" i="1"/>
  <c r="O175" i="1"/>
  <c r="P175" i="1"/>
  <c r="O171" i="1"/>
  <c r="P171" i="1"/>
  <c r="O167" i="1"/>
  <c r="P167" i="1"/>
  <c r="O163" i="1"/>
  <c r="P163" i="1"/>
  <c r="O159" i="1"/>
  <c r="P159" i="1"/>
  <c r="O2075" i="1"/>
  <c r="O2011" i="1"/>
  <c r="O1856" i="1"/>
  <c r="O1600" i="1"/>
  <c r="P2101" i="1"/>
  <c r="P2085" i="1"/>
  <c r="P2069" i="1"/>
  <c r="P2053" i="1"/>
  <c r="P2037" i="1"/>
  <c r="P2021" i="1"/>
  <c r="P2005" i="1"/>
  <c r="P1989" i="1"/>
  <c r="P1973" i="1"/>
  <c r="P1957" i="1"/>
  <c r="P1941" i="1"/>
  <c r="P1925" i="1"/>
  <c r="P1909" i="1"/>
  <c r="P1893" i="1"/>
  <c r="P1877" i="1"/>
  <c r="P1861" i="1"/>
  <c r="P1845" i="1"/>
  <c r="P1829" i="1"/>
  <c r="P1813" i="1"/>
  <c r="P1797" i="1"/>
  <c r="P1781" i="1"/>
  <c r="P1765" i="1"/>
  <c r="P1749" i="1"/>
  <c r="P1724" i="1"/>
  <c r="P1692" i="1"/>
  <c r="P1660" i="1"/>
  <c r="P1622" i="1"/>
  <c r="P1558" i="1"/>
  <c r="P1494" i="1"/>
  <c r="P1430" i="1"/>
  <c r="P1366" i="1"/>
  <c r="P1302" i="1"/>
  <c r="P1232" i="1"/>
  <c r="P1012" i="1"/>
  <c r="P756" i="1"/>
  <c r="O2104" i="1"/>
  <c r="P2104" i="1"/>
  <c r="O2092" i="1"/>
  <c r="P2092" i="1"/>
  <c r="O2088" i="1"/>
  <c r="P2088" i="1"/>
  <c r="O2072" i="1"/>
  <c r="P2072" i="1"/>
  <c r="O2060" i="1"/>
  <c r="P2060" i="1"/>
  <c r="O2052" i="1"/>
  <c r="P2052" i="1"/>
  <c r="O2044" i="1"/>
  <c r="P2044" i="1"/>
  <c r="O2028" i="1"/>
  <c r="P2028" i="1"/>
  <c r="O2016" i="1"/>
  <c r="P2016" i="1"/>
  <c r="O2008" i="1"/>
  <c r="P2008" i="1"/>
  <c r="O1996" i="1"/>
  <c r="P1996" i="1"/>
  <c r="P1984" i="1"/>
  <c r="O1984" i="1"/>
  <c r="O1976" i="1"/>
  <c r="P1976" i="1"/>
  <c r="O1968" i="1"/>
  <c r="P1968" i="1"/>
  <c r="O1956" i="1"/>
  <c r="P1956" i="1"/>
  <c r="O1944" i="1"/>
  <c r="P1944" i="1"/>
  <c r="O1932" i="1"/>
  <c r="P1932" i="1"/>
  <c r="O1928" i="1"/>
  <c r="P1928" i="1"/>
  <c r="O1916" i="1"/>
  <c r="P1916" i="1"/>
  <c r="P1904" i="1"/>
  <c r="O1904" i="1"/>
  <c r="O1896" i="1"/>
  <c r="P1896" i="1"/>
  <c r="O1884" i="1"/>
  <c r="P1884" i="1"/>
  <c r="O1876" i="1"/>
  <c r="P1876" i="1"/>
  <c r="O1868" i="1"/>
  <c r="P1868" i="1"/>
  <c r="O1860" i="1"/>
  <c r="P1860" i="1"/>
  <c r="O1848" i="1"/>
  <c r="P1848" i="1"/>
  <c r="P1840" i="1"/>
  <c r="O1840" i="1"/>
  <c r="O1828" i="1"/>
  <c r="P1828" i="1"/>
  <c r="O1816" i="1"/>
  <c r="P1816" i="1"/>
  <c r="O1804" i="1"/>
  <c r="P1804" i="1"/>
  <c r="O1800" i="1"/>
  <c r="P1800" i="1"/>
  <c r="O1788" i="1"/>
  <c r="P1788" i="1"/>
  <c r="O1780" i="1"/>
  <c r="P1780" i="1"/>
  <c r="O1768" i="1"/>
  <c r="P1768" i="1"/>
  <c r="O1756" i="1"/>
  <c r="P1756" i="1"/>
  <c r="O1748" i="1"/>
  <c r="P1748" i="1"/>
  <c r="O1720" i="1"/>
  <c r="P1720" i="1"/>
  <c r="P1696" i="1"/>
  <c r="O1696" i="1"/>
  <c r="O1688" i="1"/>
  <c r="P1688" i="1"/>
  <c r="O1656" i="1"/>
  <c r="P1656" i="1"/>
  <c r="P1648" i="1"/>
  <c r="O1648" i="1"/>
  <c r="O1620" i="1"/>
  <c r="P1620" i="1"/>
  <c r="O1592" i="1"/>
  <c r="P1592" i="1"/>
  <c r="O1580" i="1"/>
  <c r="P1580" i="1"/>
  <c r="O1576" i="1"/>
  <c r="P1576" i="1"/>
  <c r="P1568" i="1"/>
  <c r="O1568" i="1"/>
  <c r="P1552" i="1"/>
  <c r="O1552" i="1"/>
  <c r="O1544" i="1"/>
  <c r="P1544" i="1"/>
  <c r="O1532" i="1"/>
  <c r="P1532" i="1"/>
  <c r="P1520" i="1"/>
  <c r="O1520" i="1"/>
  <c r="O1508" i="1"/>
  <c r="P1508" i="1"/>
  <c r="O1496" i="1"/>
  <c r="P1496" i="1"/>
  <c r="O1488" i="1"/>
  <c r="P1488" i="1"/>
  <c r="O1480" i="1"/>
  <c r="P1480" i="1"/>
  <c r="O1468" i="1"/>
  <c r="P1468" i="1"/>
  <c r="O1456" i="1"/>
  <c r="P1456" i="1"/>
  <c r="O1444" i="1"/>
  <c r="P1444" i="1"/>
  <c r="O1432" i="1"/>
  <c r="P1432" i="1"/>
  <c r="O1420" i="1"/>
  <c r="P1420" i="1"/>
  <c r="O1412" i="1"/>
  <c r="P1412" i="1"/>
  <c r="O1404" i="1"/>
  <c r="P1404" i="1"/>
  <c r="O1392" i="1"/>
  <c r="P1392" i="1"/>
  <c r="O1380" i="1"/>
  <c r="P1380" i="1"/>
  <c r="O1372" i="1"/>
  <c r="P1372" i="1"/>
  <c r="O1360" i="1"/>
  <c r="P1360" i="1"/>
  <c r="O1348" i="1"/>
  <c r="P1348" i="1"/>
  <c r="O1336" i="1"/>
  <c r="P1336" i="1"/>
  <c r="O1328" i="1"/>
  <c r="P1328" i="1"/>
  <c r="O1316" i="1"/>
  <c r="P1316" i="1"/>
  <c r="O1304" i="1"/>
  <c r="P1304" i="1"/>
  <c r="O1296" i="1"/>
  <c r="P1296" i="1"/>
  <c r="O1284" i="1"/>
  <c r="P1284" i="1"/>
  <c r="O1272" i="1"/>
  <c r="P1272" i="1"/>
  <c r="O1260" i="1"/>
  <c r="P1260" i="1"/>
  <c r="O1248" i="1"/>
  <c r="P1248" i="1"/>
  <c r="O1240" i="1"/>
  <c r="P1240" i="1"/>
  <c r="O1228" i="1"/>
  <c r="P1228" i="1"/>
  <c r="O1224" i="1"/>
  <c r="P1224" i="1"/>
  <c r="O1212" i="1"/>
  <c r="P1212" i="1"/>
  <c r="O1204" i="1"/>
  <c r="P1204" i="1"/>
  <c r="O1192" i="1"/>
  <c r="P1192" i="1"/>
  <c r="O1176" i="1"/>
  <c r="P1176" i="1"/>
  <c r="O1164" i="1"/>
  <c r="P1164" i="1"/>
  <c r="O1152" i="1"/>
  <c r="P1152" i="1"/>
  <c r="O1144" i="1"/>
  <c r="P1144" i="1"/>
  <c r="O1132" i="1"/>
  <c r="P1132" i="1"/>
  <c r="O1124" i="1"/>
  <c r="P1124" i="1"/>
  <c r="O1112" i="1"/>
  <c r="P1112" i="1"/>
  <c r="O1100" i="1"/>
  <c r="P1100" i="1"/>
  <c r="O1088" i="1"/>
  <c r="P1088" i="1"/>
  <c r="O1080" i="1"/>
  <c r="P1080" i="1"/>
  <c r="O1072" i="1"/>
  <c r="P1072" i="1"/>
  <c r="O1060" i="1"/>
  <c r="P1060" i="1"/>
  <c r="O1048" i="1"/>
  <c r="P1048" i="1"/>
  <c r="O1036" i="1"/>
  <c r="P1036" i="1"/>
  <c r="O1024" i="1"/>
  <c r="P1024" i="1"/>
  <c r="O1020" i="1"/>
  <c r="P1020" i="1"/>
  <c r="O1008" i="1"/>
  <c r="P1008" i="1"/>
  <c r="O1000" i="1"/>
  <c r="P1000" i="1"/>
  <c r="O988" i="1"/>
  <c r="P988" i="1"/>
  <c r="O976" i="1"/>
  <c r="P976" i="1"/>
  <c r="O964" i="1"/>
  <c r="P964" i="1"/>
  <c r="O956" i="1"/>
  <c r="P956" i="1"/>
  <c r="O944" i="1"/>
  <c r="P944" i="1"/>
  <c r="O936" i="1"/>
  <c r="P936" i="1"/>
  <c r="O924" i="1"/>
  <c r="P924" i="1"/>
  <c r="O912" i="1"/>
  <c r="P912" i="1"/>
  <c r="O896" i="1"/>
  <c r="P896" i="1"/>
  <c r="O888" i="1"/>
  <c r="P888" i="1"/>
  <c r="O880" i="1"/>
  <c r="P880" i="1"/>
  <c r="O868" i="1"/>
  <c r="P868" i="1"/>
  <c r="O856" i="1"/>
  <c r="P856" i="1"/>
  <c r="O844" i="1"/>
  <c r="P844" i="1"/>
  <c r="O832" i="1"/>
  <c r="P832" i="1"/>
  <c r="O812" i="1"/>
  <c r="P812" i="1"/>
  <c r="O800" i="1"/>
  <c r="P800" i="1"/>
  <c r="O788" i="1"/>
  <c r="P788" i="1"/>
  <c r="O780" i="1"/>
  <c r="P780" i="1"/>
  <c r="O768" i="1"/>
  <c r="P768" i="1"/>
  <c r="O760" i="1"/>
  <c r="P760" i="1"/>
  <c r="O752" i="1"/>
  <c r="P752" i="1"/>
  <c r="O740" i="1"/>
  <c r="P740" i="1"/>
  <c r="O728" i="1"/>
  <c r="P728" i="1"/>
  <c r="O716" i="1"/>
  <c r="P716" i="1"/>
  <c r="O708" i="1"/>
  <c r="P708" i="1"/>
  <c r="O680" i="1"/>
  <c r="P680" i="1"/>
  <c r="O668" i="1"/>
  <c r="P668" i="1"/>
  <c r="O660" i="1"/>
  <c r="P660" i="1"/>
  <c r="O648" i="1"/>
  <c r="P648" i="1"/>
  <c r="O636" i="1"/>
  <c r="P636" i="1"/>
  <c r="O624" i="1"/>
  <c r="P624" i="1"/>
  <c r="O616" i="1"/>
  <c r="P616" i="1"/>
  <c r="O608" i="1"/>
  <c r="P608" i="1"/>
  <c r="O600" i="1"/>
  <c r="P600" i="1"/>
  <c r="O572" i="1"/>
  <c r="P572" i="1"/>
  <c r="O560" i="1"/>
  <c r="P560" i="1"/>
  <c r="O552" i="1"/>
  <c r="P552" i="1"/>
  <c r="O540" i="1"/>
  <c r="P540" i="1"/>
  <c r="O528" i="1"/>
  <c r="P528" i="1"/>
  <c r="O520" i="1"/>
  <c r="P520" i="1"/>
  <c r="O508" i="1"/>
  <c r="P508" i="1"/>
  <c r="O496" i="1"/>
  <c r="P496" i="1"/>
  <c r="O488" i="1"/>
  <c r="P488" i="1"/>
  <c r="O476" i="1"/>
  <c r="P476" i="1"/>
  <c r="O464" i="1"/>
  <c r="P464" i="1"/>
  <c r="O452" i="1"/>
  <c r="P452" i="1"/>
  <c r="O444" i="1"/>
  <c r="P444" i="1"/>
  <c r="O432" i="1"/>
  <c r="P432" i="1"/>
  <c r="O420" i="1"/>
  <c r="P420" i="1"/>
  <c r="O412" i="1"/>
  <c r="P412" i="1"/>
  <c r="O400" i="1"/>
  <c r="P400" i="1"/>
  <c r="O388" i="1"/>
  <c r="P388" i="1"/>
  <c r="O380" i="1"/>
  <c r="P380" i="1"/>
  <c r="O368" i="1"/>
  <c r="P368" i="1"/>
  <c r="O356" i="1"/>
  <c r="P356" i="1"/>
  <c r="O344" i="1"/>
  <c r="P344" i="1"/>
  <c r="O336" i="1"/>
  <c r="P336" i="1"/>
  <c r="O324" i="1"/>
  <c r="P324" i="1"/>
  <c r="O312" i="1"/>
  <c r="P312" i="1"/>
  <c r="O300" i="1"/>
  <c r="P300" i="1"/>
  <c r="O288" i="1"/>
  <c r="P288" i="1"/>
  <c r="O276" i="1"/>
  <c r="P276" i="1"/>
  <c r="O268" i="1"/>
  <c r="P268" i="1"/>
  <c r="O256" i="1"/>
  <c r="P256" i="1"/>
  <c r="O244" i="1"/>
  <c r="P244" i="1"/>
  <c r="O236" i="1"/>
  <c r="P236" i="1"/>
  <c r="O224" i="1"/>
  <c r="P224" i="1"/>
  <c r="O212" i="1"/>
  <c r="P212" i="1"/>
  <c r="O200" i="1"/>
  <c r="P200" i="1"/>
  <c r="O192" i="1"/>
  <c r="P192" i="1"/>
  <c r="O180" i="1"/>
  <c r="P180" i="1"/>
  <c r="O168" i="1"/>
  <c r="P168" i="1"/>
  <c r="O160" i="1"/>
  <c r="P160" i="1"/>
  <c r="O148" i="1"/>
  <c r="P148" i="1"/>
  <c r="O140" i="1"/>
  <c r="P140" i="1"/>
  <c r="O132" i="1"/>
  <c r="P132" i="1"/>
  <c r="O124" i="1"/>
  <c r="P124" i="1"/>
  <c r="O1664" i="1"/>
  <c r="P2103" i="1"/>
  <c r="O2103" i="1"/>
  <c r="P2099" i="1"/>
  <c r="O2099" i="1"/>
  <c r="O2095" i="1"/>
  <c r="P2095" i="1"/>
  <c r="P2087" i="1"/>
  <c r="O2087" i="1"/>
  <c r="P2071" i="1"/>
  <c r="O2071" i="1"/>
  <c r="P2067" i="1"/>
  <c r="O2067" i="1"/>
  <c r="O2063" i="1"/>
  <c r="P2063" i="1"/>
  <c r="P2055" i="1"/>
  <c r="O2055" i="1"/>
  <c r="P2051" i="1"/>
  <c r="O2051" i="1"/>
  <c r="O2047" i="1"/>
  <c r="P2047" i="1"/>
  <c r="P2039" i="1"/>
  <c r="O2039" i="1"/>
  <c r="P2035" i="1"/>
  <c r="O2035" i="1"/>
  <c r="O2031" i="1"/>
  <c r="P2031" i="1"/>
  <c r="P2023" i="1"/>
  <c r="O2023" i="1"/>
  <c r="O2015" i="1"/>
  <c r="P2015" i="1"/>
  <c r="O1991" i="1"/>
  <c r="P1991" i="1"/>
  <c r="O1987" i="1"/>
  <c r="P1987" i="1"/>
  <c r="O1983" i="1"/>
  <c r="P1983" i="1"/>
  <c r="O1979" i="1"/>
  <c r="P1979" i="1"/>
  <c r="O1975" i="1"/>
  <c r="P1975" i="1"/>
  <c r="O1971" i="1"/>
  <c r="P1971" i="1"/>
  <c r="O1967" i="1"/>
  <c r="P1967" i="1"/>
  <c r="O1963" i="1"/>
  <c r="P1963" i="1"/>
  <c r="O1959" i="1"/>
  <c r="P1959" i="1"/>
  <c r="O1955" i="1"/>
  <c r="P1955" i="1"/>
  <c r="O1951" i="1"/>
  <c r="P1951" i="1"/>
  <c r="O1947" i="1"/>
  <c r="P1947" i="1"/>
  <c r="O1943" i="1"/>
  <c r="P1943" i="1"/>
  <c r="O1939" i="1"/>
  <c r="P1939" i="1"/>
  <c r="O1935" i="1"/>
  <c r="P1935" i="1"/>
  <c r="O1931" i="1"/>
  <c r="P1931" i="1"/>
  <c r="O1927" i="1"/>
  <c r="P1927" i="1"/>
  <c r="O1923" i="1"/>
  <c r="P1923" i="1"/>
  <c r="O1919" i="1"/>
  <c r="P1919" i="1"/>
  <c r="O1915" i="1"/>
  <c r="P1915" i="1"/>
  <c r="O1911" i="1"/>
  <c r="P1911" i="1"/>
  <c r="O1907" i="1"/>
  <c r="P1907" i="1"/>
  <c r="O1903" i="1"/>
  <c r="P1903" i="1"/>
  <c r="O1899" i="1"/>
  <c r="P1899" i="1"/>
  <c r="O1895" i="1"/>
  <c r="P1895" i="1"/>
  <c r="O1891" i="1"/>
  <c r="P1891" i="1"/>
  <c r="O1887" i="1"/>
  <c r="P1887" i="1"/>
  <c r="O1883" i="1"/>
  <c r="P1883" i="1"/>
  <c r="O1879" i="1"/>
  <c r="P1879" i="1"/>
  <c r="O1875" i="1"/>
  <c r="P1875" i="1"/>
  <c r="O1871" i="1"/>
  <c r="P1871" i="1"/>
  <c r="O1867" i="1"/>
  <c r="P1867" i="1"/>
  <c r="O1863" i="1"/>
  <c r="P1863" i="1"/>
  <c r="O1859" i="1"/>
  <c r="P1859" i="1"/>
  <c r="O1855" i="1"/>
  <c r="P1855" i="1"/>
  <c r="O1851" i="1"/>
  <c r="P1851" i="1"/>
  <c r="O1847" i="1"/>
  <c r="P1847" i="1"/>
  <c r="O1843" i="1"/>
  <c r="P1843" i="1"/>
  <c r="O1839" i="1"/>
  <c r="P1839" i="1"/>
  <c r="O1835" i="1"/>
  <c r="P1835" i="1"/>
  <c r="O1831" i="1"/>
  <c r="P1831" i="1"/>
  <c r="O1827" i="1"/>
  <c r="P1827" i="1"/>
  <c r="O1823" i="1"/>
  <c r="P1823" i="1"/>
  <c r="O1819" i="1"/>
  <c r="P1819" i="1"/>
  <c r="O1815" i="1"/>
  <c r="P1815" i="1"/>
  <c r="O1811" i="1"/>
  <c r="P1811" i="1"/>
  <c r="O1807" i="1"/>
  <c r="P1807" i="1"/>
  <c r="O1803" i="1"/>
  <c r="P1803" i="1"/>
  <c r="O1799" i="1"/>
  <c r="P1799" i="1"/>
  <c r="O1795" i="1"/>
  <c r="P1795" i="1"/>
  <c r="O1791" i="1"/>
  <c r="P1791" i="1"/>
  <c r="O1787" i="1"/>
  <c r="P1787" i="1"/>
  <c r="O1783" i="1"/>
  <c r="P1783" i="1"/>
  <c r="O1779" i="1"/>
  <c r="P1779" i="1"/>
  <c r="O1775" i="1"/>
  <c r="P1775" i="1"/>
  <c r="O1771" i="1"/>
  <c r="P1771" i="1"/>
  <c r="O1767" i="1"/>
  <c r="P1767" i="1"/>
  <c r="O1763" i="1"/>
  <c r="P1763" i="1"/>
  <c r="O1759" i="1"/>
  <c r="P1759" i="1"/>
  <c r="O1755" i="1"/>
  <c r="P1755" i="1"/>
  <c r="O1751" i="1"/>
  <c r="P1751" i="1"/>
  <c r="O1747" i="1"/>
  <c r="P1747" i="1"/>
  <c r="O1743" i="1"/>
  <c r="P1743" i="1"/>
  <c r="O1739" i="1"/>
  <c r="P1739" i="1"/>
  <c r="O1735" i="1"/>
  <c r="P1735" i="1"/>
  <c r="O1731" i="1"/>
  <c r="P1731" i="1"/>
  <c r="O1727" i="1"/>
  <c r="P1727" i="1"/>
  <c r="O1723" i="1"/>
  <c r="P1723" i="1"/>
  <c r="O1719" i="1"/>
  <c r="P1719" i="1"/>
  <c r="O1715" i="1"/>
  <c r="P1715" i="1"/>
  <c r="O1711" i="1"/>
  <c r="P1711" i="1"/>
  <c r="O1707" i="1"/>
  <c r="P1707" i="1"/>
  <c r="O1703" i="1"/>
  <c r="P1703" i="1"/>
  <c r="O1699" i="1"/>
  <c r="P1699" i="1"/>
  <c r="O1695" i="1"/>
  <c r="P1695" i="1"/>
  <c r="O1691" i="1"/>
  <c r="P1691" i="1"/>
  <c r="O1687" i="1"/>
  <c r="P1687" i="1"/>
  <c r="O1683" i="1"/>
  <c r="P1683" i="1"/>
  <c r="O1679" i="1"/>
  <c r="P1679" i="1"/>
  <c r="O1675" i="1"/>
  <c r="P1675" i="1"/>
  <c r="O1671" i="1"/>
  <c r="P1671" i="1"/>
  <c r="O1667" i="1"/>
  <c r="P1667" i="1"/>
  <c r="O1663" i="1"/>
  <c r="P1663" i="1"/>
  <c r="O1659" i="1"/>
  <c r="P1659" i="1"/>
  <c r="O1655" i="1"/>
  <c r="P1655" i="1"/>
  <c r="O1651" i="1"/>
  <c r="P1651" i="1"/>
  <c r="O1647" i="1"/>
  <c r="P1647" i="1"/>
  <c r="O1643" i="1"/>
  <c r="P1643" i="1"/>
  <c r="O1639" i="1"/>
  <c r="P1639" i="1"/>
  <c r="O1635" i="1"/>
  <c r="P1635" i="1"/>
  <c r="O1631" i="1"/>
  <c r="P1631" i="1"/>
  <c r="O1627" i="1"/>
  <c r="P1627" i="1"/>
  <c r="O1623" i="1"/>
  <c r="P1623" i="1"/>
  <c r="O1619" i="1"/>
  <c r="P1619" i="1"/>
  <c r="O1615" i="1"/>
  <c r="P1615" i="1"/>
  <c r="O1611" i="1"/>
  <c r="P1611" i="1"/>
  <c r="O1607" i="1"/>
  <c r="P1607" i="1"/>
  <c r="O1603" i="1"/>
  <c r="P1603" i="1"/>
  <c r="O1599" i="1"/>
  <c r="P1599" i="1"/>
  <c r="O1595" i="1"/>
  <c r="P1595" i="1"/>
  <c r="O1591" i="1"/>
  <c r="P1591" i="1"/>
  <c r="O1587" i="1"/>
  <c r="P1587" i="1"/>
  <c r="O1583" i="1"/>
  <c r="P1583" i="1"/>
  <c r="O1579" i="1"/>
  <c r="P1579" i="1"/>
  <c r="O1575" i="1"/>
  <c r="P1575" i="1"/>
  <c r="O1571" i="1"/>
  <c r="P1571" i="1"/>
  <c r="O1567" i="1"/>
  <c r="P1567" i="1"/>
  <c r="O1563" i="1"/>
  <c r="P1563" i="1"/>
  <c r="O1559" i="1"/>
  <c r="P1559" i="1"/>
  <c r="O1555" i="1"/>
  <c r="P1555" i="1"/>
  <c r="O1551" i="1"/>
  <c r="P1551" i="1"/>
  <c r="O1547" i="1"/>
  <c r="P1547" i="1"/>
  <c r="O1543" i="1"/>
  <c r="P1543" i="1"/>
  <c r="O1539" i="1"/>
  <c r="P1539" i="1"/>
  <c r="O1535" i="1"/>
  <c r="P1535" i="1"/>
  <c r="O1531" i="1"/>
  <c r="P1531" i="1"/>
  <c r="O1527" i="1"/>
  <c r="P1527" i="1"/>
  <c r="O1523" i="1"/>
  <c r="P1523" i="1"/>
  <c r="O1519" i="1"/>
  <c r="P1519" i="1"/>
  <c r="O1515" i="1"/>
  <c r="P1515" i="1"/>
  <c r="O1511" i="1"/>
  <c r="P1511" i="1"/>
  <c r="O1507" i="1"/>
  <c r="P1507" i="1"/>
  <c r="O1503" i="1"/>
  <c r="P1503" i="1"/>
  <c r="O1499" i="1"/>
  <c r="P1499" i="1"/>
  <c r="O1495" i="1"/>
  <c r="P1495" i="1"/>
  <c r="O1491" i="1"/>
  <c r="P1491" i="1"/>
  <c r="O1487" i="1"/>
  <c r="P1487" i="1"/>
  <c r="O1483" i="1"/>
  <c r="P1483" i="1"/>
  <c r="P1479" i="1"/>
  <c r="O1479" i="1"/>
  <c r="O1475" i="1"/>
  <c r="P1475" i="1"/>
  <c r="O1471" i="1"/>
  <c r="P1471" i="1"/>
  <c r="O1467" i="1"/>
  <c r="P1467" i="1"/>
  <c r="O1463" i="1"/>
  <c r="P1463" i="1"/>
  <c r="O1459" i="1"/>
  <c r="P1459" i="1"/>
  <c r="O1455" i="1"/>
  <c r="P1455" i="1"/>
  <c r="O1451" i="1"/>
  <c r="P1451" i="1"/>
  <c r="O2106" i="1"/>
  <c r="P2106" i="1"/>
  <c r="O2102" i="1"/>
  <c r="P2102" i="1"/>
  <c r="O2098" i="1"/>
  <c r="P2098" i="1"/>
  <c r="O2094" i="1"/>
  <c r="P2094" i="1"/>
  <c r="O2090" i="1"/>
  <c r="P2090" i="1"/>
  <c r="O2086" i="1"/>
  <c r="P2086" i="1"/>
  <c r="O2082" i="1"/>
  <c r="P2082" i="1"/>
  <c r="O2078" i="1"/>
  <c r="P2078" i="1"/>
  <c r="O2074" i="1"/>
  <c r="P2074" i="1"/>
  <c r="O2070" i="1"/>
  <c r="P2070" i="1"/>
  <c r="O2066" i="1"/>
  <c r="P2066" i="1"/>
  <c r="O2062" i="1"/>
  <c r="P2062" i="1"/>
  <c r="O2058" i="1"/>
  <c r="P2058" i="1"/>
  <c r="O2054" i="1"/>
  <c r="P2054" i="1"/>
  <c r="O2050" i="1"/>
  <c r="P2050" i="1"/>
  <c r="O2046" i="1"/>
  <c r="P2046" i="1"/>
  <c r="O2042" i="1"/>
  <c r="P2042" i="1"/>
  <c r="O2038" i="1"/>
  <c r="P2038" i="1"/>
  <c r="O2034" i="1"/>
  <c r="P2034" i="1"/>
  <c r="O2030" i="1"/>
  <c r="P2030" i="1"/>
  <c r="O2026" i="1"/>
  <c r="P2026" i="1"/>
  <c r="O2022" i="1"/>
  <c r="P2022" i="1"/>
  <c r="O2018" i="1"/>
  <c r="P2018" i="1"/>
  <c r="O2014" i="1"/>
  <c r="P2014" i="1"/>
  <c r="O2010" i="1"/>
  <c r="P2010" i="1"/>
  <c r="O2006" i="1"/>
  <c r="P2006" i="1"/>
  <c r="O2002" i="1"/>
  <c r="P2002" i="1"/>
  <c r="O1998" i="1"/>
  <c r="P1998" i="1"/>
  <c r="O1994" i="1"/>
  <c r="P1994" i="1"/>
  <c r="O1990" i="1"/>
  <c r="P1990" i="1"/>
  <c r="O1986" i="1"/>
  <c r="P1986" i="1"/>
  <c r="O1982" i="1"/>
  <c r="P1982" i="1"/>
  <c r="O1978" i="1"/>
  <c r="P1978" i="1"/>
  <c r="O1974" i="1"/>
  <c r="P1974" i="1"/>
  <c r="O1970" i="1"/>
  <c r="P1970" i="1"/>
  <c r="O1966" i="1"/>
  <c r="P1966" i="1"/>
  <c r="O1962" i="1"/>
  <c r="P1962" i="1"/>
  <c r="O1958" i="1"/>
  <c r="P1958" i="1"/>
  <c r="O1954" i="1"/>
  <c r="P1954" i="1"/>
  <c r="O1950" i="1"/>
  <c r="P1950" i="1"/>
  <c r="O1946" i="1"/>
  <c r="P1946" i="1"/>
  <c r="O1942" i="1"/>
  <c r="P1942" i="1"/>
  <c r="O1938" i="1"/>
  <c r="P1938" i="1"/>
  <c r="O1934" i="1"/>
  <c r="P1934" i="1"/>
  <c r="O1930" i="1"/>
  <c r="P1930" i="1"/>
  <c r="O1926" i="1"/>
  <c r="P1926" i="1"/>
  <c r="O1922" i="1"/>
  <c r="P1922" i="1"/>
  <c r="O1918" i="1"/>
  <c r="P1918" i="1"/>
  <c r="O1914" i="1"/>
  <c r="P1914" i="1"/>
  <c r="O1910" i="1"/>
  <c r="P1910" i="1"/>
  <c r="O1906" i="1"/>
  <c r="P1906" i="1"/>
  <c r="O1902" i="1"/>
  <c r="P1902" i="1"/>
  <c r="O1898" i="1"/>
  <c r="P1898" i="1"/>
  <c r="O1894" i="1"/>
  <c r="P1894" i="1"/>
  <c r="O1890" i="1"/>
  <c r="P1890" i="1"/>
  <c r="O1886" i="1"/>
  <c r="P1886" i="1"/>
  <c r="O1882" i="1"/>
  <c r="P1882" i="1"/>
  <c r="O1878" i="1"/>
  <c r="P1878" i="1"/>
  <c r="O1874" i="1"/>
  <c r="P1874" i="1"/>
  <c r="O1870" i="1"/>
  <c r="P1870" i="1"/>
  <c r="O1866" i="1"/>
  <c r="P1866" i="1"/>
  <c r="O1862" i="1"/>
  <c r="P1862" i="1"/>
  <c r="O1858" i="1"/>
  <c r="P1858" i="1"/>
  <c r="O1854" i="1"/>
  <c r="P1854" i="1"/>
  <c r="O1850" i="1"/>
  <c r="P1850" i="1"/>
  <c r="O1846" i="1"/>
  <c r="P1846" i="1"/>
  <c r="O1842" i="1"/>
  <c r="P1842" i="1"/>
  <c r="O1838" i="1"/>
  <c r="P1838" i="1"/>
  <c r="O1834" i="1"/>
  <c r="P1834" i="1"/>
  <c r="O1830" i="1"/>
  <c r="P1830" i="1"/>
  <c r="O1826" i="1"/>
  <c r="P1826" i="1"/>
  <c r="O1822" i="1"/>
  <c r="P1822" i="1"/>
  <c r="O1818" i="1"/>
  <c r="P1818" i="1"/>
  <c r="O1814" i="1"/>
  <c r="P1814" i="1"/>
  <c r="O1810" i="1"/>
  <c r="P1810" i="1"/>
  <c r="O1806" i="1"/>
  <c r="P1806" i="1"/>
  <c r="O1802" i="1"/>
  <c r="P1802" i="1"/>
  <c r="O1798" i="1"/>
  <c r="P1798" i="1"/>
  <c r="O1794" i="1"/>
  <c r="P1794" i="1"/>
  <c r="O1790" i="1"/>
  <c r="P1790" i="1"/>
  <c r="O1786" i="1"/>
  <c r="P1786" i="1"/>
  <c r="O1782" i="1"/>
  <c r="P1782" i="1"/>
  <c r="O1778" i="1"/>
  <c r="P1778" i="1"/>
  <c r="O1774" i="1"/>
  <c r="P1774" i="1"/>
  <c r="O1770" i="1"/>
  <c r="P1770" i="1"/>
  <c r="O1766" i="1"/>
  <c r="P1766" i="1"/>
  <c r="O1762" i="1"/>
  <c r="P1762" i="1"/>
  <c r="O1758" i="1"/>
  <c r="P1758" i="1"/>
  <c r="O1754" i="1"/>
  <c r="P1754" i="1"/>
  <c r="O1750" i="1"/>
  <c r="P1750" i="1"/>
  <c r="O1746" i="1"/>
  <c r="P1746" i="1"/>
  <c r="O1742" i="1"/>
  <c r="P1742" i="1"/>
  <c r="O1738" i="1"/>
  <c r="P1738" i="1"/>
  <c r="O1734" i="1"/>
  <c r="P1734" i="1"/>
  <c r="O1730" i="1"/>
  <c r="P1730" i="1"/>
  <c r="O1726" i="1"/>
  <c r="P1726" i="1"/>
  <c r="O1722" i="1"/>
  <c r="P1722" i="1"/>
  <c r="O1718" i="1"/>
  <c r="P1718" i="1"/>
  <c r="O1714" i="1"/>
  <c r="P1714" i="1"/>
  <c r="O1710" i="1"/>
  <c r="P1710" i="1"/>
  <c r="O1706" i="1"/>
  <c r="P1706" i="1"/>
  <c r="O1702" i="1"/>
  <c r="P1702" i="1"/>
  <c r="O1698" i="1"/>
  <c r="P1698" i="1"/>
  <c r="O1694" i="1"/>
  <c r="P1694" i="1"/>
  <c r="O1690" i="1"/>
  <c r="P1690" i="1"/>
  <c r="O1686" i="1"/>
  <c r="P1686" i="1"/>
  <c r="O1682" i="1"/>
  <c r="P1682" i="1"/>
  <c r="O1678" i="1"/>
  <c r="P1678" i="1"/>
  <c r="O1674" i="1"/>
  <c r="P1674" i="1"/>
  <c r="O1670" i="1"/>
  <c r="P1670" i="1"/>
  <c r="O1666" i="1"/>
  <c r="P1666" i="1"/>
  <c r="O1662" i="1"/>
  <c r="P1662" i="1"/>
  <c r="O1658" i="1"/>
  <c r="P1658" i="1"/>
  <c r="O1654" i="1"/>
  <c r="P1654" i="1"/>
  <c r="O1650" i="1"/>
  <c r="P1650" i="1"/>
  <c r="O1646" i="1"/>
  <c r="P1646" i="1"/>
  <c r="O1642" i="1"/>
  <c r="P1642" i="1"/>
  <c r="O1638" i="1"/>
  <c r="P1638" i="1"/>
  <c r="O1634" i="1"/>
  <c r="P1634" i="1"/>
  <c r="O1630" i="1"/>
  <c r="P1630" i="1"/>
  <c r="O1626" i="1"/>
  <c r="P1626" i="1"/>
  <c r="O1618" i="1"/>
  <c r="P1618" i="1"/>
  <c r="O1614" i="1"/>
  <c r="P1614" i="1"/>
  <c r="O1610" i="1"/>
  <c r="P1610" i="1"/>
  <c r="O1602" i="1"/>
  <c r="P1602" i="1"/>
  <c r="O1598" i="1"/>
  <c r="P1598" i="1"/>
  <c r="O1594" i="1"/>
  <c r="P1594" i="1"/>
  <c r="O1586" i="1"/>
  <c r="P1586" i="1"/>
  <c r="O1582" i="1"/>
  <c r="P1582" i="1"/>
  <c r="O1578" i="1"/>
  <c r="P1578" i="1"/>
  <c r="O1570" i="1"/>
  <c r="P1570" i="1"/>
  <c r="O1566" i="1"/>
  <c r="P1566" i="1"/>
  <c r="O1562" i="1"/>
  <c r="P1562" i="1"/>
  <c r="O1554" i="1"/>
  <c r="P1554" i="1"/>
  <c r="O1550" i="1"/>
  <c r="P1550" i="1"/>
  <c r="O1546" i="1"/>
  <c r="P1546" i="1"/>
  <c r="O1538" i="1"/>
  <c r="P1538" i="1"/>
  <c r="O1534" i="1"/>
  <c r="P1534" i="1"/>
  <c r="O1530" i="1"/>
  <c r="P1530" i="1"/>
  <c r="O1522" i="1"/>
  <c r="P1522" i="1"/>
  <c r="O1518" i="1"/>
  <c r="P1518" i="1"/>
  <c r="O1514" i="1"/>
  <c r="P1514" i="1"/>
  <c r="O1506" i="1"/>
  <c r="P1506" i="1"/>
  <c r="O1502" i="1"/>
  <c r="P1502" i="1"/>
  <c r="O1498" i="1"/>
  <c r="P1498" i="1"/>
  <c r="O1490" i="1"/>
  <c r="P1490" i="1"/>
  <c r="O1486" i="1"/>
  <c r="P1486" i="1"/>
  <c r="O1482" i="1"/>
  <c r="P1482" i="1"/>
  <c r="O1474" i="1"/>
  <c r="P1474" i="1"/>
  <c r="O1470" i="1"/>
  <c r="P1470" i="1"/>
  <c r="O1466" i="1"/>
  <c r="P1466" i="1"/>
  <c r="O1458" i="1"/>
  <c r="P1458" i="1"/>
  <c r="O1454" i="1"/>
  <c r="P1454" i="1"/>
  <c r="O1450" i="1"/>
  <c r="P1450" i="1"/>
  <c r="O1442" i="1"/>
  <c r="P1442" i="1"/>
  <c r="O1438" i="1"/>
  <c r="P1438" i="1"/>
  <c r="O1434" i="1"/>
  <c r="P1434" i="1"/>
  <c r="O1426" i="1"/>
  <c r="P1426" i="1"/>
  <c r="O1422" i="1"/>
  <c r="P1422" i="1"/>
  <c r="O1418" i="1"/>
  <c r="P1418" i="1"/>
  <c r="O1410" i="1"/>
  <c r="P1410" i="1"/>
  <c r="O1406" i="1"/>
  <c r="P1406" i="1"/>
  <c r="O1402" i="1"/>
  <c r="P1402" i="1"/>
  <c r="O1394" i="1"/>
  <c r="P1394" i="1"/>
  <c r="O1390" i="1"/>
  <c r="P1390" i="1"/>
  <c r="O1386" i="1"/>
  <c r="P1386" i="1"/>
  <c r="O1378" i="1"/>
  <c r="P1378" i="1"/>
  <c r="O1374" i="1"/>
  <c r="P1374" i="1"/>
  <c r="O1370" i="1"/>
  <c r="P1370" i="1"/>
  <c r="O1362" i="1"/>
  <c r="P1362" i="1"/>
  <c r="O1358" i="1"/>
  <c r="P1358" i="1"/>
  <c r="O1354" i="1"/>
  <c r="P1354" i="1"/>
  <c r="O1346" i="1"/>
  <c r="P1346" i="1"/>
  <c r="O1342" i="1"/>
  <c r="P1342" i="1"/>
  <c r="O1338" i="1"/>
  <c r="P1338" i="1"/>
  <c r="O1330" i="1"/>
  <c r="P1330" i="1"/>
  <c r="O1326" i="1"/>
  <c r="P1326" i="1"/>
  <c r="O1322" i="1"/>
  <c r="P1322" i="1"/>
  <c r="O1314" i="1"/>
  <c r="P1314" i="1"/>
  <c r="O1310" i="1"/>
  <c r="P1310" i="1"/>
  <c r="O1306" i="1"/>
  <c r="P1306" i="1"/>
  <c r="O1298" i="1"/>
  <c r="P1298" i="1"/>
  <c r="O1294" i="1"/>
  <c r="P1294" i="1"/>
  <c r="O1290" i="1"/>
  <c r="P1290" i="1"/>
  <c r="O1282" i="1"/>
  <c r="P1282" i="1"/>
  <c r="O1278" i="1"/>
  <c r="P1278" i="1"/>
  <c r="O1274" i="1"/>
  <c r="P1274" i="1"/>
  <c r="O1266" i="1"/>
  <c r="P1266" i="1"/>
  <c r="O1262" i="1"/>
  <c r="P1262" i="1"/>
  <c r="O1258" i="1"/>
  <c r="P1258" i="1"/>
  <c r="O1250" i="1"/>
  <c r="P1250" i="1"/>
  <c r="O1246" i="1"/>
  <c r="P1246" i="1"/>
  <c r="O1242" i="1"/>
  <c r="P1242" i="1"/>
  <c r="O1238" i="1"/>
  <c r="P1238" i="1"/>
  <c r="O1234" i="1"/>
  <c r="P1234" i="1"/>
  <c r="O1230" i="1"/>
  <c r="P1230" i="1"/>
  <c r="O1226" i="1"/>
  <c r="P1226" i="1"/>
  <c r="O1222" i="1"/>
  <c r="P1222" i="1"/>
  <c r="O1218" i="1"/>
  <c r="P1218" i="1"/>
  <c r="O1214" i="1"/>
  <c r="P1214" i="1"/>
  <c r="O1210" i="1"/>
  <c r="P1210" i="1"/>
  <c r="O1206" i="1"/>
  <c r="P1206" i="1"/>
  <c r="O1202" i="1"/>
  <c r="P1202" i="1"/>
  <c r="O1198" i="1"/>
  <c r="P1198" i="1"/>
  <c r="O1194" i="1"/>
  <c r="P1194" i="1"/>
  <c r="O1190" i="1"/>
  <c r="P1190" i="1"/>
  <c r="O1186" i="1"/>
  <c r="P1186" i="1"/>
  <c r="O1182" i="1"/>
  <c r="P1182" i="1"/>
  <c r="O1178" i="1"/>
  <c r="P1178" i="1"/>
  <c r="O1174" i="1"/>
  <c r="P1174" i="1"/>
  <c r="O1170" i="1"/>
  <c r="P1170" i="1"/>
  <c r="O1166" i="1"/>
  <c r="P1166" i="1"/>
  <c r="O1162" i="1"/>
  <c r="P1162" i="1"/>
  <c r="O1158" i="1"/>
  <c r="P1158" i="1"/>
  <c r="O1154" i="1"/>
  <c r="P1154" i="1"/>
  <c r="O1150" i="1"/>
  <c r="P1150" i="1"/>
  <c r="O1146" i="1"/>
  <c r="P1146" i="1"/>
  <c r="O1142" i="1"/>
  <c r="P1142" i="1"/>
  <c r="O1138" i="1"/>
  <c r="P1138" i="1"/>
  <c r="O1134" i="1"/>
  <c r="P1134" i="1"/>
  <c r="O1130" i="1"/>
  <c r="P1130" i="1"/>
  <c r="O1126" i="1"/>
  <c r="P1126" i="1"/>
  <c r="O1122" i="1"/>
  <c r="P1122" i="1"/>
  <c r="O1118" i="1"/>
  <c r="P1118" i="1"/>
  <c r="O1114" i="1"/>
  <c r="P1114" i="1"/>
  <c r="O1110" i="1"/>
  <c r="P1110" i="1"/>
  <c r="O1106" i="1"/>
  <c r="P1106" i="1"/>
  <c r="O1102" i="1"/>
  <c r="P1102" i="1"/>
  <c r="O1098" i="1"/>
  <c r="P1098" i="1"/>
  <c r="O1094" i="1"/>
  <c r="P1094" i="1"/>
  <c r="O1090" i="1"/>
  <c r="P1090" i="1"/>
  <c r="O1086" i="1"/>
  <c r="P1086" i="1"/>
  <c r="O1082" i="1"/>
  <c r="P1082" i="1"/>
  <c r="O1078" i="1"/>
  <c r="P1078" i="1"/>
  <c r="O1074" i="1"/>
  <c r="P1074" i="1"/>
  <c r="O1070" i="1"/>
  <c r="P1070" i="1"/>
  <c r="O1066" i="1"/>
  <c r="P1066" i="1"/>
  <c r="O1062" i="1"/>
  <c r="P1062" i="1"/>
  <c r="O1058" i="1"/>
  <c r="P1058" i="1"/>
  <c r="O1054" i="1"/>
  <c r="P1054" i="1"/>
  <c r="O1050" i="1"/>
  <c r="P1050" i="1"/>
  <c r="O1046" i="1"/>
  <c r="P1046" i="1"/>
  <c r="O1042" i="1"/>
  <c r="P1042" i="1"/>
  <c r="O1038" i="1"/>
  <c r="P1038" i="1"/>
  <c r="O1034" i="1"/>
  <c r="P1034" i="1"/>
  <c r="O1030" i="1"/>
  <c r="P1030" i="1"/>
  <c r="O1026" i="1"/>
  <c r="P1026" i="1"/>
  <c r="O1022" i="1"/>
  <c r="P1022" i="1"/>
  <c r="O1018" i="1"/>
  <c r="P1018" i="1"/>
  <c r="O1014" i="1"/>
  <c r="P1014" i="1"/>
  <c r="O1010" i="1"/>
  <c r="P1010" i="1"/>
  <c r="O1006" i="1"/>
  <c r="P1006" i="1"/>
  <c r="O1002" i="1"/>
  <c r="P1002" i="1"/>
  <c r="O998" i="1"/>
  <c r="P998" i="1"/>
  <c r="O994" i="1"/>
  <c r="P994" i="1"/>
  <c r="O990" i="1"/>
  <c r="P990" i="1"/>
  <c r="O986" i="1"/>
  <c r="P986" i="1"/>
  <c r="O982" i="1"/>
  <c r="P982" i="1"/>
  <c r="O978" i="1"/>
  <c r="P978" i="1"/>
  <c r="O974" i="1"/>
  <c r="P974" i="1"/>
  <c r="O970" i="1"/>
  <c r="P970" i="1"/>
  <c r="O966" i="1"/>
  <c r="P966" i="1"/>
  <c r="O962" i="1"/>
  <c r="P962" i="1"/>
  <c r="O958" i="1"/>
  <c r="P958" i="1"/>
  <c r="O954" i="1"/>
  <c r="P954" i="1"/>
  <c r="O950" i="1"/>
  <c r="P950" i="1"/>
  <c r="O946" i="1"/>
  <c r="P946" i="1"/>
  <c r="O942" i="1"/>
  <c r="P942" i="1"/>
  <c r="O938" i="1"/>
  <c r="P938" i="1"/>
  <c r="O934" i="1"/>
  <c r="P934" i="1"/>
  <c r="O930" i="1"/>
  <c r="P930" i="1"/>
  <c r="O926" i="1"/>
  <c r="P926" i="1"/>
  <c r="O922" i="1"/>
  <c r="P922" i="1"/>
  <c r="O918" i="1"/>
  <c r="P918" i="1"/>
  <c r="O914" i="1"/>
  <c r="P914" i="1"/>
  <c r="O910" i="1"/>
  <c r="P910" i="1"/>
  <c r="O906" i="1"/>
  <c r="P906" i="1"/>
  <c r="O902" i="1"/>
  <c r="P902" i="1"/>
  <c r="O898" i="1"/>
  <c r="P898" i="1"/>
  <c r="O894" i="1"/>
  <c r="P894" i="1"/>
  <c r="O890" i="1"/>
  <c r="P890" i="1"/>
  <c r="O886" i="1"/>
  <c r="P886" i="1"/>
  <c r="O882" i="1"/>
  <c r="P882" i="1"/>
  <c r="O878" i="1"/>
  <c r="P878" i="1"/>
  <c r="O874" i="1"/>
  <c r="P874" i="1"/>
  <c r="O870" i="1"/>
  <c r="P870" i="1"/>
  <c r="O866" i="1"/>
  <c r="P866" i="1"/>
  <c r="O862" i="1"/>
  <c r="P862" i="1"/>
  <c r="O858" i="1"/>
  <c r="P858" i="1"/>
  <c r="O854" i="1"/>
  <c r="P854" i="1"/>
  <c r="O850" i="1"/>
  <c r="P850" i="1"/>
  <c r="O846" i="1"/>
  <c r="P846" i="1"/>
  <c r="O842" i="1"/>
  <c r="P842" i="1"/>
  <c r="O838" i="1"/>
  <c r="P838" i="1"/>
  <c r="O834" i="1"/>
  <c r="P834" i="1"/>
  <c r="O830" i="1"/>
  <c r="P830" i="1"/>
  <c r="P826" i="1"/>
  <c r="O826" i="1"/>
  <c r="O822" i="1"/>
  <c r="P822" i="1"/>
  <c r="O818" i="1"/>
  <c r="P818" i="1"/>
  <c r="O814" i="1"/>
  <c r="P814" i="1"/>
  <c r="O810" i="1"/>
  <c r="P810" i="1"/>
  <c r="O806" i="1"/>
  <c r="P806" i="1"/>
  <c r="O802" i="1"/>
  <c r="P802" i="1"/>
  <c r="O798" i="1"/>
  <c r="P798" i="1"/>
  <c r="O794" i="1"/>
  <c r="P794" i="1"/>
  <c r="O790" i="1"/>
  <c r="P790" i="1"/>
  <c r="O786" i="1"/>
  <c r="P786" i="1"/>
  <c r="O782" i="1"/>
  <c r="P782" i="1"/>
  <c r="O778" i="1"/>
  <c r="P778" i="1"/>
  <c r="O774" i="1"/>
  <c r="P774" i="1"/>
  <c r="O770" i="1"/>
  <c r="P770" i="1"/>
  <c r="O766" i="1"/>
  <c r="P766" i="1"/>
  <c r="O762" i="1"/>
  <c r="P762" i="1"/>
  <c r="O758" i="1"/>
  <c r="P758" i="1"/>
  <c r="O754" i="1"/>
  <c r="P754" i="1"/>
  <c r="O750" i="1"/>
  <c r="P750" i="1"/>
  <c r="O746" i="1"/>
  <c r="P746" i="1"/>
  <c r="O742" i="1"/>
  <c r="P742" i="1"/>
  <c r="O738" i="1"/>
  <c r="P738" i="1"/>
  <c r="O734" i="1"/>
  <c r="P734" i="1"/>
  <c r="O730" i="1"/>
  <c r="P730" i="1"/>
  <c r="O726" i="1"/>
  <c r="P726" i="1"/>
  <c r="O722" i="1"/>
  <c r="P722" i="1"/>
  <c r="O718" i="1"/>
  <c r="P718" i="1"/>
  <c r="O714" i="1"/>
  <c r="P714" i="1"/>
  <c r="O710" i="1"/>
  <c r="P710" i="1"/>
  <c r="O706" i="1"/>
  <c r="P706" i="1"/>
  <c r="O702" i="1"/>
  <c r="P702" i="1"/>
  <c r="O698" i="1"/>
  <c r="P698" i="1"/>
  <c r="O694" i="1"/>
  <c r="P694" i="1"/>
  <c r="O690" i="1"/>
  <c r="P690" i="1"/>
  <c r="O686" i="1"/>
  <c r="P686" i="1"/>
  <c r="O682" i="1"/>
  <c r="P682" i="1"/>
  <c r="O678" i="1"/>
  <c r="P678" i="1"/>
  <c r="O674" i="1"/>
  <c r="P674" i="1"/>
  <c r="O670" i="1"/>
  <c r="P670" i="1"/>
  <c r="O666" i="1"/>
  <c r="P666" i="1"/>
  <c r="O662" i="1"/>
  <c r="P662" i="1"/>
  <c r="O658" i="1"/>
  <c r="P658" i="1"/>
  <c r="O654" i="1"/>
  <c r="P654" i="1"/>
  <c r="O650" i="1"/>
  <c r="P650" i="1"/>
  <c r="O646" i="1"/>
  <c r="P646" i="1"/>
  <c r="O642" i="1"/>
  <c r="P642" i="1"/>
  <c r="O638" i="1"/>
  <c r="P638" i="1"/>
  <c r="O634" i="1"/>
  <c r="P634" i="1"/>
  <c r="O630" i="1"/>
  <c r="P630" i="1"/>
  <c r="O626" i="1"/>
  <c r="P626" i="1"/>
  <c r="O622" i="1"/>
  <c r="P622" i="1"/>
  <c r="O618" i="1"/>
  <c r="P618" i="1"/>
  <c r="O614" i="1"/>
  <c r="P614" i="1"/>
  <c r="O610" i="1"/>
  <c r="P610" i="1"/>
  <c r="O606" i="1"/>
  <c r="P606" i="1"/>
  <c r="O602" i="1"/>
  <c r="P602" i="1"/>
  <c r="O598" i="1"/>
  <c r="P598" i="1"/>
  <c r="O594" i="1"/>
  <c r="P594" i="1"/>
  <c r="O590" i="1"/>
  <c r="P590" i="1"/>
  <c r="O586" i="1"/>
  <c r="P586" i="1"/>
  <c r="O582" i="1"/>
  <c r="P582" i="1"/>
  <c r="O578" i="1"/>
  <c r="P578" i="1"/>
  <c r="O574" i="1"/>
  <c r="P574" i="1"/>
  <c r="O570" i="1"/>
  <c r="P570" i="1"/>
  <c r="O566" i="1"/>
  <c r="P566" i="1"/>
  <c r="O562" i="1"/>
  <c r="P562" i="1"/>
  <c r="O558" i="1"/>
  <c r="P558" i="1"/>
  <c r="O554" i="1"/>
  <c r="P554" i="1"/>
  <c r="O550" i="1"/>
  <c r="P550" i="1"/>
  <c r="O546" i="1"/>
  <c r="P546" i="1"/>
  <c r="O542" i="1"/>
  <c r="P542" i="1"/>
  <c r="O538" i="1"/>
  <c r="P538" i="1"/>
  <c r="O534" i="1"/>
  <c r="P534" i="1"/>
  <c r="O530" i="1"/>
  <c r="P530" i="1"/>
  <c r="O526" i="1"/>
  <c r="P526" i="1"/>
  <c r="O522" i="1"/>
  <c r="P522" i="1"/>
  <c r="O518" i="1"/>
  <c r="P518" i="1"/>
  <c r="O514" i="1"/>
  <c r="P514" i="1"/>
  <c r="O510" i="1"/>
  <c r="P510" i="1"/>
  <c r="O506" i="1"/>
  <c r="P506" i="1"/>
  <c r="O502" i="1"/>
  <c r="P502" i="1"/>
  <c r="O498" i="1"/>
  <c r="P498" i="1"/>
  <c r="O494" i="1"/>
  <c r="P494" i="1"/>
  <c r="O490" i="1"/>
  <c r="P490" i="1"/>
  <c r="O486" i="1"/>
  <c r="P486" i="1"/>
  <c r="O482" i="1"/>
  <c r="P482" i="1"/>
  <c r="O478" i="1"/>
  <c r="P478" i="1"/>
  <c r="O474" i="1"/>
  <c r="P474" i="1"/>
  <c r="O470" i="1"/>
  <c r="P470" i="1"/>
  <c r="O466" i="1"/>
  <c r="P466" i="1"/>
  <c r="O462" i="1"/>
  <c r="P462" i="1"/>
  <c r="O458" i="1"/>
  <c r="P458" i="1"/>
  <c r="O454" i="1"/>
  <c r="P454" i="1"/>
  <c r="O450" i="1"/>
  <c r="P450" i="1"/>
  <c r="O446" i="1"/>
  <c r="P446" i="1"/>
  <c r="O442" i="1"/>
  <c r="P442" i="1"/>
  <c r="O438" i="1"/>
  <c r="P438" i="1"/>
  <c r="O434" i="1"/>
  <c r="P434" i="1"/>
  <c r="O430" i="1"/>
  <c r="P430" i="1"/>
  <c r="O426" i="1"/>
  <c r="P426" i="1"/>
  <c r="O422" i="1"/>
  <c r="P422" i="1"/>
  <c r="O418" i="1"/>
  <c r="P418" i="1"/>
  <c r="O414" i="1"/>
  <c r="P414" i="1"/>
  <c r="O410" i="1"/>
  <c r="P410" i="1"/>
  <c r="O406" i="1"/>
  <c r="P406" i="1"/>
  <c r="O402" i="1"/>
  <c r="P402" i="1"/>
  <c r="O398" i="1"/>
  <c r="P398" i="1"/>
  <c r="O394" i="1"/>
  <c r="P394" i="1"/>
  <c r="O390" i="1"/>
  <c r="P390" i="1"/>
  <c r="O386" i="1"/>
  <c r="P386" i="1"/>
  <c r="O382" i="1"/>
  <c r="P382" i="1"/>
  <c r="O378" i="1"/>
  <c r="P378" i="1"/>
  <c r="O374" i="1"/>
  <c r="P374" i="1"/>
  <c r="O370" i="1"/>
  <c r="P370" i="1"/>
  <c r="O366" i="1"/>
  <c r="P366" i="1"/>
  <c r="O362" i="1"/>
  <c r="P362" i="1"/>
  <c r="O358" i="1"/>
  <c r="P358" i="1"/>
  <c r="O354" i="1"/>
  <c r="P354" i="1"/>
  <c r="O350" i="1"/>
  <c r="P350" i="1"/>
  <c r="O346" i="1"/>
  <c r="P346" i="1"/>
  <c r="O342" i="1"/>
  <c r="P342" i="1"/>
  <c r="O338" i="1"/>
  <c r="P338" i="1"/>
  <c r="O334" i="1"/>
  <c r="P334" i="1"/>
  <c r="O330" i="1"/>
  <c r="P330" i="1"/>
  <c r="O326" i="1"/>
  <c r="P326" i="1"/>
  <c r="O322" i="1"/>
  <c r="P322" i="1"/>
  <c r="O318" i="1"/>
  <c r="P318" i="1"/>
  <c r="O314" i="1"/>
  <c r="P314" i="1"/>
  <c r="O310" i="1"/>
  <c r="P310" i="1"/>
  <c r="O306" i="1"/>
  <c r="P306" i="1"/>
  <c r="O302" i="1"/>
  <c r="P302" i="1"/>
  <c r="O298" i="1"/>
  <c r="P298" i="1"/>
  <c r="O294" i="1"/>
  <c r="P294" i="1"/>
  <c r="O290" i="1"/>
  <c r="P290" i="1"/>
  <c r="O286" i="1"/>
  <c r="P286" i="1"/>
  <c r="O282" i="1"/>
  <c r="P282" i="1"/>
  <c r="O278" i="1"/>
  <c r="P278" i="1"/>
  <c r="O274" i="1"/>
  <c r="P274" i="1"/>
  <c r="O270" i="1"/>
  <c r="P270" i="1"/>
  <c r="O266" i="1"/>
  <c r="P266" i="1"/>
  <c r="O262" i="1"/>
  <c r="P262" i="1"/>
  <c r="O258" i="1"/>
  <c r="P258" i="1"/>
  <c r="O254" i="1"/>
  <c r="P254" i="1"/>
  <c r="O250" i="1"/>
  <c r="P250" i="1"/>
  <c r="O246" i="1"/>
  <c r="P246" i="1"/>
  <c r="O242" i="1"/>
  <c r="P242" i="1"/>
  <c r="O238" i="1"/>
  <c r="P238" i="1"/>
  <c r="O234" i="1"/>
  <c r="P234" i="1"/>
  <c r="O230" i="1"/>
  <c r="P230" i="1"/>
  <c r="O226" i="1"/>
  <c r="P226" i="1"/>
  <c r="O222" i="1"/>
  <c r="P222" i="1"/>
  <c r="O218" i="1"/>
  <c r="P218" i="1"/>
  <c r="O214" i="1"/>
  <c r="P214" i="1"/>
  <c r="O210" i="1"/>
  <c r="P210" i="1"/>
  <c r="O206" i="1"/>
  <c r="P206" i="1"/>
  <c r="O202" i="1"/>
  <c r="P202" i="1"/>
  <c r="O198" i="1"/>
  <c r="P198" i="1"/>
  <c r="O194" i="1"/>
  <c r="P194" i="1"/>
  <c r="O190" i="1"/>
  <c r="P190" i="1"/>
  <c r="O186" i="1"/>
  <c r="P186" i="1"/>
  <c r="O182" i="1"/>
  <c r="P182" i="1"/>
  <c r="O178" i="1"/>
  <c r="P178" i="1"/>
  <c r="O174" i="1"/>
  <c r="P174" i="1"/>
  <c r="O170" i="1"/>
  <c r="P170" i="1"/>
  <c r="O166" i="1"/>
  <c r="P166" i="1"/>
  <c r="O162" i="1"/>
  <c r="P162" i="1"/>
  <c r="O158" i="1"/>
  <c r="P158" i="1"/>
  <c r="O2059" i="1"/>
  <c r="O1995" i="1"/>
  <c r="O1792" i="1"/>
  <c r="O1536" i="1"/>
  <c r="P2097" i="1"/>
  <c r="P2081" i="1"/>
  <c r="P2065" i="1"/>
  <c r="P2049" i="1"/>
  <c r="P2033" i="1"/>
  <c r="P2017" i="1"/>
  <c r="P2001" i="1"/>
  <c r="P1985" i="1"/>
  <c r="P1969" i="1"/>
  <c r="P1953" i="1"/>
  <c r="P1937" i="1"/>
  <c r="P1921" i="1"/>
  <c r="P1905" i="1"/>
  <c r="P1889" i="1"/>
  <c r="P1873" i="1"/>
  <c r="P1857" i="1"/>
  <c r="P1841" i="1"/>
  <c r="P1825" i="1"/>
  <c r="P1809" i="1"/>
  <c r="P1793" i="1"/>
  <c r="P1777" i="1"/>
  <c r="P1761" i="1"/>
  <c r="P1745" i="1"/>
  <c r="P1716" i="1"/>
  <c r="P1684" i="1"/>
  <c r="P1652" i="1"/>
  <c r="P1606" i="1"/>
  <c r="P1542" i="1"/>
  <c r="P1478" i="1"/>
  <c r="P1414" i="1"/>
  <c r="P1350" i="1"/>
  <c r="P1286" i="1"/>
  <c r="P1200" i="1"/>
  <c r="P948" i="1"/>
  <c r="P692" i="1"/>
  <c r="O2100" i="1"/>
  <c r="P2100" i="1"/>
  <c r="O2080" i="1"/>
  <c r="P2080" i="1"/>
  <c r="O2068" i="1"/>
  <c r="P2068" i="1"/>
  <c r="O2056" i="1"/>
  <c r="P2056" i="1"/>
  <c r="O2036" i="1"/>
  <c r="P2036" i="1"/>
  <c r="O2024" i="1"/>
  <c r="P2024" i="1"/>
  <c r="O2004" i="1"/>
  <c r="P2004" i="1"/>
  <c r="O1992" i="1"/>
  <c r="P1992" i="1"/>
  <c r="O1980" i="1"/>
  <c r="P1980" i="1"/>
  <c r="O1964" i="1"/>
  <c r="P1964" i="1"/>
  <c r="P1952" i="1"/>
  <c r="O1952" i="1"/>
  <c r="O1936" i="1"/>
  <c r="P1936" i="1"/>
  <c r="O1924" i="1"/>
  <c r="P1924" i="1"/>
  <c r="O1912" i="1"/>
  <c r="P1912" i="1"/>
  <c r="O1892" i="1"/>
  <c r="P1892" i="1"/>
  <c r="O1872" i="1"/>
  <c r="P1872" i="1"/>
  <c r="O1864" i="1"/>
  <c r="P1864" i="1"/>
  <c r="O1852" i="1"/>
  <c r="P1852" i="1"/>
  <c r="O1832" i="1"/>
  <c r="P1832" i="1"/>
  <c r="O1820" i="1"/>
  <c r="P1820" i="1"/>
  <c r="O1808" i="1"/>
  <c r="P1808" i="1"/>
  <c r="O1796" i="1"/>
  <c r="P1796" i="1"/>
  <c r="P1776" i="1"/>
  <c r="O1776" i="1"/>
  <c r="O1764" i="1"/>
  <c r="P1764" i="1"/>
  <c r="O1736" i="1"/>
  <c r="P1736" i="1"/>
  <c r="O1704" i="1"/>
  <c r="P1704" i="1"/>
  <c r="P1632" i="1"/>
  <c r="O1632" i="1"/>
  <c r="O1624" i="1"/>
  <c r="P1624" i="1"/>
  <c r="O1612" i="1"/>
  <c r="P1612" i="1"/>
  <c r="O1604" i="1"/>
  <c r="P1604" i="1"/>
  <c r="O1588" i="1"/>
  <c r="P1588" i="1"/>
  <c r="O1572" i="1"/>
  <c r="P1572" i="1"/>
  <c r="O1560" i="1"/>
  <c r="P1560" i="1"/>
  <c r="O1548" i="1"/>
  <c r="P1548" i="1"/>
  <c r="O1540" i="1"/>
  <c r="P1540" i="1"/>
  <c r="O1528" i="1"/>
  <c r="P1528" i="1"/>
  <c r="O1516" i="1"/>
  <c r="P1516" i="1"/>
  <c r="O1500" i="1"/>
  <c r="P1500" i="1"/>
  <c r="O1484" i="1"/>
  <c r="P1484" i="1"/>
  <c r="O1472" i="1"/>
  <c r="P1472" i="1"/>
  <c r="O1460" i="1"/>
  <c r="P1460" i="1"/>
  <c r="O1440" i="1"/>
  <c r="P1440" i="1"/>
  <c r="O1428" i="1"/>
  <c r="P1428" i="1"/>
  <c r="O1408" i="1"/>
  <c r="P1408" i="1"/>
  <c r="O1396" i="1"/>
  <c r="P1396" i="1"/>
  <c r="O1384" i="1"/>
  <c r="P1384" i="1"/>
  <c r="O1368" i="1"/>
  <c r="P1368" i="1"/>
  <c r="O1356" i="1"/>
  <c r="P1356" i="1"/>
  <c r="O1340" i="1"/>
  <c r="P1340" i="1"/>
  <c r="O1324" i="1"/>
  <c r="P1324" i="1"/>
  <c r="O1308" i="1"/>
  <c r="P1308" i="1"/>
  <c r="O1292" i="1"/>
  <c r="P1292" i="1"/>
  <c r="O1280" i="1"/>
  <c r="P1280" i="1"/>
  <c r="O1264" i="1"/>
  <c r="P1264" i="1"/>
  <c r="O1252" i="1"/>
  <c r="P1252" i="1"/>
  <c r="O1216" i="1"/>
  <c r="P1216" i="1"/>
  <c r="O1188" i="1"/>
  <c r="P1188" i="1"/>
  <c r="O1172" i="1"/>
  <c r="P1172" i="1"/>
  <c r="O1160" i="1"/>
  <c r="P1160" i="1"/>
  <c r="O1148" i="1"/>
  <c r="P1148" i="1"/>
  <c r="O1136" i="1"/>
  <c r="P1136" i="1"/>
  <c r="O1120" i="1"/>
  <c r="P1120" i="1"/>
  <c r="O1104" i="1"/>
  <c r="P1104" i="1"/>
  <c r="O1092" i="1"/>
  <c r="P1092" i="1"/>
  <c r="O1068" i="1"/>
  <c r="P1068" i="1"/>
  <c r="O1056" i="1"/>
  <c r="P1056" i="1"/>
  <c r="O1044" i="1"/>
  <c r="P1044" i="1"/>
  <c r="O1032" i="1"/>
  <c r="P1032" i="1"/>
  <c r="O996" i="1"/>
  <c r="P996" i="1"/>
  <c r="O984" i="1"/>
  <c r="P984" i="1"/>
  <c r="O968" i="1"/>
  <c r="P968" i="1"/>
  <c r="O952" i="1"/>
  <c r="P952" i="1"/>
  <c r="O940" i="1"/>
  <c r="P940" i="1"/>
  <c r="O928" i="1"/>
  <c r="P928" i="1"/>
  <c r="O916" i="1"/>
  <c r="P916" i="1"/>
  <c r="O904" i="1"/>
  <c r="P904" i="1"/>
  <c r="O892" i="1"/>
  <c r="P892" i="1"/>
  <c r="O876" i="1"/>
  <c r="P876" i="1"/>
  <c r="O864" i="1"/>
  <c r="P864" i="1"/>
  <c r="O848" i="1"/>
  <c r="P848" i="1"/>
  <c r="O836" i="1"/>
  <c r="P836" i="1"/>
  <c r="O824" i="1"/>
  <c r="P824" i="1"/>
  <c r="O808" i="1"/>
  <c r="P808" i="1"/>
  <c r="O796" i="1"/>
  <c r="P796" i="1"/>
  <c r="O776" i="1"/>
  <c r="P776" i="1"/>
  <c r="O764" i="1"/>
  <c r="P764" i="1"/>
  <c r="O748" i="1"/>
  <c r="P748" i="1"/>
  <c r="O736" i="1"/>
  <c r="P736" i="1"/>
  <c r="O720" i="1"/>
  <c r="P720" i="1"/>
  <c r="O704" i="1"/>
  <c r="P704" i="1"/>
  <c r="O688" i="1"/>
  <c r="P688" i="1"/>
  <c r="O676" i="1"/>
  <c r="P676" i="1"/>
  <c r="O656" i="1"/>
  <c r="P656" i="1"/>
  <c r="O644" i="1"/>
  <c r="P644" i="1"/>
  <c r="O628" i="1"/>
  <c r="P628" i="1"/>
  <c r="O612" i="1"/>
  <c r="P612" i="1"/>
  <c r="O592" i="1"/>
  <c r="P592" i="1"/>
  <c r="O580" i="1"/>
  <c r="P580" i="1"/>
  <c r="O564" i="1"/>
  <c r="P564" i="1"/>
  <c r="O548" i="1"/>
  <c r="P548" i="1"/>
  <c r="O536" i="1"/>
  <c r="P536" i="1"/>
  <c r="O516" i="1"/>
  <c r="P516" i="1"/>
  <c r="O504" i="1"/>
  <c r="P504" i="1"/>
  <c r="O484" i="1"/>
  <c r="P484" i="1"/>
  <c r="O472" i="1"/>
  <c r="P472" i="1"/>
  <c r="O456" i="1"/>
  <c r="P456" i="1"/>
  <c r="O440" i="1"/>
  <c r="P440" i="1"/>
  <c r="O424" i="1"/>
  <c r="P424" i="1"/>
  <c r="O408" i="1"/>
  <c r="P408" i="1"/>
  <c r="O392" i="1"/>
  <c r="P392" i="1"/>
  <c r="O376" i="1"/>
  <c r="P376" i="1"/>
  <c r="O360" i="1"/>
  <c r="P360" i="1"/>
  <c r="O348" i="1"/>
  <c r="P348" i="1"/>
  <c r="O332" i="1"/>
  <c r="P332" i="1"/>
  <c r="O320" i="1"/>
  <c r="P320" i="1"/>
  <c r="O304" i="1"/>
  <c r="P304" i="1"/>
  <c r="O292" i="1"/>
  <c r="P292" i="1"/>
  <c r="O280" i="1"/>
  <c r="P280" i="1"/>
  <c r="O260" i="1"/>
  <c r="P260" i="1"/>
  <c r="O248" i="1"/>
  <c r="P248" i="1"/>
  <c r="O228" i="1"/>
  <c r="P228" i="1"/>
  <c r="O216" i="1"/>
  <c r="P216" i="1"/>
  <c r="O204" i="1"/>
  <c r="P204" i="1"/>
  <c r="O188" i="1"/>
  <c r="P188" i="1"/>
  <c r="O172" i="1"/>
  <c r="P172" i="1"/>
  <c r="O152" i="1"/>
  <c r="P152" i="1"/>
  <c r="P2083" i="1"/>
  <c r="O2083" i="1"/>
  <c r="O2079" i="1"/>
  <c r="P2079" i="1"/>
  <c r="P2019" i="1"/>
  <c r="O2019" i="1"/>
  <c r="P2007" i="1"/>
  <c r="O2007" i="1"/>
  <c r="P2003" i="1"/>
  <c r="O2003" i="1"/>
  <c r="O1999" i="1"/>
  <c r="P1999" i="1"/>
  <c r="O1741" i="1"/>
  <c r="P1741" i="1"/>
  <c r="O1737" i="1"/>
  <c r="P1737" i="1"/>
  <c r="O1733" i="1"/>
  <c r="P1733" i="1"/>
  <c r="O1729" i="1"/>
  <c r="P1729" i="1"/>
  <c r="O1725" i="1"/>
  <c r="P1725" i="1"/>
  <c r="O1721" i="1"/>
  <c r="P1721" i="1"/>
  <c r="O1717" i="1"/>
  <c r="P1717" i="1"/>
  <c r="O1713" i="1"/>
  <c r="P1713" i="1"/>
  <c r="O1709" i="1"/>
  <c r="P1709" i="1"/>
  <c r="O1705" i="1"/>
  <c r="P1705" i="1"/>
  <c r="O1701" i="1"/>
  <c r="P1701" i="1"/>
  <c r="O1697" i="1"/>
  <c r="P1697" i="1"/>
  <c r="O1693" i="1"/>
  <c r="P1693" i="1"/>
  <c r="O1689" i="1"/>
  <c r="P1689" i="1"/>
  <c r="O1685" i="1"/>
  <c r="P1685" i="1"/>
  <c r="O1681" i="1"/>
  <c r="P1681" i="1"/>
  <c r="O1677" i="1"/>
  <c r="P1677" i="1"/>
  <c r="O1673" i="1"/>
  <c r="P1673" i="1"/>
  <c r="O1669" i="1"/>
  <c r="P1669" i="1"/>
  <c r="O1665" i="1"/>
  <c r="P1665" i="1"/>
  <c r="O1661" i="1"/>
  <c r="P1661" i="1"/>
  <c r="O1657" i="1"/>
  <c r="P1657" i="1"/>
  <c r="O1653" i="1"/>
  <c r="P1653" i="1"/>
  <c r="O1649" i="1"/>
  <c r="P1649" i="1"/>
  <c r="O1645" i="1"/>
  <c r="P1645" i="1"/>
  <c r="O1641" i="1"/>
  <c r="P1641" i="1"/>
  <c r="O1637" i="1"/>
  <c r="P1637" i="1"/>
  <c r="O1633" i="1"/>
  <c r="P1633" i="1"/>
  <c r="O1629" i="1"/>
  <c r="P1629" i="1"/>
  <c r="O1625" i="1"/>
  <c r="P1625" i="1"/>
  <c r="O1621" i="1"/>
  <c r="P1621" i="1"/>
  <c r="O1617" i="1"/>
  <c r="P1617" i="1"/>
  <c r="O1613" i="1"/>
  <c r="P1613" i="1"/>
  <c r="O1609" i="1"/>
  <c r="P1609" i="1"/>
  <c r="O1605" i="1"/>
  <c r="P1605" i="1"/>
  <c r="O1601" i="1"/>
  <c r="P1601" i="1"/>
  <c r="O1597" i="1"/>
  <c r="P1597" i="1"/>
  <c r="O1593" i="1"/>
  <c r="P1593" i="1"/>
  <c r="O1589" i="1"/>
  <c r="P1589" i="1"/>
  <c r="O1585" i="1"/>
  <c r="P1585" i="1"/>
  <c r="O1581" i="1"/>
  <c r="P1581" i="1"/>
  <c r="O1577" i="1"/>
  <c r="P1577" i="1"/>
  <c r="O1573" i="1"/>
  <c r="P1573" i="1"/>
  <c r="O1569" i="1"/>
  <c r="P1569" i="1"/>
  <c r="O1565" i="1"/>
  <c r="P1565" i="1"/>
  <c r="O1561" i="1"/>
  <c r="P1561" i="1"/>
  <c r="O1557" i="1"/>
  <c r="P1557" i="1"/>
  <c r="O1553" i="1"/>
  <c r="P1553" i="1"/>
  <c r="O1549" i="1"/>
  <c r="P1549" i="1"/>
  <c r="O1545" i="1"/>
  <c r="P1545" i="1"/>
  <c r="O1541" i="1"/>
  <c r="P1541" i="1"/>
  <c r="O1537" i="1"/>
  <c r="P1537" i="1"/>
  <c r="O1533" i="1"/>
  <c r="P1533" i="1"/>
  <c r="O1529" i="1"/>
  <c r="P1529" i="1"/>
  <c r="O1525" i="1"/>
  <c r="P1525" i="1"/>
  <c r="O1521" i="1"/>
  <c r="P1521" i="1"/>
  <c r="O1517" i="1"/>
  <c r="P1517" i="1"/>
  <c r="O1513" i="1"/>
  <c r="P1513" i="1"/>
  <c r="O1509" i="1"/>
  <c r="P1509" i="1"/>
  <c r="O1505" i="1"/>
  <c r="P1505" i="1"/>
  <c r="O1501" i="1"/>
  <c r="P1501" i="1"/>
  <c r="O1497" i="1"/>
  <c r="P1497" i="1"/>
  <c r="O1493" i="1"/>
  <c r="P1493" i="1"/>
  <c r="O1489" i="1"/>
  <c r="P1489" i="1"/>
  <c r="O1485" i="1"/>
  <c r="P1485" i="1"/>
  <c r="O1481" i="1"/>
  <c r="P1481" i="1"/>
  <c r="O1477" i="1"/>
  <c r="P1477" i="1"/>
  <c r="O1473" i="1"/>
  <c r="P1473" i="1"/>
  <c r="O1469" i="1"/>
  <c r="P1469" i="1"/>
  <c r="O1465" i="1"/>
  <c r="P1465" i="1"/>
  <c r="O1461" i="1"/>
  <c r="P1461" i="1"/>
  <c r="O1457" i="1"/>
  <c r="P1457" i="1"/>
  <c r="O1453" i="1"/>
  <c r="P1453" i="1"/>
  <c r="O1449" i="1"/>
  <c r="P1449" i="1"/>
  <c r="O1445" i="1"/>
  <c r="P1445" i="1"/>
  <c r="O1441" i="1"/>
  <c r="P1441" i="1"/>
  <c r="O1437" i="1"/>
  <c r="P1437" i="1"/>
  <c r="O1433" i="1"/>
  <c r="P1433" i="1"/>
  <c r="O1429" i="1"/>
  <c r="P1429" i="1"/>
  <c r="O1425" i="1"/>
  <c r="P1425" i="1"/>
  <c r="O1421" i="1"/>
  <c r="P1421" i="1"/>
  <c r="O1417" i="1"/>
  <c r="P1417" i="1"/>
  <c r="O1413" i="1"/>
  <c r="P1413" i="1"/>
  <c r="O1409" i="1"/>
  <c r="P1409" i="1"/>
  <c r="O1405" i="1"/>
  <c r="P1405" i="1"/>
  <c r="O1401" i="1"/>
  <c r="P1401" i="1"/>
  <c r="O1397" i="1"/>
  <c r="P1397" i="1"/>
  <c r="O1393" i="1"/>
  <c r="P1393" i="1"/>
  <c r="O1389" i="1"/>
  <c r="P1389" i="1"/>
  <c r="O1385" i="1"/>
  <c r="P1385" i="1"/>
  <c r="O1381" i="1"/>
  <c r="P1381" i="1"/>
  <c r="O1377" i="1"/>
  <c r="P1377" i="1"/>
  <c r="O1373" i="1"/>
  <c r="P1373" i="1"/>
  <c r="O1369" i="1"/>
  <c r="P1369" i="1"/>
  <c r="O1365" i="1"/>
  <c r="P1365" i="1"/>
  <c r="O1361" i="1"/>
  <c r="P1361" i="1"/>
  <c r="O1357" i="1"/>
  <c r="P1357" i="1"/>
  <c r="O1353" i="1"/>
  <c r="P1353" i="1"/>
  <c r="O1349" i="1"/>
  <c r="P1349" i="1"/>
  <c r="O1345" i="1"/>
  <c r="P1345" i="1"/>
  <c r="O1341" i="1"/>
  <c r="P1341" i="1"/>
  <c r="O1337" i="1"/>
  <c r="P1337" i="1"/>
  <c r="O1333" i="1"/>
  <c r="P1333" i="1"/>
  <c r="O1329" i="1"/>
  <c r="P1329" i="1"/>
  <c r="O1325" i="1"/>
  <c r="P1325" i="1"/>
  <c r="O1321" i="1"/>
  <c r="P1321" i="1"/>
  <c r="O1317" i="1"/>
  <c r="P1317" i="1"/>
  <c r="O1313" i="1"/>
  <c r="P1313" i="1"/>
  <c r="O1309" i="1"/>
  <c r="P1309" i="1"/>
  <c r="O1305" i="1"/>
  <c r="P1305" i="1"/>
  <c r="O1301" i="1"/>
  <c r="P1301" i="1"/>
  <c r="O1297" i="1"/>
  <c r="P1297" i="1"/>
  <c r="O1293" i="1"/>
  <c r="P1293" i="1"/>
  <c r="O1289" i="1"/>
  <c r="P1289" i="1"/>
  <c r="O1285" i="1"/>
  <c r="P1285" i="1"/>
  <c r="O1281" i="1"/>
  <c r="P1281" i="1"/>
  <c r="O1277" i="1"/>
  <c r="P1277" i="1"/>
  <c r="O1273" i="1"/>
  <c r="P1273" i="1"/>
  <c r="O1269" i="1"/>
  <c r="P1269" i="1"/>
  <c r="O1265" i="1"/>
  <c r="P1265" i="1"/>
  <c r="O1261" i="1"/>
  <c r="P1261" i="1"/>
  <c r="O1257" i="1"/>
  <c r="P1257" i="1"/>
  <c r="O1253" i="1"/>
  <c r="P1253" i="1"/>
  <c r="O1249" i="1"/>
  <c r="P1249" i="1"/>
  <c r="O1245" i="1"/>
  <c r="P1245" i="1"/>
  <c r="O1241" i="1"/>
  <c r="P1241" i="1"/>
  <c r="O1237" i="1"/>
  <c r="P1237" i="1"/>
  <c r="O1233" i="1"/>
  <c r="P1233" i="1"/>
  <c r="O1229" i="1"/>
  <c r="P1229" i="1"/>
  <c r="O1225" i="1"/>
  <c r="P1225" i="1"/>
  <c r="O1221" i="1"/>
  <c r="P1221" i="1"/>
  <c r="O1217" i="1"/>
  <c r="P1217" i="1"/>
  <c r="O1213" i="1"/>
  <c r="P1213" i="1"/>
  <c r="O1209" i="1"/>
  <c r="P1209" i="1"/>
  <c r="O1205" i="1"/>
  <c r="P1205" i="1"/>
  <c r="O1201" i="1"/>
  <c r="P1201" i="1"/>
  <c r="O1197" i="1"/>
  <c r="P1197" i="1"/>
  <c r="O1193" i="1"/>
  <c r="P1193" i="1"/>
  <c r="O1189" i="1"/>
  <c r="P1189" i="1"/>
  <c r="O1185" i="1"/>
  <c r="P1185" i="1"/>
  <c r="O1181" i="1"/>
  <c r="P1181" i="1"/>
  <c r="O1177" i="1"/>
  <c r="P1177" i="1"/>
  <c r="O1173" i="1"/>
  <c r="P1173" i="1"/>
  <c r="O1169" i="1"/>
  <c r="P1169" i="1"/>
  <c r="O1165" i="1"/>
  <c r="P1165" i="1"/>
  <c r="O1161" i="1"/>
  <c r="P1161" i="1"/>
  <c r="O1157" i="1"/>
  <c r="P1157" i="1"/>
  <c r="O1153" i="1"/>
  <c r="P1153" i="1"/>
  <c r="O1149" i="1"/>
  <c r="P1149" i="1"/>
  <c r="O1145" i="1"/>
  <c r="P1145" i="1"/>
  <c r="O1141" i="1"/>
  <c r="P1141" i="1"/>
  <c r="O1137" i="1"/>
  <c r="P1137" i="1"/>
  <c r="O1133" i="1"/>
  <c r="P1133" i="1"/>
  <c r="O1129" i="1"/>
  <c r="P1129" i="1"/>
  <c r="O1125" i="1"/>
  <c r="P1125" i="1"/>
  <c r="O1121" i="1"/>
  <c r="P1121" i="1"/>
  <c r="O1117" i="1"/>
  <c r="P1117" i="1"/>
  <c r="O1113" i="1"/>
  <c r="P1113" i="1"/>
  <c r="O1109" i="1"/>
  <c r="P1109" i="1"/>
  <c r="O1105" i="1"/>
  <c r="P1105" i="1"/>
  <c r="O1101" i="1"/>
  <c r="P1101" i="1"/>
  <c r="O1097" i="1"/>
  <c r="P1097" i="1"/>
  <c r="O1093" i="1"/>
  <c r="P1093" i="1"/>
  <c r="O1089" i="1"/>
  <c r="P1089" i="1"/>
  <c r="O1085" i="1"/>
  <c r="P1085" i="1"/>
  <c r="O1081" i="1"/>
  <c r="P1081" i="1"/>
  <c r="O1077" i="1"/>
  <c r="P1077" i="1"/>
  <c r="O1073" i="1"/>
  <c r="P1073" i="1"/>
  <c r="O1069" i="1"/>
  <c r="P1069" i="1"/>
  <c r="O1065" i="1"/>
  <c r="P1065" i="1"/>
  <c r="O1061" i="1"/>
  <c r="P1061" i="1"/>
  <c r="O1057" i="1"/>
  <c r="P1057" i="1"/>
  <c r="O1053" i="1"/>
  <c r="P1053" i="1"/>
  <c r="O1049" i="1"/>
  <c r="P1049" i="1"/>
  <c r="O1045" i="1"/>
  <c r="P1045" i="1"/>
  <c r="O1041" i="1"/>
  <c r="P1041" i="1"/>
  <c r="O1037" i="1"/>
  <c r="P1037" i="1"/>
  <c r="O1033" i="1"/>
  <c r="P1033" i="1"/>
  <c r="O1029" i="1"/>
  <c r="P1029" i="1"/>
  <c r="O1025" i="1"/>
  <c r="P1025" i="1"/>
  <c r="O1021" i="1"/>
  <c r="P1021" i="1"/>
  <c r="O1017" i="1"/>
  <c r="P1017" i="1"/>
  <c r="O1013" i="1"/>
  <c r="P1013" i="1"/>
  <c r="O1009" i="1"/>
  <c r="P1009" i="1"/>
  <c r="O1005" i="1"/>
  <c r="P1005" i="1"/>
  <c r="O1001" i="1"/>
  <c r="P1001" i="1"/>
  <c r="O997" i="1"/>
  <c r="P997" i="1"/>
  <c r="O993" i="1"/>
  <c r="P993" i="1"/>
  <c r="O989" i="1"/>
  <c r="P989" i="1"/>
  <c r="O985" i="1"/>
  <c r="P985" i="1"/>
  <c r="O981" i="1"/>
  <c r="P981" i="1"/>
  <c r="O977" i="1"/>
  <c r="P977" i="1"/>
  <c r="O973" i="1"/>
  <c r="P973" i="1"/>
  <c r="O969" i="1"/>
  <c r="P969" i="1"/>
  <c r="O965" i="1"/>
  <c r="P965" i="1"/>
  <c r="O961" i="1"/>
  <c r="P961" i="1"/>
  <c r="O957" i="1"/>
  <c r="P957" i="1"/>
  <c r="O953" i="1"/>
  <c r="P953" i="1"/>
  <c r="O949" i="1"/>
  <c r="P949" i="1"/>
  <c r="O945" i="1"/>
  <c r="P945" i="1"/>
  <c r="O941" i="1"/>
  <c r="P941" i="1"/>
  <c r="O937" i="1"/>
  <c r="P937" i="1"/>
  <c r="O933" i="1"/>
  <c r="P933" i="1"/>
  <c r="O929" i="1"/>
  <c r="P929" i="1"/>
  <c r="O925" i="1"/>
  <c r="P925" i="1"/>
  <c r="O921" i="1"/>
  <c r="P921" i="1"/>
  <c r="O917" i="1"/>
  <c r="P917" i="1"/>
  <c r="O913" i="1"/>
  <c r="P913" i="1"/>
  <c r="O909" i="1"/>
  <c r="P909" i="1"/>
  <c r="O905" i="1"/>
  <c r="P905" i="1"/>
  <c r="O901" i="1"/>
  <c r="P901" i="1"/>
  <c r="O897" i="1"/>
  <c r="P897" i="1"/>
  <c r="O893" i="1"/>
  <c r="P893" i="1"/>
  <c r="O889" i="1"/>
  <c r="P889" i="1"/>
  <c r="O885" i="1"/>
  <c r="P885" i="1"/>
  <c r="O881" i="1"/>
  <c r="P881" i="1"/>
  <c r="O877" i="1"/>
  <c r="P877" i="1"/>
  <c r="O873" i="1"/>
  <c r="P873" i="1"/>
  <c r="O869" i="1"/>
  <c r="P869" i="1"/>
  <c r="O865" i="1"/>
  <c r="P865" i="1"/>
  <c r="O861" i="1"/>
  <c r="P861" i="1"/>
  <c r="O857" i="1"/>
  <c r="P857" i="1"/>
  <c r="O853" i="1"/>
  <c r="P853" i="1"/>
  <c r="O849" i="1"/>
  <c r="P849" i="1"/>
  <c r="O845" i="1"/>
  <c r="P845" i="1"/>
  <c r="O841" i="1"/>
  <c r="P841" i="1"/>
  <c r="O837" i="1"/>
  <c r="P837" i="1"/>
  <c r="O833" i="1"/>
  <c r="P833" i="1"/>
  <c r="O829" i="1"/>
  <c r="P829" i="1"/>
  <c r="O825" i="1"/>
  <c r="P825" i="1"/>
  <c r="O821" i="1"/>
  <c r="P821" i="1"/>
  <c r="O817" i="1"/>
  <c r="P817" i="1"/>
  <c r="O813" i="1"/>
  <c r="P813" i="1"/>
  <c r="O809" i="1"/>
  <c r="P809" i="1"/>
  <c r="O805" i="1"/>
  <c r="P805" i="1"/>
  <c r="O801" i="1"/>
  <c r="P801" i="1"/>
  <c r="O797" i="1"/>
  <c r="P797" i="1"/>
  <c r="O793" i="1"/>
  <c r="P793" i="1"/>
  <c r="O789" i="1"/>
  <c r="P789" i="1"/>
  <c r="O785" i="1"/>
  <c r="P785" i="1"/>
  <c r="O781" i="1"/>
  <c r="P781" i="1"/>
  <c r="O777" i="1"/>
  <c r="P777" i="1"/>
  <c r="O773" i="1"/>
  <c r="P773" i="1"/>
  <c r="O769" i="1"/>
  <c r="P769" i="1"/>
  <c r="O765" i="1"/>
  <c r="P765" i="1"/>
  <c r="O761" i="1"/>
  <c r="P761" i="1"/>
  <c r="O757" i="1"/>
  <c r="P757" i="1"/>
  <c r="O753" i="1"/>
  <c r="P753" i="1"/>
  <c r="O749" i="1"/>
  <c r="P749" i="1"/>
  <c r="O745" i="1"/>
  <c r="P745" i="1"/>
  <c r="O741" i="1"/>
  <c r="P741" i="1"/>
  <c r="O737" i="1"/>
  <c r="P737" i="1"/>
  <c r="O733" i="1"/>
  <c r="P733" i="1"/>
  <c r="O729" i="1"/>
  <c r="P729" i="1"/>
  <c r="O725" i="1"/>
  <c r="P725" i="1"/>
  <c r="O721" i="1"/>
  <c r="P721" i="1"/>
  <c r="O717" i="1"/>
  <c r="P717" i="1"/>
  <c r="O713" i="1"/>
  <c r="P713" i="1"/>
  <c r="O709" i="1"/>
  <c r="P709" i="1"/>
  <c r="O705" i="1"/>
  <c r="P705" i="1"/>
  <c r="O701" i="1"/>
  <c r="P701" i="1"/>
  <c r="O697" i="1"/>
  <c r="P697" i="1"/>
  <c r="O693" i="1"/>
  <c r="P693" i="1"/>
  <c r="O689" i="1"/>
  <c r="P689" i="1"/>
  <c r="O685" i="1"/>
  <c r="P685" i="1"/>
  <c r="O681" i="1"/>
  <c r="P681" i="1"/>
  <c r="O677" i="1"/>
  <c r="P677" i="1"/>
  <c r="O673" i="1"/>
  <c r="P673" i="1"/>
  <c r="O669" i="1"/>
  <c r="P669" i="1"/>
  <c r="O665" i="1"/>
  <c r="P665" i="1"/>
  <c r="O661" i="1"/>
  <c r="P661" i="1"/>
  <c r="O657" i="1"/>
  <c r="P657" i="1"/>
  <c r="O653" i="1"/>
  <c r="P653" i="1"/>
  <c r="O649" i="1"/>
  <c r="P649" i="1"/>
  <c r="O645" i="1"/>
  <c r="P645" i="1"/>
  <c r="O641" i="1"/>
  <c r="P641" i="1"/>
  <c r="O637" i="1"/>
  <c r="P637" i="1"/>
  <c r="O633" i="1"/>
  <c r="P633" i="1"/>
  <c r="O629" i="1"/>
  <c r="P629" i="1"/>
  <c r="O625" i="1"/>
  <c r="P625" i="1"/>
  <c r="O621" i="1"/>
  <c r="P621" i="1"/>
  <c r="O617" i="1"/>
  <c r="P617" i="1"/>
  <c r="O613" i="1"/>
  <c r="P613" i="1"/>
  <c r="O609" i="1"/>
  <c r="P609" i="1"/>
  <c r="O605" i="1"/>
  <c r="P605" i="1"/>
  <c r="O601" i="1"/>
  <c r="P601" i="1"/>
  <c r="O597" i="1"/>
  <c r="P597" i="1"/>
  <c r="O593" i="1"/>
  <c r="P593" i="1"/>
  <c r="O589" i="1"/>
  <c r="P589" i="1"/>
  <c r="O585" i="1"/>
  <c r="P585" i="1"/>
  <c r="O581" i="1"/>
  <c r="P581" i="1"/>
  <c r="O577" i="1"/>
  <c r="P577" i="1"/>
  <c r="O573" i="1"/>
  <c r="P573" i="1"/>
  <c r="O569" i="1"/>
  <c r="P569" i="1"/>
  <c r="O565" i="1"/>
  <c r="P565" i="1"/>
  <c r="O561" i="1"/>
  <c r="P561" i="1"/>
  <c r="O557" i="1"/>
  <c r="P557" i="1"/>
  <c r="O553" i="1"/>
  <c r="P553" i="1"/>
  <c r="O549" i="1"/>
  <c r="P549" i="1"/>
  <c r="O545" i="1"/>
  <c r="P545" i="1"/>
  <c r="O541" i="1"/>
  <c r="P541" i="1"/>
  <c r="O537" i="1"/>
  <c r="P537" i="1"/>
  <c r="O533" i="1"/>
  <c r="P533" i="1"/>
  <c r="O529" i="1"/>
  <c r="P529" i="1"/>
  <c r="O525" i="1"/>
  <c r="P525" i="1"/>
  <c r="O521" i="1"/>
  <c r="P521" i="1"/>
  <c r="O517" i="1"/>
  <c r="P517" i="1"/>
  <c r="O513" i="1"/>
  <c r="P513" i="1"/>
  <c r="O509" i="1"/>
  <c r="P509" i="1"/>
  <c r="O505" i="1"/>
  <c r="P505" i="1"/>
  <c r="O501" i="1"/>
  <c r="P501" i="1"/>
  <c r="O497" i="1"/>
  <c r="P497" i="1"/>
  <c r="O493" i="1"/>
  <c r="P493" i="1"/>
  <c r="O489" i="1"/>
  <c r="P489" i="1"/>
  <c r="O485" i="1"/>
  <c r="P485" i="1"/>
  <c r="O481" i="1"/>
  <c r="P481" i="1"/>
  <c r="O477" i="1"/>
  <c r="P477" i="1"/>
  <c r="O473" i="1"/>
  <c r="P473" i="1"/>
  <c r="O469" i="1"/>
  <c r="P469" i="1"/>
  <c r="O465" i="1"/>
  <c r="P465" i="1"/>
  <c r="O461" i="1"/>
  <c r="P461" i="1"/>
  <c r="O457" i="1"/>
  <c r="P457" i="1"/>
  <c r="O453" i="1"/>
  <c r="P453" i="1"/>
  <c r="O449" i="1"/>
  <c r="P449" i="1"/>
  <c r="O445" i="1"/>
  <c r="P445" i="1"/>
  <c r="O441" i="1"/>
  <c r="P441" i="1"/>
  <c r="O437" i="1"/>
  <c r="P437" i="1"/>
  <c r="O433" i="1"/>
  <c r="P433" i="1"/>
  <c r="O429" i="1"/>
  <c r="P429" i="1"/>
  <c r="O425" i="1"/>
  <c r="P425" i="1"/>
  <c r="O421" i="1"/>
  <c r="P421" i="1"/>
  <c r="O417" i="1"/>
  <c r="P417" i="1"/>
  <c r="O413" i="1"/>
  <c r="P413" i="1"/>
  <c r="O409" i="1"/>
  <c r="P409" i="1"/>
  <c r="O405" i="1"/>
  <c r="P405" i="1"/>
  <c r="O401" i="1"/>
  <c r="P401" i="1"/>
  <c r="O397" i="1"/>
  <c r="P397" i="1"/>
  <c r="O393" i="1"/>
  <c r="P393" i="1"/>
  <c r="O389" i="1"/>
  <c r="P389" i="1"/>
  <c r="O385" i="1"/>
  <c r="P385" i="1"/>
  <c r="O381" i="1"/>
  <c r="P381" i="1"/>
  <c r="O377" i="1"/>
  <c r="P377" i="1"/>
  <c r="O373" i="1"/>
  <c r="P373" i="1"/>
  <c r="O369" i="1"/>
  <c r="P369" i="1"/>
  <c r="O365" i="1"/>
  <c r="P365" i="1"/>
  <c r="O361" i="1"/>
  <c r="P361" i="1"/>
  <c r="O357" i="1"/>
  <c r="P357" i="1"/>
  <c r="O353" i="1"/>
  <c r="P353" i="1"/>
  <c r="O349" i="1"/>
  <c r="P349" i="1"/>
  <c r="O345" i="1"/>
  <c r="P345" i="1"/>
  <c r="O341" i="1"/>
  <c r="P341" i="1"/>
  <c r="O337" i="1"/>
  <c r="P337" i="1"/>
  <c r="O333" i="1"/>
  <c r="P333" i="1"/>
  <c r="O329" i="1"/>
  <c r="P329" i="1"/>
  <c r="O325" i="1"/>
  <c r="P325" i="1"/>
  <c r="O321" i="1"/>
  <c r="P321" i="1"/>
  <c r="O317" i="1"/>
  <c r="P317" i="1"/>
  <c r="O313" i="1"/>
  <c r="P313" i="1"/>
  <c r="O309" i="1"/>
  <c r="P309" i="1"/>
  <c r="O305" i="1"/>
  <c r="P305" i="1"/>
  <c r="O301" i="1"/>
  <c r="P301" i="1"/>
  <c r="O297" i="1"/>
  <c r="P297" i="1"/>
  <c r="O293" i="1"/>
  <c r="P293" i="1"/>
  <c r="O289" i="1"/>
  <c r="P289" i="1"/>
  <c r="O285" i="1"/>
  <c r="P285" i="1"/>
  <c r="O281" i="1"/>
  <c r="P281" i="1"/>
  <c r="O277" i="1"/>
  <c r="P277" i="1"/>
  <c r="O273" i="1"/>
  <c r="P273" i="1"/>
  <c r="O269" i="1"/>
  <c r="P269" i="1"/>
  <c r="O265" i="1"/>
  <c r="P265" i="1"/>
  <c r="O261" i="1"/>
  <c r="P261" i="1"/>
  <c r="O257" i="1"/>
  <c r="P257" i="1"/>
  <c r="O253" i="1"/>
  <c r="P253" i="1"/>
  <c r="O249" i="1"/>
  <c r="P249" i="1"/>
  <c r="O245" i="1"/>
  <c r="P245" i="1"/>
  <c r="O241" i="1"/>
  <c r="P241" i="1"/>
  <c r="O237" i="1"/>
  <c r="P237" i="1"/>
  <c r="O233" i="1"/>
  <c r="P233" i="1"/>
  <c r="O229" i="1"/>
  <c r="P229" i="1"/>
  <c r="O225" i="1"/>
  <c r="P225" i="1"/>
  <c r="O221" i="1"/>
  <c r="P221" i="1"/>
  <c r="O217" i="1"/>
  <c r="P217" i="1"/>
  <c r="O213" i="1"/>
  <c r="P213" i="1"/>
  <c r="O209" i="1"/>
  <c r="P209" i="1"/>
  <c r="O205" i="1"/>
  <c r="P205" i="1"/>
  <c r="O201" i="1"/>
  <c r="P201" i="1"/>
  <c r="O197" i="1"/>
  <c r="P197" i="1"/>
  <c r="O193" i="1"/>
  <c r="P193" i="1"/>
  <c r="O189" i="1"/>
  <c r="P189" i="1"/>
  <c r="O185" i="1"/>
  <c r="P185" i="1"/>
  <c r="O181" i="1"/>
  <c r="P181" i="1"/>
  <c r="O177" i="1"/>
  <c r="P177" i="1"/>
  <c r="O173" i="1"/>
  <c r="P173" i="1"/>
  <c r="O169" i="1"/>
  <c r="P169" i="1"/>
  <c r="O165" i="1"/>
  <c r="P165" i="1"/>
  <c r="O161" i="1"/>
  <c r="P161" i="1"/>
  <c r="O157" i="1"/>
  <c r="P157" i="1"/>
  <c r="O153" i="1"/>
  <c r="P153" i="1"/>
  <c r="O149" i="1"/>
  <c r="P149" i="1"/>
  <c r="O145" i="1"/>
  <c r="P145" i="1"/>
  <c r="O141" i="1"/>
  <c r="P141" i="1"/>
  <c r="O137" i="1"/>
  <c r="P137" i="1"/>
  <c r="O133" i="1"/>
  <c r="P133" i="1"/>
  <c r="O129" i="1"/>
  <c r="P129" i="1"/>
  <c r="O125" i="1"/>
  <c r="P125" i="1"/>
  <c r="O121" i="1"/>
  <c r="P121" i="1"/>
  <c r="O117" i="1"/>
  <c r="P117" i="1"/>
  <c r="O113" i="1"/>
  <c r="P113" i="1"/>
  <c r="O109" i="1"/>
  <c r="P109" i="1"/>
  <c r="O105" i="1"/>
  <c r="P105" i="1"/>
  <c r="O101" i="1"/>
  <c r="P101" i="1"/>
  <c r="O97" i="1"/>
  <c r="P97" i="1"/>
  <c r="O93" i="1"/>
  <c r="P93" i="1"/>
  <c r="O89" i="1"/>
  <c r="P89" i="1"/>
  <c r="O85" i="1"/>
  <c r="P85" i="1"/>
  <c r="O81" i="1"/>
  <c r="P81" i="1"/>
  <c r="O77" i="1"/>
  <c r="P77" i="1"/>
  <c r="O73" i="1"/>
  <c r="P73" i="1"/>
  <c r="O69" i="1"/>
  <c r="P69" i="1"/>
  <c r="O65" i="1"/>
  <c r="P65" i="1"/>
  <c r="O61" i="1"/>
  <c r="P61" i="1"/>
  <c r="O57" i="1"/>
  <c r="P57" i="1"/>
  <c r="O53" i="1"/>
  <c r="P53" i="1"/>
  <c r="O49" i="1"/>
  <c r="P49" i="1"/>
  <c r="O45" i="1"/>
  <c r="P45" i="1"/>
  <c r="O41" i="1"/>
  <c r="P41" i="1"/>
  <c r="O37" i="1"/>
  <c r="P37" i="1"/>
  <c r="O33" i="1"/>
  <c r="P33" i="1"/>
  <c r="O29" i="1"/>
  <c r="P29" i="1"/>
  <c r="O25" i="1"/>
  <c r="P25" i="1"/>
  <c r="O21" i="1"/>
  <c r="P21" i="1"/>
  <c r="O17" i="1"/>
  <c r="P17" i="1"/>
  <c r="O13" i="1"/>
  <c r="P13" i="1"/>
  <c r="O9" i="1"/>
  <c r="P9" i="1"/>
  <c r="O5" i="1"/>
  <c r="P5" i="1"/>
  <c r="O2107" i="1"/>
  <c r="O2043" i="1"/>
  <c r="O1960" i="1"/>
  <c r="O1728" i="1"/>
  <c r="O1447" i="1"/>
  <c r="P2093" i="1"/>
  <c r="P2077" i="1"/>
  <c r="P2061" i="1"/>
  <c r="P2045" i="1"/>
  <c r="P2029" i="1"/>
  <c r="P2013" i="1"/>
  <c r="P1997" i="1"/>
  <c r="P1981" i="1"/>
  <c r="P1965" i="1"/>
  <c r="P1949" i="1"/>
  <c r="P1933" i="1"/>
  <c r="P1917" i="1"/>
  <c r="P1901" i="1"/>
  <c r="P1885" i="1"/>
  <c r="P1869" i="1"/>
  <c r="P1853" i="1"/>
  <c r="P1837" i="1"/>
  <c r="P1821" i="1"/>
  <c r="P1805" i="1"/>
  <c r="P1789" i="1"/>
  <c r="P1773" i="1"/>
  <c r="P1757" i="1"/>
  <c r="P1740" i="1"/>
  <c r="P1708" i="1"/>
  <c r="P1676" i="1"/>
  <c r="P1644" i="1"/>
  <c r="P1590" i="1"/>
  <c r="P1526" i="1"/>
  <c r="P1462" i="1"/>
  <c r="P1398" i="1"/>
  <c r="P1334" i="1"/>
  <c r="P1270" i="1"/>
  <c r="P1140" i="1"/>
  <c r="P884" i="1"/>
  <c r="P584" i="1"/>
  <c r="O120" i="1"/>
  <c r="P120" i="1"/>
  <c r="O116" i="1"/>
  <c r="P116" i="1"/>
  <c r="O112" i="1"/>
  <c r="P112" i="1"/>
  <c r="O108" i="1"/>
  <c r="P108" i="1"/>
  <c r="O104" i="1"/>
  <c r="P104" i="1"/>
  <c r="O100" i="1"/>
  <c r="P100" i="1"/>
  <c r="O96" i="1"/>
  <c r="P96" i="1"/>
  <c r="O92" i="1"/>
  <c r="P92" i="1"/>
  <c r="O88" i="1"/>
  <c r="P88" i="1"/>
  <c r="O84" i="1"/>
  <c r="P84" i="1"/>
  <c r="O80" i="1"/>
  <c r="P80" i="1"/>
  <c r="O76" i="1"/>
  <c r="P76" i="1"/>
  <c r="O72" i="1"/>
  <c r="P72" i="1"/>
  <c r="O68" i="1"/>
  <c r="P68" i="1"/>
  <c r="O64" i="1"/>
  <c r="P64" i="1"/>
  <c r="O60" i="1"/>
  <c r="P60" i="1"/>
  <c r="O56" i="1"/>
  <c r="P56" i="1"/>
  <c r="O52" i="1"/>
  <c r="P52" i="1"/>
  <c r="O48" i="1"/>
  <c r="P48" i="1"/>
  <c r="O44" i="1"/>
  <c r="P44" i="1"/>
  <c r="O40" i="1"/>
  <c r="P40" i="1"/>
  <c r="O36" i="1"/>
  <c r="P36" i="1"/>
  <c r="O32" i="1"/>
  <c r="P32" i="1"/>
  <c r="O28" i="1"/>
  <c r="P28" i="1"/>
  <c r="O24" i="1"/>
  <c r="P24" i="1"/>
  <c r="O20" i="1"/>
  <c r="P20" i="1"/>
  <c r="O16" i="1"/>
  <c r="P16" i="1"/>
  <c r="O12" i="1"/>
  <c r="P12" i="1"/>
  <c r="O8" i="1"/>
  <c r="P8" i="1"/>
  <c r="O4" i="1"/>
  <c r="P4" i="1"/>
  <c r="O155" i="1"/>
  <c r="P155" i="1"/>
  <c r="O151" i="1"/>
  <c r="P151" i="1"/>
  <c r="O147" i="1"/>
  <c r="P147" i="1"/>
  <c r="O143" i="1"/>
  <c r="P143" i="1"/>
  <c r="O139" i="1"/>
  <c r="P139" i="1"/>
  <c r="O135" i="1"/>
  <c r="P135" i="1"/>
  <c r="O131" i="1"/>
  <c r="P131" i="1"/>
  <c r="O127" i="1"/>
  <c r="P127" i="1"/>
  <c r="O123" i="1"/>
  <c r="P123" i="1"/>
  <c r="O119" i="1"/>
  <c r="P119" i="1"/>
  <c r="O115" i="1"/>
  <c r="P115" i="1"/>
  <c r="O111" i="1"/>
  <c r="P111" i="1"/>
  <c r="O107" i="1"/>
  <c r="P107" i="1"/>
  <c r="O103" i="1"/>
  <c r="P103" i="1"/>
  <c r="O99" i="1"/>
  <c r="P99" i="1"/>
  <c r="O95" i="1"/>
  <c r="P95" i="1"/>
  <c r="O91" i="1"/>
  <c r="P91" i="1"/>
  <c r="O87" i="1"/>
  <c r="P87" i="1"/>
  <c r="O83" i="1"/>
  <c r="P83" i="1"/>
  <c r="O79" i="1"/>
  <c r="P79" i="1"/>
  <c r="O75" i="1"/>
  <c r="P75" i="1"/>
  <c r="O71" i="1"/>
  <c r="P71" i="1"/>
  <c r="O67" i="1"/>
  <c r="P67" i="1"/>
  <c r="O63" i="1"/>
  <c r="P63" i="1"/>
  <c r="O59" i="1"/>
  <c r="P59" i="1"/>
  <c r="O55" i="1"/>
  <c r="P55" i="1"/>
  <c r="O51" i="1"/>
  <c r="P51" i="1"/>
  <c r="O47" i="1"/>
  <c r="P47" i="1"/>
  <c r="O43" i="1"/>
  <c r="P43" i="1"/>
  <c r="O39" i="1"/>
  <c r="P39" i="1"/>
  <c r="O35" i="1"/>
  <c r="P35" i="1"/>
  <c r="O31" i="1"/>
  <c r="P31" i="1"/>
  <c r="O27" i="1"/>
  <c r="P27" i="1"/>
  <c r="O23" i="1"/>
  <c r="P23" i="1"/>
  <c r="O19" i="1"/>
  <c r="P19" i="1"/>
  <c r="O15" i="1"/>
  <c r="P15" i="1"/>
  <c r="O11" i="1"/>
  <c r="P11" i="1"/>
  <c r="O7" i="1"/>
  <c r="P7" i="1"/>
  <c r="O3" i="1"/>
  <c r="P3" i="1"/>
  <c r="O154" i="1"/>
  <c r="P154" i="1"/>
  <c r="O150" i="1"/>
  <c r="P150" i="1"/>
  <c r="O146" i="1"/>
  <c r="P146" i="1"/>
  <c r="O142" i="1"/>
  <c r="P142" i="1"/>
  <c r="O138" i="1"/>
  <c r="P138" i="1"/>
  <c r="O134" i="1"/>
  <c r="P134" i="1"/>
  <c r="O130" i="1"/>
  <c r="P130" i="1"/>
  <c r="O126" i="1"/>
  <c r="P126" i="1"/>
  <c r="O122" i="1"/>
  <c r="P122" i="1"/>
  <c r="O118" i="1"/>
  <c r="P118" i="1"/>
  <c r="O114" i="1"/>
  <c r="P114" i="1"/>
  <c r="O110" i="1"/>
  <c r="P110" i="1"/>
  <c r="O106" i="1"/>
  <c r="P106" i="1"/>
  <c r="O102" i="1"/>
  <c r="P102" i="1"/>
  <c r="O98" i="1"/>
  <c r="P98" i="1"/>
  <c r="O94" i="1"/>
  <c r="P94" i="1"/>
  <c r="O90" i="1"/>
  <c r="P90" i="1"/>
  <c r="O86" i="1"/>
  <c r="P86" i="1"/>
  <c r="O82" i="1"/>
  <c r="P82" i="1"/>
  <c r="O78" i="1"/>
  <c r="P78" i="1"/>
  <c r="O74" i="1"/>
  <c r="P74" i="1"/>
  <c r="O70" i="1"/>
  <c r="P70" i="1"/>
  <c r="O66" i="1"/>
  <c r="P66" i="1"/>
  <c r="O62" i="1"/>
  <c r="P62" i="1"/>
  <c r="O58" i="1"/>
  <c r="P58" i="1"/>
  <c r="O54" i="1"/>
  <c r="P54" i="1"/>
  <c r="O50" i="1"/>
  <c r="P50" i="1"/>
  <c r="O46" i="1"/>
  <c r="P46" i="1"/>
  <c r="O42" i="1"/>
  <c r="P42" i="1"/>
  <c r="O38" i="1"/>
  <c r="P38" i="1"/>
  <c r="O34" i="1"/>
  <c r="P34" i="1"/>
  <c r="O30" i="1"/>
  <c r="P30" i="1"/>
  <c r="O26" i="1"/>
  <c r="P26" i="1"/>
  <c r="O22" i="1"/>
  <c r="P22" i="1"/>
  <c r="O18" i="1"/>
  <c r="P18" i="1"/>
  <c r="O14" i="1"/>
  <c r="P14" i="1"/>
  <c r="O10" i="1"/>
  <c r="P10" i="1"/>
  <c r="O6" i="1"/>
  <c r="P6" i="1"/>
  <c r="O2" i="1"/>
  <c r="P2" i="1"/>
</calcChain>
</file>

<file path=xl/sharedStrings.xml><?xml version="1.0" encoding="utf-8"?>
<sst xmlns="http://schemas.openxmlformats.org/spreadsheetml/2006/main" count="2146" uniqueCount="32">
  <si>
    <t>M01AB</t>
  </si>
  <si>
    <t>M01AE</t>
  </si>
  <si>
    <t>N02BA</t>
  </si>
  <si>
    <t>N02BE</t>
  </si>
  <si>
    <t>N05B</t>
  </si>
  <si>
    <t>N05C</t>
  </si>
  <si>
    <t>R03</t>
  </si>
  <si>
    <t>R06</t>
  </si>
  <si>
    <t>Year</t>
  </si>
  <si>
    <t>Month</t>
  </si>
  <si>
    <t>Weekday Name</t>
  </si>
  <si>
    <t>Thursday</t>
  </si>
  <si>
    <t>Friday</t>
  </si>
  <si>
    <t>Saturday</t>
  </si>
  <si>
    <t>Sunday</t>
  </si>
  <si>
    <t>Monday</t>
  </si>
  <si>
    <t>Tuesday</t>
  </si>
  <si>
    <t>Wednesday</t>
  </si>
  <si>
    <t>Date</t>
  </si>
  <si>
    <t>Total Drug Sales</t>
  </si>
  <si>
    <t>Total Revenue</t>
  </si>
  <si>
    <t>Profit</t>
  </si>
  <si>
    <t>Market Segment</t>
  </si>
  <si>
    <t>High Value</t>
  </si>
  <si>
    <t>Low Value</t>
  </si>
  <si>
    <t>Medium Value</t>
  </si>
  <si>
    <t>Grand Total</t>
  </si>
  <si>
    <t xml:space="preserve"> Total Revenue</t>
  </si>
  <si>
    <t xml:space="preserve"> Profit</t>
  </si>
  <si>
    <t>Month/Year</t>
  </si>
  <si>
    <t>Sum of Total Revenue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</si>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</sst>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2" fontId="0" fillId="0" borderId="0" xfId="0" applyNumberFormat="1"/>
    <xf numFmtId="0" fontId="0" fillId="0" borderId="0" xfId="0" applyAlignment="1">
      <alignment horizontal="left" indent="1"/>
    </xf>
    <xf numFmtId="4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25.830680439816" createdVersion="7" refreshedVersion="7" minRefreshableVersion="3" recordCount="2106" xr:uid="{00000000-000A-0000-FFFF-FFFF07000000}">
  <cacheSource type="worksheet">
    <worksheetSource name="Pharma_Sales_Data"/>
  </cacheSource>
  <cacheFields count="16">
    <cacheField name="Date" numFmtId="14">
      <sharedItems containsSemiMixedTypes="0" containsNonDate="0" containsDate="1" containsString="0" minDate="2014-01-02T00:00:00" maxDate="2019-10-09T00:00:00"/>
    </cacheField>
    <cacheField name="M01AB" numFmtId="0">
      <sharedItems containsSemiMixedTypes="0" containsString="0" containsNumber="1" minValue="0" maxValue="17.34"/>
    </cacheField>
    <cacheField name="M01AE" numFmtId="0">
      <sharedItems containsSemiMixedTypes="0" containsString="0" containsNumber="1" minValue="0" maxValue="14.462999999999999"/>
    </cacheField>
    <cacheField name="N02BA" numFmtId="0">
      <sharedItems containsSemiMixedTypes="0" containsString="0" containsNumber="1" minValue="0" maxValue="16"/>
    </cacheField>
    <cacheField name="N02BE" numFmtId="0">
      <sharedItems containsSemiMixedTypes="0" containsString="0" containsNumber="1" minValue="0" maxValue="161"/>
    </cacheField>
    <cacheField name="N05B" numFmtId="0">
      <sharedItems containsSemiMixedTypes="0" containsString="0" containsNumber="1" minValue="0" maxValue="54.833333330000002"/>
    </cacheField>
    <cacheField name="N05C" numFmtId="0">
      <sharedItems containsSemiMixedTypes="0" containsString="0" containsNumber="1" minValue="0" maxValue="9"/>
    </cacheField>
    <cacheField name="R03" numFmtId="0">
      <sharedItems containsSemiMixedTypes="0" containsString="0" containsNumber="1" minValue="0" maxValue="45"/>
    </cacheField>
    <cacheField name="R06" numFmtId="0">
      <sharedItems containsSemiMixedTypes="0" containsString="0" containsNumber="1" minValue="0" maxValue="15"/>
    </cacheField>
    <cacheField name="Year" numFmtId="0">
      <sharedItems containsSemiMixedTypes="0" containsString="0" containsNumber="1" containsInteger="1" minValue="2014" maxValue="2019" count="6">
        <n v="2014"/>
        <n v="2015"/>
        <n v="2016"/>
        <n v="2017"/>
        <n v="2018"/>
        <n v="2019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Weekday Name" numFmtId="0">
      <sharedItems count="7">
        <s v="Thursday"/>
        <s v="Friday"/>
        <s v="Saturday"/>
        <s v="Sunday"/>
        <s v="Monday"/>
        <s v="Tuesday"/>
        <s v="Wednesday"/>
      </sharedItems>
    </cacheField>
    <cacheField name="Total Drug Sales" numFmtId="0">
      <sharedItems containsSemiMixedTypes="0" containsString="0" containsNumber="1" minValue="0" maxValue="198.95"/>
    </cacheField>
    <cacheField name="Total Revenue" numFmtId="44">
      <sharedItems containsSemiMixedTypes="0" containsString="0" containsNumber="1" minValue="0" maxValue="29842.5"/>
    </cacheField>
    <cacheField name="Profit" numFmtId="44">
      <sharedItems containsSemiMixedTypes="0" containsString="0" containsNumber="1" minValue="0" maxValue="8952.75"/>
    </cacheField>
    <cacheField name="Market Segment" numFmtId="0">
      <sharedItems count="3">
        <s v="Low Value"/>
        <s v="Medium Value"/>
        <s v="High Val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6">
  <r>
    <d v="2014-01-02T00:00:00"/>
    <n v="0"/>
    <n v="3.67"/>
    <n v="3.4"/>
    <n v="32.4"/>
    <n v="7"/>
    <n v="0"/>
    <n v="0"/>
    <n v="2"/>
    <x v="0"/>
    <x v="0"/>
    <x v="0"/>
    <n v="48.47"/>
    <n v="7270.5"/>
    <n v="2181.15"/>
    <x v="0"/>
  </r>
  <r>
    <d v="2014-01-03T00:00:00"/>
    <n v="8"/>
    <n v="4"/>
    <n v="4.4000000000000004"/>
    <n v="50.6"/>
    <n v="16"/>
    <n v="0"/>
    <n v="20"/>
    <n v="4"/>
    <x v="0"/>
    <x v="0"/>
    <x v="1"/>
    <n v="107"/>
    <n v="16050"/>
    <n v="4815"/>
    <x v="1"/>
  </r>
  <r>
    <d v="2014-01-04T00:00:00"/>
    <n v="2"/>
    <n v="1"/>
    <n v="6.5"/>
    <n v="61.85"/>
    <n v="10"/>
    <n v="0"/>
    <n v="9"/>
    <n v="1"/>
    <x v="0"/>
    <x v="0"/>
    <x v="2"/>
    <n v="91.35"/>
    <n v="13702.5"/>
    <n v="4110.75"/>
    <x v="1"/>
  </r>
  <r>
    <d v="2014-01-05T00:00:00"/>
    <n v="4"/>
    <n v="3"/>
    <n v="7"/>
    <n v="41.1"/>
    <n v="8"/>
    <n v="0"/>
    <n v="3"/>
    <n v="0"/>
    <x v="0"/>
    <x v="0"/>
    <x v="3"/>
    <n v="66.099999999999994"/>
    <n v="9915"/>
    <n v="2974.5"/>
    <x v="0"/>
  </r>
  <r>
    <d v="2014-01-06T00:00:00"/>
    <n v="5"/>
    <n v="1"/>
    <n v="4.5"/>
    <n v="21.7"/>
    <n v="16"/>
    <n v="2"/>
    <n v="6"/>
    <n v="2"/>
    <x v="0"/>
    <x v="0"/>
    <x v="4"/>
    <n v="58.2"/>
    <n v="8730"/>
    <n v="2619"/>
    <x v="0"/>
  </r>
  <r>
    <d v="2014-01-07T00:00:00"/>
    <n v="0"/>
    <n v="0"/>
    <n v="0"/>
    <n v="0"/>
    <n v="0"/>
    <n v="0"/>
    <n v="0"/>
    <n v="0"/>
    <x v="0"/>
    <x v="0"/>
    <x v="5"/>
    <n v="0"/>
    <n v="0"/>
    <n v="0"/>
    <x v="0"/>
  </r>
  <r>
    <d v="2014-01-08T00:00:00"/>
    <n v="5.33"/>
    <n v="3"/>
    <n v="10.5"/>
    <n v="26.4"/>
    <n v="19"/>
    <n v="1"/>
    <n v="10"/>
    <n v="0"/>
    <x v="0"/>
    <x v="0"/>
    <x v="6"/>
    <n v="75.22999999999999"/>
    <n v="11284.499999999998"/>
    <n v="3385.3499999999995"/>
    <x v="1"/>
  </r>
  <r>
    <d v="2014-01-09T00:00:00"/>
    <n v="7"/>
    <n v="1.68"/>
    <n v="8"/>
    <n v="25"/>
    <n v="16"/>
    <n v="0"/>
    <n v="3"/>
    <n v="2"/>
    <x v="0"/>
    <x v="0"/>
    <x v="0"/>
    <n v="62.68"/>
    <n v="9402"/>
    <n v="2820.6"/>
    <x v="0"/>
  </r>
  <r>
    <d v="2014-01-10T00:00:00"/>
    <n v="5"/>
    <n v="2"/>
    <n v="2"/>
    <n v="53.3"/>
    <n v="15"/>
    <n v="2"/>
    <n v="0"/>
    <n v="2"/>
    <x v="0"/>
    <x v="0"/>
    <x v="1"/>
    <n v="81.3"/>
    <n v="12195"/>
    <n v="3658.5"/>
    <x v="1"/>
  </r>
  <r>
    <d v="2014-01-11T00:00:00"/>
    <n v="5"/>
    <n v="4.34"/>
    <n v="10.4"/>
    <n v="52.3"/>
    <n v="14"/>
    <n v="0"/>
    <n v="1"/>
    <n v="0.2"/>
    <x v="0"/>
    <x v="0"/>
    <x v="2"/>
    <n v="87.24"/>
    <n v="13086"/>
    <n v="3925.7999999999997"/>
    <x v="1"/>
  </r>
  <r>
    <d v="2014-01-12T00:00:00"/>
    <n v="2"/>
    <n v="0.66"/>
    <n v="2.5"/>
    <n v="12"/>
    <n v="8"/>
    <n v="0"/>
    <n v="1"/>
    <n v="1"/>
    <x v="0"/>
    <x v="0"/>
    <x v="3"/>
    <n v="27.16"/>
    <n v="4074"/>
    <n v="1222.2"/>
    <x v="0"/>
  </r>
  <r>
    <d v="2014-01-13T00:00:00"/>
    <n v="7.34"/>
    <n v="7.66"/>
    <n v="6.2"/>
    <n v="52"/>
    <n v="9"/>
    <n v="0"/>
    <n v="7"/>
    <n v="1"/>
    <x v="0"/>
    <x v="0"/>
    <x v="4"/>
    <n v="90.2"/>
    <n v="13530"/>
    <n v="4059"/>
    <x v="1"/>
  </r>
  <r>
    <d v="2014-01-14T00:00:00"/>
    <n v="6"/>
    <n v="1.33"/>
    <n v="12.3"/>
    <n v="33.700000000000003"/>
    <n v="6"/>
    <n v="1"/>
    <n v="0"/>
    <n v="2"/>
    <x v="0"/>
    <x v="0"/>
    <x v="5"/>
    <n v="62.330000000000005"/>
    <n v="9349.5"/>
    <n v="2804.85"/>
    <x v="0"/>
  </r>
  <r>
    <d v="2014-01-15T00:00:00"/>
    <n v="4"/>
    <n v="2.34"/>
    <n v="5"/>
    <n v="26.7"/>
    <n v="12"/>
    <n v="2"/>
    <n v="3"/>
    <n v="3"/>
    <x v="0"/>
    <x v="0"/>
    <x v="6"/>
    <n v="58.04"/>
    <n v="8706"/>
    <n v="2611.7999999999997"/>
    <x v="0"/>
  </r>
  <r>
    <d v="2014-01-16T00:00:00"/>
    <n v="6"/>
    <n v="2"/>
    <n v="4.3"/>
    <n v="28.3"/>
    <n v="19"/>
    <n v="1"/>
    <n v="5"/>
    <n v="0"/>
    <x v="0"/>
    <x v="0"/>
    <x v="0"/>
    <n v="65.599999999999994"/>
    <n v="9840"/>
    <n v="2952"/>
    <x v="0"/>
  </r>
  <r>
    <d v="2014-01-17T00:00:00"/>
    <n v="2"/>
    <n v="3.68"/>
    <n v="8.3000000000000007"/>
    <n v="20.399999999999999"/>
    <n v="15"/>
    <n v="0"/>
    <n v="6"/>
    <n v="3"/>
    <x v="0"/>
    <x v="0"/>
    <x v="1"/>
    <n v="58.379999999999995"/>
    <n v="8757"/>
    <n v="2627.1"/>
    <x v="0"/>
  </r>
  <r>
    <d v="2014-01-18T00:00:00"/>
    <n v="1"/>
    <n v="5.33"/>
    <n v="5.8"/>
    <n v="43.2"/>
    <n v="15"/>
    <n v="4"/>
    <n v="7"/>
    <n v="2"/>
    <x v="0"/>
    <x v="0"/>
    <x v="2"/>
    <n v="83.33"/>
    <n v="12499.5"/>
    <n v="3749.85"/>
    <x v="1"/>
  </r>
  <r>
    <d v="2014-01-19T00:00:00"/>
    <n v="4.33"/>
    <n v="4"/>
    <n v="4"/>
    <n v="14.1"/>
    <n v="4"/>
    <n v="0"/>
    <n v="1"/>
    <n v="1"/>
    <x v="0"/>
    <x v="0"/>
    <x v="3"/>
    <n v="32.43"/>
    <n v="4864.5"/>
    <n v="1459.35"/>
    <x v="0"/>
  </r>
  <r>
    <d v="2014-01-20T00:00:00"/>
    <n v="6"/>
    <n v="3.34"/>
    <n v="3.3"/>
    <n v="11.9"/>
    <n v="18"/>
    <n v="2"/>
    <n v="12"/>
    <n v="3"/>
    <x v="0"/>
    <x v="0"/>
    <x v="4"/>
    <n v="59.54"/>
    <n v="8931"/>
    <n v="2679.2999999999997"/>
    <x v="0"/>
  </r>
  <r>
    <d v="2014-01-21T00:00:00"/>
    <n v="2"/>
    <n v="3.34"/>
    <n v="4"/>
    <n v="42"/>
    <n v="15"/>
    <n v="2"/>
    <n v="0"/>
    <n v="1"/>
    <x v="0"/>
    <x v="0"/>
    <x v="5"/>
    <n v="69.34"/>
    <n v="10401"/>
    <n v="3120.2999999999997"/>
    <x v="1"/>
  </r>
  <r>
    <d v="2014-01-22T00:00:00"/>
    <n v="7"/>
    <n v="3"/>
    <n v="7"/>
    <n v="18.100000000000001"/>
    <n v="10"/>
    <n v="0"/>
    <n v="5"/>
    <n v="2"/>
    <x v="0"/>
    <x v="0"/>
    <x v="6"/>
    <n v="52.1"/>
    <n v="7815"/>
    <n v="2344.5"/>
    <x v="0"/>
  </r>
  <r>
    <d v="2014-01-23T00:00:00"/>
    <n v="4"/>
    <n v="4.67"/>
    <n v="5.2"/>
    <n v="26.2"/>
    <n v="2"/>
    <n v="3"/>
    <n v="1"/>
    <n v="3"/>
    <x v="0"/>
    <x v="0"/>
    <x v="0"/>
    <n v="49.07"/>
    <n v="7360.5"/>
    <n v="2208.15"/>
    <x v="0"/>
  </r>
  <r>
    <d v="2014-01-24T00:00:00"/>
    <n v="4.67"/>
    <n v="7.34"/>
    <n v="7"/>
    <n v="19.600000000000001"/>
    <n v="13"/>
    <n v="1"/>
    <n v="0"/>
    <n v="0"/>
    <x v="0"/>
    <x v="0"/>
    <x v="1"/>
    <n v="52.61"/>
    <n v="7891.5"/>
    <n v="2367.4499999999998"/>
    <x v="0"/>
  </r>
  <r>
    <d v="2014-01-25T00:00:00"/>
    <n v="6"/>
    <n v="9"/>
    <n v="5"/>
    <n v="37.799999999999997"/>
    <n v="18"/>
    <n v="0"/>
    <n v="5"/>
    <n v="1"/>
    <x v="0"/>
    <x v="0"/>
    <x v="2"/>
    <n v="81.8"/>
    <n v="12270"/>
    <n v="3681"/>
    <x v="1"/>
  </r>
  <r>
    <d v="2014-01-26T00:00:00"/>
    <n v="4.33"/>
    <n v="1.68"/>
    <n v="0"/>
    <n v="24"/>
    <n v="4"/>
    <n v="0"/>
    <n v="0"/>
    <n v="0"/>
    <x v="0"/>
    <x v="0"/>
    <x v="3"/>
    <n v="34.01"/>
    <n v="5101.5"/>
    <n v="1530.45"/>
    <x v="0"/>
  </r>
  <r>
    <d v="2014-01-27T00:00:00"/>
    <n v="4.34"/>
    <n v="4.67"/>
    <n v="1.2"/>
    <n v="23.6"/>
    <n v="17"/>
    <n v="2"/>
    <n v="1"/>
    <n v="3"/>
    <x v="0"/>
    <x v="0"/>
    <x v="4"/>
    <n v="56.81"/>
    <n v="8521.5"/>
    <n v="2556.4499999999998"/>
    <x v="0"/>
  </r>
  <r>
    <d v="2014-01-28T00:00:00"/>
    <n v="6"/>
    <n v="3.34"/>
    <n v="2.8"/>
    <n v="13.38"/>
    <n v="22"/>
    <n v="5"/>
    <n v="1"/>
    <n v="5"/>
    <x v="0"/>
    <x v="0"/>
    <x v="5"/>
    <n v="58.52"/>
    <n v="8778"/>
    <n v="2633.4"/>
    <x v="0"/>
  </r>
  <r>
    <d v="2014-01-29T00:00:00"/>
    <n v="5.33"/>
    <n v="4"/>
    <n v="2"/>
    <n v="14"/>
    <n v="10"/>
    <n v="1"/>
    <n v="1"/>
    <n v="2"/>
    <x v="0"/>
    <x v="0"/>
    <x v="6"/>
    <n v="39.33"/>
    <n v="5899.5"/>
    <n v="1769.85"/>
    <x v="0"/>
  </r>
  <r>
    <d v="2014-01-30T00:00:00"/>
    <n v="3.02"/>
    <n v="1.34"/>
    <n v="2.4"/>
    <n v="25.5"/>
    <n v="7"/>
    <n v="1"/>
    <n v="3"/>
    <n v="2"/>
    <x v="0"/>
    <x v="0"/>
    <x v="0"/>
    <n v="45.26"/>
    <n v="6789"/>
    <n v="2036.6999999999998"/>
    <x v="0"/>
  </r>
  <r>
    <d v="2014-01-31T00:00:00"/>
    <n v="1"/>
    <n v="2.68"/>
    <n v="7.1"/>
    <n v="26.9"/>
    <n v="9"/>
    <n v="0"/>
    <n v="1"/>
    <n v="0"/>
    <x v="0"/>
    <x v="0"/>
    <x v="1"/>
    <n v="47.68"/>
    <n v="7152"/>
    <n v="2145.6"/>
    <x v="0"/>
  </r>
  <r>
    <d v="2014-02-01T00:00:00"/>
    <n v="4.33"/>
    <n v="4.32"/>
    <n v="5"/>
    <n v="43"/>
    <n v="13"/>
    <n v="1"/>
    <n v="14"/>
    <n v="0"/>
    <x v="0"/>
    <x v="1"/>
    <x v="2"/>
    <n v="84.65"/>
    <n v="12697.5"/>
    <n v="3809.25"/>
    <x v="1"/>
  </r>
  <r>
    <d v="2014-02-02T00:00:00"/>
    <n v="7"/>
    <n v="3"/>
    <n v="0.2"/>
    <n v="13.5"/>
    <n v="6"/>
    <n v="2"/>
    <n v="8"/>
    <n v="0"/>
    <x v="0"/>
    <x v="1"/>
    <x v="3"/>
    <n v="39.700000000000003"/>
    <n v="5955"/>
    <n v="1786.5"/>
    <x v="0"/>
  </r>
  <r>
    <d v="2014-02-03T00:00:00"/>
    <n v="5"/>
    <n v="1"/>
    <n v="8.5"/>
    <n v="32.4"/>
    <n v="16"/>
    <n v="1"/>
    <n v="1"/>
    <n v="0"/>
    <x v="0"/>
    <x v="1"/>
    <x v="4"/>
    <n v="64.900000000000006"/>
    <n v="9735"/>
    <n v="2920.5"/>
    <x v="0"/>
  </r>
  <r>
    <d v="2014-02-04T00:00:00"/>
    <n v="1.33"/>
    <n v="3"/>
    <n v="7"/>
    <n v="30.6"/>
    <n v="8"/>
    <n v="1"/>
    <n v="17"/>
    <n v="2"/>
    <x v="0"/>
    <x v="1"/>
    <x v="5"/>
    <n v="69.930000000000007"/>
    <n v="10489.500000000002"/>
    <n v="3146.8500000000004"/>
    <x v="1"/>
  </r>
  <r>
    <d v="2014-02-05T00:00:00"/>
    <n v="3"/>
    <n v="4.0199999999999996"/>
    <n v="6.2"/>
    <n v="32.4"/>
    <n v="15"/>
    <n v="1"/>
    <n v="1"/>
    <n v="1"/>
    <x v="0"/>
    <x v="1"/>
    <x v="6"/>
    <n v="63.62"/>
    <n v="9543"/>
    <n v="2862.9"/>
    <x v="0"/>
  </r>
  <r>
    <d v="2014-02-06T00:00:00"/>
    <n v="3.33"/>
    <n v="6.68"/>
    <n v="3.5"/>
    <n v="41.4"/>
    <n v="17"/>
    <n v="2"/>
    <n v="5"/>
    <n v="2"/>
    <x v="0"/>
    <x v="1"/>
    <x v="0"/>
    <n v="80.91"/>
    <n v="12136.5"/>
    <n v="3640.95"/>
    <x v="1"/>
  </r>
  <r>
    <d v="2014-02-07T00:00:00"/>
    <n v="2.66"/>
    <n v="8.67"/>
    <n v="11.7"/>
    <n v="21.4"/>
    <n v="19"/>
    <n v="1"/>
    <n v="0"/>
    <n v="0"/>
    <x v="0"/>
    <x v="1"/>
    <x v="1"/>
    <n v="64.430000000000007"/>
    <n v="9664.5000000000018"/>
    <n v="2899.3500000000004"/>
    <x v="0"/>
  </r>
  <r>
    <d v="2014-02-08T00:00:00"/>
    <n v="3.33"/>
    <n v="3.35"/>
    <n v="14.4"/>
    <n v="37.1"/>
    <n v="13"/>
    <n v="1"/>
    <n v="1"/>
    <n v="1"/>
    <x v="0"/>
    <x v="1"/>
    <x v="2"/>
    <n v="74.180000000000007"/>
    <n v="11127.000000000002"/>
    <n v="3338.1000000000004"/>
    <x v="1"/>
  </r>
  <r>
    <d v="2014-02-09T00:00:00"/>
    <n v="4"/>
    <n v="3"/>
    <n v="2"/>
    <n v="31.5"/>
    <n v="10"/>
    <n v="0"/>
    <n v="6"/>
    <n v="0"/>
    <x v="0"/>
    <x v="1"/>
    <x v="3"/>
    <n v="56.5"/>
    <n v="8475"/>
    <n v="2542.5"/>
    <x v="0"/>
  </r>
  <r>
    <d v="2014-02-10T00:00:00"/>
    <n v="5"/>
    <n v="10.33"/>
    <n v="8.5"/>
    <n v="40.1"/>
    <n v="20"/>
    <n v="3"/>
    <n v="3"/>
    <n v="1"/>
    <x v="0"/>
    <x v="1"/>
    <x v="4"/>
    <n v="90.93"/>
    <n v="13639.500000000002"/>
    <n v="4091.8500000000004"/>
    <x v="1"/>
  </r>
  <r>
    <d v="2014-02-11T00:00:00"/>
    <n v="10"/>
    <n v="6.99"/>
    <n v="13.3"/>
    <n v="44.6"/>
    <n v="20"/>
    <n v="2"/>
    <n v="6"/>
    <n v="2.2000000000000002"/>
    <x v="0"/>
    <x v="1"/>
    <x v="5"/>
    <n v="105.09"/>
    <n v="15763.5"/>
    <n v="4729.05"/>
    <x v="1"/>
  </r>
  <r>
    <d v="2014-02-12T00:00:00"/>
    <n v="9"/>
    <n v="1.67"/>
    <n v="9.1"/>
    <n v="73.599999999999994"/>
    <n v="9"/>
    <n v="0"/>
    <n v="5"/>
    <n v="0"/>
    <x v="0"/>
    <x v="1"/>
    <x v="6"/>
    <n v="107.36999999999999"/>
    <n v="16105.499999999998"/>
    <n v="4831.6499999999996"/>
    <x v="1"/>
  </r>
  <r>
    <d v="2014-02-13T00:00:00"/>
    <n v="4.33"/>
    <n v="3.67"/>
    <n v="10"/>
    <n v="49.1"/>
    <n v="13"/>
    <n v="3"/>
    <n v="0"/>
    <n v="1"/>
    <x v="0"/>
    <x v="1"/>
    <x v="0"/>
    <n v="84.1"/>
    <n v="12615"/>
    <n v="3784.5"/>
    <x v="1"/>
  </r>
  <r>
    <d v="2014-02-14T00:00:00"/>
    <n v="4"/>
    <n v="4.01"/>
    <n v="3.2"/>
    <n v="42.3"/>
    <n v="13"/>
    <n v="4"/>
    <n v="0"/>
    <n v="6"/>
    <x v="0"/>
    <x v="1"/>
    <x v="1"/>
    <n v="76.509999999999991"/>
    <n v="11476.499999999998"/>
    <n v="3442.9499999999994"/>
    <x v="1"/>
  </r>
  <r>
    <d v="2014-02-15T00:00:00"/>
    <n v="1"/>
    <n v="2.34"/>
    <n v="2"/>
    <n v="37"/>
    <n v="9"/>
    <n v="0"/>
    <n v="1"/>
    <n v="5"/>
    <x v="0"/>
    <x v="1"/>
    <x v="2"/>
    <n v="57.34"/>
    <n v="8601"/>
    <n v="2580.2999999999997"/>
    <x v="0"/>
  </r>
  <r>
    <d v="2014-02-16T00:00:00"/>
    <n v="0"/>
    <n v="1.68"/>
    <n v="1.2"/>
    <n v="34"/>
    <n v="5"/>
    <n v="2"/>
    <n v="3"/>
    <n v="1"/>
    <x v="0"/>
    <x v="1"/>
    <x v="3"/>
    <n v="47.88"/>
    <n v="7182"/>
    <n v="2154.6"/>
    <x v="0"/>
  </r>
  <r>
    <d v="2014-02-17T00:00:00"/>
    <n v="7.34"/>
    <n v="4"/>
    <n v="12.7"/>
    <n v="27"/>
    <n v="13"/>
    <n v="1"/>
    <n v="7"/>
    <n v="0"/>
    <x v="0"/>
    <x v="1"/>
    <x v="4"/>
    <n v="72.039999999999992"/>
    <n v="10805.999999999998"/>
    <n v="3241.7999999999993"/>
    <x v="1"/>
  </r>
  <r>
    <d v="2014-02-18T00:00:00"/>
    <n v="7.34"/>
    <n v="7.36"/>
    <n v="6.1"/>
    <n v="45"/>
    <n v="14"/>
    <n v="0"/>
    <n v="13"/>
    <n v="5"/>
    <x v="0"/>
    <x v="1"/>
    <x v="5"/>
    <n v="97.8"/>
    <n v="14670"/>
    <n v="4401"/>
    <x v="1"/>
  </r>
  <r>
    <d v="2014-02-19T00:00:00"/>
    <n v="3.33"/>
    <n v="5.0199999999999996"/>
    <n v="5.5"/>
    <n v="66.8"/>
    <n v="17"/>
    <n v="1"/>
    <n v="6"/>
    <n v="1"/>
    <x v="0"/>
    <x v="1"/>
    <x v="6"/>
    <n v="105.64999999999999"/>
    <n v="15847.499999999998"/>
    <n v="4754.2499999999991"/>
    <x v="1"/>
  </r>
  <r>
    <d v="2014-02-20T00:00:00"/>
    <n v="7"/>
    <n v="7.02"/>
    <n v="3.2"/>
    <n v="21.5"/>
    <n v="16"/>
    <n v="3"/>
    <n v="8"/>
    <n v="1"/>
    <x v="0"/>
    <x v="1"/>
    <x v="0"/>
    <n v="66.72"/>
    <n v="10008"/>
    <n v="3002.4"/>
    <x v="1"/>
  </r>
  <r>
    <d v="2014-02-21T00:00:00"/>
    <n v="6"/>
    <n v="4.34"/>
    <n v="9"/>
    <n v="25.4"/>
    <n v="17"/>
    <n v="0"/>
    <n v="0"/>
    <n v="0"/>
    <x v="0"/>
    <x v="1"/>
    <x v="1"/>
    <n v="61.739999999999995"/>
    <n v="9261"/>
    <n v="2778.2999999999997"/>
    <x v="0"/>
  </r>
  <r>
    <d v="2014-02-22T00:00:00"/>
    <n v="7"/>
    <n v="3.17"/>
    <n v="5.7"/>
    <n v="26"/>
    <n v="12"/>
    <n v="0"/>
    <n v="1"/>
    <n v="0"/>
    <x v="0"/>
    <x v="1"/>
    <x v="2"/>
    <n v="54.870000000000005"/>
    <n v="8230.5"/>
    <n v="2469.15"/>
    <x v="0"/>
  </r>
  <r>
    <d v="2014-02-23T00:00:00"/>
    <n v="1"/>
    <n v="3.34"/>
    <n v="2"/>
    <n v="21"/>
    <n v="10"/>
    <n v="0"/>
    <n v="0"/>
    <n v="0"/>
    <x v="0"/>
    <x v="1"/>
    <x v="3"/>
    <n v="37.340000000000003"/>
    <n v="5601.0000000000009"/>
    <n v="1680.3000000000002"/>
    <x v="0"/>
  </r>
  <r>
    <d v="2014-02-24T00:00:00"/>
    <n v="7"/>
    <n v="4.68"/>
    <n v="5.5"/>
    <n v="26.5"/>
    <n v="4"/>
    <n v="0"/>
    <n v="0"/>
    <n v="3"/>
    <x v="0"/>
    <x v="1"/>
    <x v="4"/>
    <n v="50.68"/>
    <n v="7602"/>
    <n v="2280.6"/>
    <x v="0"/>
  </r>
  <r>
    <d v="2014-02-25T00:00:00"/>
    <n v="5"/>
    <n v="1.68"/>
    <n v="11.2"/>
    <n v="34.5"/>
    <n v="13"/>
    <n v="0"/>
    <n v="0"/>
    <n v="2"/>
    <x v="0"/>
    <x v="1"/>
    <x v="5"/>
    <n v="67.38"/>
    <n v="10107"/>
    <n v="3032.1"/>
    <x v="1"/>
  </r>
  <r>
    <d v="2014-02-26T00:00:00"/>
    <n v="5"/>
    <n v="4.01"/>
    <n v="1"/>
    <n v="34"/>
    <n v="5"/>
    <n v="0"/>
    <n v="12"/>
    <n v="1"/>
    <x v="0"/>
    <x v="1"/>
    <x v="6"/>
    <n v="62.01"/>
    <n v="9301.5"/>
    <n v="2790.45"/>
    <x v="0"/>
  </r>
  <r>
    <d v="2014-02-27T00:00:00"/>
    <n v="3"/>
    <n v="6.34"/>
    <n v="4"/>
    <n v="33.200000000000003"/>
    <n v="8"/>
    <n v="1"/>
    <n v="2"/>
    <n v="1"/>
    <x v="0"/>
    <x v="1"/>
    <x v="0"/>
    <n v="58.540000000000006"/>
    <n v="8781.0000000000018"/>
    <n v="2634.3000000000006"/>
    <x v="0"/>
  </r>
  <r>
    <d v="2014-02-28T00:00:00"/>
    <n v="7"/>
    <n v="7.36"/>
    <n v="5.3"/>
    <n v="37"/>
    <n v="12"/>
    <n v="1"/>
    <n v="2"/>
    <n v="0"/>
    <x v="0"/>
    <x v="1"/>
    <x v="1"/>
    <n v="71.66"/>
    <n v="10749"/>
    <n v="3224.7"/>
    <x v="1"/>
  </r>
  <r>
    <d v="2014-03-01T00:00:00"/>
    <n v="6.34"/>
    <n v="3.68"/>
    <n v="11.355"/>
    <n v="50.7"/>
    <n v="8"/>
    <n v="0"/>
    <n v="0"/>
    <n v="2.1"/>
    <x v="0"/>
    <x v="2"/>
    <x v="2"/>
    <n v="82.174999999999997"/>
    <n v="12326.25"/>
    <n v="3697.875"/>
    <x v="1"/>
  </r>
  <r>
    <d v="2014-03-02T00:00:00"/>
    <n v="3.34"/>
    <n v="1"/>
    <n v="2"/>
    <n v="6.6"/>
    <n v="2"/>
    <n v="0"/>
    <n v="0"/>
    <n v="1"/>
    <x v="0"/>
    <x v="2"/>
    <x v="3"/>
    <n v="15.94"/>
    <n v="2391"/>
    <n v="717.3"/>
    <x v="0"/>
  </r>
  <r>
    <d v="2014-03-03T00:00:00"/>
    <n v="4"/>
    <n v="3.68"/>
    <n v="1.6"/>
    <n v="22.1"/>
    <n v="1"/>
    <n v="2"/>
    <n v="0"/>
    <n v="2.2000000000000002"/>
    <x v="0"/>
    <x v="2"/>
    <x v="4"/>
    <n v="36.580000000000005"/>
    <n v="5487.0000000000009"/>
    <n v="1646.1000000000001"/>
    <x v="0"/>
  </r>
  <r>
    <d v="2014-03-04T00:00:00"/>
    <n v="5.34"/>
    <n v="7.02"/>
    <n v="7.2"/>
    <n v="47.274999999999999"/>
    <n v="9"/>
    <n v="0"/>
    <n v="5"/>
    <n v="4"/>
    <x v="0"/>
    <x v="2"/>
    <x v="5"/>
    <n v="84.834999999999994"/>
    <n v="12725.249999999998"/>
    <n v="3817.5749999999994"/>
    <x v="1"/>
  </r>
  <r>
    <d v="2014-03-05T00:00:00"/>
    <n v="3.34"/>
    <n v="1"/>
    <n v="3"/>
    <n v="25"/>
    <n v="4"/>
    <n v="0"/>
    <n v="1"/>
    <n v="0"/>
    <x v="0"/>
    <x v="2"/>
    <x v="6"/>
    <n v="37.340000000000003"/>
    <n v="5601.0000000000009"/>
    <n v="1680.3000000000002"/>
    <x v="0"/>
  </r>
  <r>
    <d v="2014-03-06T00:00:00"/>
    <n v="3"/>
    <n v="2"/>
    <n v="5.5"/>
    <n v="44.1"/>
    <n v="17"/>
    <n v="1"/>
    <n v="5"/>
    <n v="1"/>
    <x v="0"/>
    <x v="2"/>
    <x v="0"/>
    <n v="78.599999999999994"/>
    <n v="11790"/>
    <n v="3537"/>
    <x v="1"/>
  </r>
  <r>
    <d v="2014-03-07T00:00:00"/>
    <n v="4"/>
    <n v="4.34"/>
    <n v="9.5"/>
    <n v="25"/>
    <n v="3"/>
    <n v="1"/>
    <n v="0"/>
    <n v="2"/>
    <x v="0"/>
    <x v="2"/>
    <x v="1"/>
    <n v="48.84"/>
    <n v="7326.0000000000009"/>
    <n v="2197.8000000000002"/>
    <x v="0"/>
  </r>
  <r>
    <d v="2014-03-08T00:00:00"/>
    <n v="4.34"/>
    <n v="3.07"/>
    <n v="1"/>
    <n v="27.6"/>
    <n v="11"/>
    <n v="0"/>
    <n v="0"/>
    <n v="0"/>
    <x v="0"/>
    <x v="2"/>
    <x v="2"/>
    <n v="47.010000000000005"/>
    <n v="7051.5000000000009"/>
    <n v="2115.4500000000003"/>
    <x v="0"/>
  </r>
  <r>
    <d v="2014-03-09T00:00:00"/>
    <n v="1"/>
    <n v="0"/>
    <n v="4"/>
    <n v="11.3"/>
    <n v="3"/>
    <n v="0"/>
    <n v="5"/>
    <n v="0"/>
    <x v="0"/>
    <x v="2"/>
    <x v="3"/>
    <n v="24.3"/>
    <n v="3645"/>
    <n v="1093.5"/>
    <x v="0"/>
  </r>
  <r>
    <d v="2014-03-10T00:00:00"/>
    <n v="6.68"/>
    <n v="5.35"/>
    <n v="3.8"/>
    <n v="47"/>
    <n v="11"/>
    <n v="0"/>
    <n v="0"/>
    <n v="2"/>
    <x v="0"/>
    <x v="2"/>
    <x v="4"/>
    <n v="75.83"/>
    <n v="11374.5"/>
    <n v="3412.35"/>
    <x v="1"/>
  </r>
  <r>
    <d v="2014-03-11T00:00:00"/>
    <n v="6"/>
    <n v="5.7"/>
    <n v="7"/>
    <n v="30.4"/>
    <n v="12"/>
    <n v="1"/>
    <n v="1"/>
    <n v="5"/>
    <x v="0"/>
    <x v="2"/>
    <x v="5"/>
    <n v="68.099999999999994"/>
    <n v="10215"/>
    <n v="3064.5"/>
    <x v="1"/>
  </r>
  <r>
    <d v="2014-03-12T00:00:00"/>
    <n v="6.34"/>
    <n v="2.68"/>
    <n v="6.5"/>
    <n v="19.600000000000001"/>
    <n v="22"/>
    <n v="3"/>
    <n v="2"/>
    <n v="2"/>
    <x v="0"/>
    <x v="2"/>
    <x v="6"/>
    <n v="64.12"/>
    <n v="9618"/>
    <n v="2885.4"/>
    <x v="0"/>
  </r>
  <r>
    <d v="2014-03-13T00:00:00"/>
    <n v="2.31"/>
    <n v="4.3600000000000003"/>
    <n v="5.3"/>
    <n v="15.5"/>
    <n v="10"/>
    <n v="0"/>
    <n v="26"/>
    <n v="2"/>
    <x v="0"/>
    <x v="2"/>
    <x v="0"/>
    <n v="65.47"/>
    <n v="9820.5"/>
    <n v="2946.15"/>
    <x v="0"/>
  </r>
  <r>
    <d v="2014-03-14T00:00:00"/>
    <n v="4.34"/>
    <n v="1.68"/>
    <n v="1.2"/>
    <n v="16"/>
    <n v="11"/>
    <n v="0"/>
    <n v="1"/>
    <n v="2"/>
    <x v="0"/>
    <x v="2"/>
    <x v="1"/>
    <n v="37.22"/>
    <n v="5583"/>
    <n v="1674.8999999999999"/>
    <x v="0"/>
  </r>
  <r>
    <d v="2014-03-15T00:00:00"/>
    <n v="4"/>
    <n v="2"/>
    <n v="11"/>
    <n v="23.3"/>
    <n v="18"/>
    <n v="1"/>
    <n v="6"/>
    <n v="2"/>
    <x v="0"/>
    <x v="2"/>
    <x v="2"/>
    <n v="67.3"/>
    <n v="10095"/>
    <n v="3028.5"/>
    <x v="1"/>
  </r>
  <r>
    <d v="2014-03-16T00:00:00"/>
    <n v="2.68"/>
    <n v="2"/>
    <n v="1.4"/>
    <n v="13"/>
    <n v="6"/>
    <n v="0"/>
    <n v="0"/>
    <n v="4"/>
    <x v="0"/>
    <x v="2"/>
    <x v="3"/>
    <n v="29.08"/>
    <n v="4362"/>
    <n v="1308.5999999999999"/>
    <x v="0"/>
  </r>
  <r>
    <d v="2014-03-17T00:00:00"/>
    <n v="8.68"/>
    <n v="3.34"/>
    <n v="7"/>
    <n v="37"/>
    <n v="6"/>
    <n v="1"/>
    <n v="0"/>
    <n v="1"/>
    <x v="0"/>
    <x v="2"/>
    <x v="4"/>
    <n v="64.02"/>
    <n v="9603"/>
    <n v="2880.9"/>
    <x v="0"/>
  </r>
  <r>
    <d v="2014-03-18T00:00:00"/>
    <n v="8"/>
    <n v="4"/>
    <n v="5"/>
    <n v="20.100000000000001"/>
    <n v="9"/>
    <n v="0"/>
    <n v="0"/>
    <n v="4"/>
    <x v="0"/>
    <x v="2"/>
    <x v="5"/>
    <n v="50.1"/>
    <n v="7515"/>
    <n v="2254.5"/>
    <x v="0"/>
  </r>
  <r>
    <d v="2014-03-19T00:00:00"/>
    <n v="4"/>
    <n v="3.02"/>
    <n v="4"/>
    <n v="21.8"/>
    <n v="2"/>
    <n v="0"/>
    <n v="0"/>
    <n v="2"/>
    <x v="0"/>
    <x v="2"/>
    <x v="6"/>
    <n v="36.82"/>
    <n v="5523"/>
    <n v="1656.8999999999999"/>
    <x v="0"/>
  </r>
  <r>
    <d v="2014-03-20T00:00:00"/>
    <n v="3"/>
    <n v="5.34"/>
    <n v="1.6"/>
    <n v="38.200000000000003"/>
    <n v="5"/>
    <n v="0"/>
    <n v="7"/>
    <n v="4.2"/>
    <x v="0"/>
    <x v="2"/>
    <x v="0"/>
    <n v="64.34"/>
    <n v="9651"/>
    <n v="2895.2999999999997"/>
    <x v="0"/>
  </r>
  <r>
    <d v="2014-03-21T00:00:00"/>
    <n v="6"/>
    <n v="3.68"/>
    <n v="4.5"/>
    <n v="40"/>
    <n v="4"/>
    <n v="0"/>
    <n v="2"/>
    <n v="1"/>
    <x v="0"/>
    <x v="2"/>
    <x v="1"/>
    <n v="61.18"/>
    <n v="9177"/>
    <n v="2753.1"/>
    <x v="0"/>
  </r>
  <r>
    <d v="2014-03-22T00:00:00"/>
    <n v="3.34"/>
    <n v="2.34"/>
    <n v="0"/>
    <n v="26.3"/>
    <n v="10"/>
    <n v="2"/>
    <n v="18"/>
    <n v="8.4"/>
    <x v="0"/>
    <x v="2"/>
    <x v="2"/>
    <n v="70.38000000000001"/>
    <n v="10557.000000000002"/>
    <n v="3167.1000000000004"/>
    <x v="1"/>
  </r>
  <r>
    <d v="2014-03-23T00:00:00"/>
    <n v="6.34"/>
    <n v="2"/>
    <n v="4"/>
    <n v="19.399999999999999"/>
    <n v="0"/>
    <n v="1"/>
    <n v="0"/>
    <n v="3"/>
    <x v="0"/>
    <x v="2"/>
    <x v="3"/>
    <n v="35.739999999999995"/>
    <n v="5360.9999999999991"/>
    <n v="1608.2999999999997"/>
    <x v="0"/>
  </r>
  <r>
    <d v="2014-03-24T00:00:00"/>
    <n v="5.68"/>
    <n v="1"/>
    <n v="4"/>
    <n v="23.6"/>
    <n v="7"/>
    <n v="0"/>
    <n v="6"/>
    <n v="3.5"/>
    <x v="0"/>
    <x v="2"/>
    <x v="4"/>
    <n v="50.78"/>
    <n v="7617"/>
    <n v="2285.1"/>
    <x v="0"/>
  </r>
  <r>
    <d v="2014-03-25T00:00:00"/>
    <n v="4"/>
    <n v="1.34"/>
    <n v="9"/>
    <n v="38.6"/>
    <n v="7"/>
    <n v="0"/>
    <n v="1"/>
    <n v="1"/>
    <x v="0"/>
    <x v="2"/>
    <x v="5"/>
    <n v="61.94"/>
    <n v="9291"/>
    <n v="2787.2999999999997"/>
    <x v="0"/>
  </r>
  <r>
    <d v="2014-03-26T00:00:00"/>
    <n v="2.34"/>
    <n v="3.99"/>
    <n v="9"/>
    <n v="6.7"/>
    <n v="7"/>
    <n v="3"/>
    <n v="3"/>
    <n v="0"/>
    <x v="0"/>
    <x v="2"/>
    <x v="6"/>
    <n v="35.03"/>
    <n v="5254.5"/>
    <n v="1576.35"/>
    <x v="0"/>
  </r>
  <r>
    <d v="2014-03-27T00:00:00"/>
    <n v="4"/>
    <n v="0.33"/>
    <n v="2"/>
    <n v="20.7"/>
    <n v="6"/>
    <n v="1"/>
    <n v="1"/>
    <n v="5"/>
    <x v="0"/>
    <x v="2"/>
    <x v="0"/>
    <n v="40.03"/>
    <n v="6004.5"/>
    <n v="1801.35"/>
    <x v="0"/>
  </r>
  <r>
    <d v="2014-03-28T00:00:00"/>
    <n v="2.67"/>
    <n v="2"/>
    <n v="8"/>
    <n v="11"/>
    <n v="3"/>
    <n v="0"/>
    <n v="9"/>
    <n v="5"/>
    <x v="0"/>
    <x v="2"/>
    <x v="1"/>
    <n v="40.67"/>
    <n v="6100.5"/>
    <n v="1830.1499999999999"/>
    <x v="0"/>
  </r>
  <r>
    <d v="2014-03-29T00:00:00"/>
    <n v="4"/>
    <n v="6.33"/>
    <n v="4.2"/>
    <n v="24"/>
    <n v="8"/>
    <n v="2"/>
    <n v="9"/>
    <n v="3"/>
    <x v="0"/>
    <x v="2"/>
    <x v="2"/>
    <n v="60.53"/>
    <n v="9079.5"/>
    <n v="2723.85"/>
    <x v="0"/>
  </r>
  <r>
    <d v="2014-03-30T00:00:00"/>
    <n v="3"/>
    <n v="2.34"/>
    <n v="0"/>
    <n v="12"/>
    <n v="4"/>
    <n v="0"/>
    <n v="0"/>
    <n v="7"/>
    <x v="0"/>
    <x v="2"/>
    <x v="3"/>
    <n v="28.34"/>
    <n v="4251"/>
    <n v="1275.3"/>
    <x v="0"/>
  </r>
  <r>
    <d v="2014-03-31T00:00:00"/>
    <n v="5.34"/>
    <n v="2.34"/>
    <n v="4"/>
    <n v="15.4"/>
    <n v="6"/>
    <n v="1"/>
    <n v="4"/>
    <n v="6"/>
    <x v="0"/>
    <x v="2"/>
    <x v="4"/>
    <n v="44.08"/>
    <n v="6612"/>
    <n v="1983.6"/>
    <x v="0"/>
  </r>
  <r>
    <d v="2014-04-01T00:00:00"/>
    <n v="4.34"/>
    <n v="1.34"/>
    <n v="6.5"/>
    <n v="27.5"/>
    <n v="5"/>
    <n v="3"/>
    <n v="3"/>
    <n v="1"/>
    <x v="0"/>
    <x v="3"/>
    <x v="5"/>
    <n v="51.68"/>
    <n v="7752"/>
    <n v="2325.6"/>
    <x v="0"/>
  </r>
  <r>
    <d v="2014-04-02T00:00:00"/>
    <n v="2"/>
    <n v="4.68"/>
    <n v="8.9"/>
    <n v="23"/>
    <n v="1"/>
    <n v="0"/>
    <n v="7"/>
    <n v="3"/>
    <x v="0"/>
    <x v="3"/>
    <x v="6"/>
    <n v="49.58"/>
    <n v="7437"/>
    <n v="2231.1"/>
    <x v="0"/>
  </r>
  <r>
    <d v="2014-04-03T00:00:00"/>
    <n v="1"/>
    <n v="1.34"/>
    <n v="3"/>
    <n v="19.2"/>
    <n v="4"/>
    <n v="0"/>
    <n v="0"/>
    <n v="4"/>
    <x v="0"/>
    <x v="3"/>
    <x v="0"/>
    <n v="32.54"/>
    <n v="4881"/>
    <n v="1464.3"/>
    <x v="0"/>
  </r>
  <r>
    <d v="2014-04-04T00:00:00"/>
    <n v="3"/>
    <n v="3.67"/>
    <n v="3"/>
    <n v="24"/>
    <n v="9"/>
    <n v="3"/>
    <n v="8"/>
    <n v="2"/>
    <x v="0"/>
    <x v="3"/>
    <x v="1"/>
    <n v="55.67"/>
    <n v="8350.5"/>
    <n v="2505.15"/>
    <x v="0"/>
  </r>
  <r>
    <d v="2014-04-05T00:00:00"/>
    <n v="2"/>
    <n v="7.68"/>
    <n v="10"/>
    <n v="25.6"/>
    <n v="5"/>
    <n v="0"/>
    <n v="5"/>
    <n v="3"/>
    <x v="0"/>
    <x v="3"/>
    <x v="2"/>
    <n v="58.28"/>
    <n v="8742"/>
    <n v="2622.6"/>
    <x v="0"/>
  </r>
  <r>
    <d v="2014-04-06T00:00:00"/>
    <n v="2"/>
    <n v="1"/>
    <n v="1"/>
    <n v="19"/>
    <n v="1"/>
    <n v="0"/>
    <n v="0"/>
    <n v="1"/>
    <x v="0"/>
    <x v="3"/>
    <x v="3"/>
    <n v="25"/>
    <n v="3750"/>
    <n v="1125"/>
    <x v="0"/>
  </r>
  <r>
    <d v="2014-04-07T00:00:00"/>
    <n v="6.34"/>
    <n v="6"/>
    <n v="6.5"/>
    <n v="31.5"/>
    <n v="4"/>
    <n v="0"/>
    <n v="0"/>
    <n v="1"/>
    <x v="0"/>
    <x v="3"/>
    <x v="4"/>
    <n v="55.34"/>
    <n v="8301"/>
    <n v="2490.2999999999997"/>
    <x v="0"/>
  </r>
  <r>
    <d v="2014-04-08T00:00:00"/>
    <n v="4.34"/>
    <n v="2.34"/>
    <n v="1.7"/>
    <n v="19"/>
    <n v="6"/>
    <n v="1"/>
    <n v="0"/>
    <n v="4.7"/>
    <x v="0"/>
    <x v="3"/>
    <x v="5"/>
    <n v="39.08"/>
    <n v="5862"/>
    <n v="1758.6"/>
    <x v="0"/>
  </r>
  <r>
    <d v="2014-04-09T00:00:00"/>
    <n v="6"/>
    <n v="1.02"/>
    <n v="1"/>
    <n v="18"/>
    <n v="2"/>
    <n v="1"/>
    <n v="2"/>
    <n v="2.6"/>
    <x v="0"/>
    <x v="3"/>
    <x v="6"/>
    <n v="33.619999999999997"/>
    <n v="5043"/>
    <n v="1512.8999999999999"/>
    <x v="0"/>
  </r>
  <r>
    <d v="2014-04-10T00:00:00"/>
    <n v="3.33"/>
    <n v="1.68"/>
    <n v="1"/>
    <n v="18"/>
    <n v="10"/>
    <n v="0"/>
    <n v="4"/>
    <n v="4"/>
    <x v="0"/>
    <x v="3"/>
    <x v="0"/>
    <n v="42.01"/>
    <n v="6301.5"/>
    <n v="1890.4499999999998"/>
    <x v="0"/>
  </r>
  <r>
    <d v="2014-04-11T00:00:00"/>
    <n v="6"/>
    <n v="4"/>
    <n v="3"/>
    <n v="25"/>
    <n v="2"/>
    <n v="2"/>
    <n v="0"/>
    <n v="2"/>
    <x v="0"/>
    <x v="3"/>
    <x v="1"/>
    <n v="44"/>
    <n v="6600"/>
    <n v="1980"/>
    <x v="0"/>
  </r>
  <r>
    <d v="2014-04-12T00:00:00"/>
    <n v="7.02"/>
    <n v="3.34"/>
    <n v="6"/>
    <n v="23.5"/>
    <n v="19"/>
    <n v="0"/>
    <n v="11"/>
    <n v="4"/>
    <x v="0"/>
    <x v="3"/>
    <x v="2"/>
    <n v="73.86"/>
    <n v="11079"/>
    <n v="3323.7"/>
    <x v="1"/>
  </r>
  <r>
    <d v="2014-04-13T00:00:00"/>
    <n v="3"/>
    <n v="2"/>
    <n v="2"/>
    <n v="6"/>
    <n v="3"/>
    <n v="0"/>
    <n v="5"/>
    <n v="2"/>
    <x v="0"/>
    <x v="3"/>
    <x v="3"/>
    <n v="23"/>
    <n v="3450"/>
    <n v="1035"/>
    <x v="0"/>
  </r>
  <r>
    <d v="2014-04-14T00:00:00"/>
    <n v="1.34"/>
    <n v="4.68"/>
    <n v="5.35"/>
    <n v="28.28"/>
    <n v="10"/>
    <n v="0"/>
    <n v="5"/>
    <n v="5"/>
    <x v="0"/>
    <x v="3"/>
    <x v="4"/>
    <n v="59.65"/>
    <n v="8947.5"/>
    <n v="2684.25"/>
    <x v="0"/>
  </r>
  <r>
    <d v="2014-04-15T00:00:00"/>
    <n v="4.34"/>
    <n v="3"/>
    <n v="6.4"/>
    <n v="18.7"/>
    <n v="12"/>
    <n v="0"/>
    <n v="10"/>
    <n v="1"/>
    <x v="0"/>
    <x v="3"/>
    <x v="5"/>
    <n v="55.44"/>
    <n v="8316"/>
    <n v="2494.7999999999997"/>
    <x v="0"/>
  </r>
  <r>
    <d v="2014-04-16T00:00:00"/>
    <n v="2"/>
    <n v="1.01"/>
    <n v="4.2"/>
    <n v="25.62"/>
    <n v="1"/>
    <n v="0"/>
    <n v="6"/>
    <n v="4"/>
    <x v="0"/>
    <x v="3"/>
    <x v="6"/>
    <n v="43.83"/>
    <n v="6574.5"/>
    <n v="1972.35"/>
    <x v="0"/>
  </r>
  <r>
    <d v="2014-04-17T00:00:00"/>
    <n v="5.34"/>
    <n v="0.34"/>
    <n v="7.2"/>
    <n v="16"/>
    <n v="19"/>
    <n v="0"/>
    <n v="0"/>
    <n v="0"/>
    <x v="0"/>
    <x v="3"/>
    <x v="0"/>
    <n v="47.879999999999995"/>
    <n v="7181.9999999999991"/>
    <n v="2154.5999999999995"/>
    <x v="0"/>
  </r>
  <r>
    <d v="2014-04-18T00:00:00"/>
    <n v="7"/>
    <n v="7"/>
    <n v="8"/>
    <n v="23.3"/>
    <n v="10"/>
    <n v="1"/>
    <n v="0"/>
    <n v="5"/>
    <x v="0"/>
    <x v="3"/>
    <x v="1"/>
    <n v="61.3"/>
    <n v="9195"/>
    <n v="2758.5"/>
    <x v="0"/>
  </r>
  <r>
    <d v="2014-04-19T00:00:00"/>
    <n v="7.34"/>
    <n v="3.35"/>
    <n v="4"/>
    <n v="22.3"/>
    <n v="7"/>
    <n v="0"/>
    <n v="3"/>
    <n v="5"/>
    <x v="0"/>
    <x v="3"/>
    <x v="2"/>
    <n v="51.99"/>
    <n v="7798.5"/>
    <n v="2339.5499999999997"/>
    <x v="0"/>
  </r>
  <r>
    <d v="2014-04-20T00:00:00"/>
    <n v="0"/>
    <n v="0"/>
    <n v="0"/>
    <n v="0"/>
    <n v="0"/>
    <n v="0"/>
    <n v="0"/>
    <n v="0"/>
    <x v="0"/>
    <x v="3"/>
    <x v="3"/>
    <n v="0"/>
    <n v="0"/>
    <n v="0"/>
    <x v="0"/>
  </r>
  <r>
    <d v="2014-04-21T00:00:00"/>
    <n v="1.34"/>
    <n v="1.68"/>
    <n v="2.1"/>
    <n v="13.5"/>
    <n v="8"/>
    <n v="0"/>
    <n v="0"/>
    <n v="1"/>
    <x v="0"/>
    <x v="3"/>
    <x v="4"/>
    <n v="27.62"/>
    <n v="4143"/>
    <n v="1242.8999999999999"/>
    <x v="0"/>
  </r>
  <r>
    <d v="2014-04-22T00:00:00"/>
    <n v="5.34"/>
    <n v="7.165"/>
    <n v="3.3"/>
    <n v="32"/>
    <n v="8"/>
    <n v="1"/>
    <n v="0"/>
    <n v="1"/>
    <x v="0"/>
    <x v="3"/>
    <x v="5"/>
    <n v="57.805"/>
    <n v="8670.75"/>
    <n v="2601.2249999999999"/>
    <x v="0"/>
  </r>
  <r>
    <d v="2014-04-23T00:00:00"/>
    <n v="6.34"/>
    <n v="2.34"/>
    <n v="3"/>
    <n v="24.9"/>
    <n v="8"/>
    <n v="1"/>
    <n v="2"/>
    <n v="1"/>
    <x v="0"/>
    <x v="3"/>
    <x v="6"/>
    <n v="48.58"/>
    <n v="7287"/>
    <n v="2186.1"/>
    <x v="0"/>
  </r>
  <r>
    <d v="2014-04-24T00:00:00"/>
    <n v="2"/>
    <n v="2"/>
    <n v="1.1000000000000001"/>
    <n v="26"/>
    <n v="6"/>
    <n v="0"/>
    <n v="6"/>
    <n v="2"/>
    <x v="0"/>
    <x v="3"/>
    <x v="0"/>
    <n v="45.1"/>
    <n v="6765"/>
    <n v="2029.5"/>
    <x v="0"/>
  </r>
  <r>
    <d v="2014-04-25T00:00:00"/>
    <n v="3"/>
    <n v="2.02"/>
    <n v="5"/>
    <n v="24.9"/>
    <n v="10"/>
    <n v="1"/>
    <n v="1"/>
    <n v="3"/>
    <x v="0"/>
    <x v="3"/>
    <x v="1"/>
    <n v="49.92"/>
    <n v="7488"/>
    <n v="2246.4"/>
    <x v="0"/>
  </r>
  <r>
    <d v="2014-04-26T00:00:00"/>
    <n v="4.34"/>
    <n v="2.67"/>
    <n v="5.5"/>
    <n v="35"/>
    <n v="12"/>
    <n v="1"/>
    <n v="6"/>
    <n v="4"/>
    <x v="0"/>
    <x v="3"/>
    <x v="2"/>
    <n v="70.509999999999991"/>
    <n v="10576.499999999998"/>
    <n v="3172.9499999999994"/>
    <x v="1"/>
  </r>
  <r>
    <d v="2014-04-27T00:00:00"/>
    <n v="4"/>
    <n v="2.34"/>
    <n v="2"/>
    <n v="26.2"/>
    <n v="2"/>
    <n v="0"/>
    <n v="1"/>
    <n v="1"/>
    <x v="0"/>
    <x v="3"/>
    <x v="3"/>
    <n v="38.54"/>
    <n v="5781"/>
    <n v="1734.3"/>
    <x v="0"/>
  </r>
  <r>
    <d v="2014-04-28T00:00:00"/>
    <n v="1.34"/>
    <n v="3.09"/>
    <n v="3"/>
    <n v="29.1"/>
    <n v="8"/>
    <n v="2"/>
    <n v="0"/>
    <n v="2"/>
    <x v="0"/>
    <x v="3"/>
    <x v="4"/>
    <n v="48.53"/>
    <n v="7279.5"/>
    <n v="2183.85"/>
    <x v="0"/>
  </r>
  <r>
    <d v="2014-04-29T00:00:00"/>
    <n v="3.33"/>
    <n v="4.0199999999999996"/>
    <n v="4.4000000000000004"/>
    <n v="30.3"/>
    <n v="6"/>
    <n v="1"/>
    <n v="5"/>
    <n v="0.4"/>
    <x v="0"/>
    <x v="3"/>
    <x v="5"/>
    <n v="54.449999999999996"/>
    <n v="8167.4999999999991"/>
    <n v="2450.2499999999995"/>
    <x v="0"/>
  </r>
  <r>
    <d v="2014-04-30T00:00:00"/>
    <n v="4.34"/>
    <n v="2.68"/>
    <n v="7"/>
    <n v="43.1"/>
    <n v="11"/>
    <n v="0"/>
    <n v="7"/>
    <n v="4"/>
    <x v="0"/>
    <x v="3"/>
    <x v="6"/>
    <n v="79.12"/>
    <n v="11868"/>
    <n v="3560.4"/>
    <x v="1"/>
  </r>
  <r>
    <d v="2014-05-01T00:00:00"/>
    <n v="0"/>
    <n v="0"/>
    <n v="0"/>
    <n v="0"/>
    <n v="0"/>
    <n v="0"/>
    <n v="0"/>
    <n v="0"/>
    <x v="0"/>
    <x v="4"/>
    <x v="0"/>
    <n v="0"/>
    <n v="0"/>
    <n v="0"/>
    <x v="0"/>
  </r>
  <r>
    <d v="2014-05-02T00:00:00"/>
    <n v="7.34"/>
    <n v="7.34"/>
    <n v="6.3"/>
    <n v="39.5"/>
    <n v="16"/>
    <n v="1"/>
    <n v="12"/>
    <n v="2"/>
    <x v="0"/>
    <x v="4"/>
    <x v="1"/>
    <n v="91.48"/>
    <n v="13722"/>
    <n v="4116.5999999999995"/>
    <x v="1"/>
  </r>
  <r>
    <d v="2014-05-03T00:00:00"/>
    <n v="4"/>
    <n v="5.34"/>
    <n v="2"/>
    <n v="14.6"/>
    <n v="5"/>
    <n v="2"/>
    <n v="0"/>
    <n v="2.5"/>
    <x v="0"/>
    <x v="4"/>
    <x v="2"/>
    <n v="35.44"/>
    <n v="5316"/>
    <n v="1594.8"/>
    <x v="0"/>
  </r>
  <r>
    <d v="2014-05-04T00:00:00"/>
    <n v="1.67"/>
    <n v="4.6900000000000004"/>
    <n v="1.2"/>
    <n v="20"/>
    <n v="3"/>
    <n v="0"/>
    <n v="0"/>
    <n v="3"/>
    <x v="0"/>
    <x v="4"/>
    <x v="3"/>
    <n v="33.56"/>
    <n v="5034"/>
    <n v="1510.2"/>
    <x v="0"/>
  </r>
  <r>
    <d v="2014-05-05T00:00:00"/>
    <n v="3"/>
    <n v="5.7850000000000001"/>
    <n v="5"/>
    <n v="20"/>
    <n v="7"/>
    <n v="0"/>
    <n v="3"/>
    <n v="4"/>
    <x v="0"/>
    <x v="4"/>
    <x v="4"/>
    <n v="47.784999999999997"/>
    <n v="7167.7499999999991"/>
    <n v="2150.3249999999998"/>
    <x v="0"/>
  </r>
  <r>
    <d v="2014-05-06T00:00:00"/>
    <n v="7.34"/>
    <n v="4.3600000000000003"/>
    <n v="4"/>
    <n v="22"/>
    <n v="10"/>
    <n v="2"/>
    <n v="6"/>
    <n v="5"/>
    <x v="0"/>
    <x v="4"/>
    <x v="5"/>
    <n v="60.7"/>
    <n v="9105"/>
    <n v="2731.5"/>
    <x v="0"/>
  </r>
  <r>
    <d v="2014-05-07T00:00:00"/>
    <n v="3.33"/>
    <n v="6.32"/>
    <n v="3"/>
    <n v="16.8"/>
    <n v="8"/>
    <n v="1"/>
    <n v="3"/>
    <n v="11"/>
    <x v="0"/>
    <x v="4"/>
    <x v="6"/>
    <n v="52.45"/>
    <n v="7867.5"/>
    <n v="2360.25"/>
    <x v="0"/>
  </r>
  <r>
    <d v="2014-05-08T00:00:00"/>
    <n v="2"/>
    <n v="2.34"/>
    <n v="3.4"/>
    <n v="20.399999999999999"/>
    <n v="10"/>
    <n v="3"/>
    <n v="0"/>
    <n v="5"/>
    <x v="0"/>
    <x v="4"/>
    <x v="0"/>
    <n v="46.14"/>
    <n v="6921"/>
    <n v="2076.2999999999997"/>
    <x v="0"/>
  </r>
  <r>
    <d v="2014-05-09T00:00:00"/>
    <n v="2"/>
    <n v="5"/>
    <n v="4.2"/>
    <n v="16"/>
    <n v="12"/>
    <n v="2"/>
    <n v="1"/>
    <n v="2"/>
    <x v="0"/>
    <x v="4"/>
    <x v="1"/>
    <n v="44.2"/>
    <n v="6630"/>
    <n v="1989"/>
    <x v="0"/>
  </r>
  <r>
    <d v="2014-05-10T00:00:00"/>
    <n v="5"/>
    <n v="6"/>
    <n v="9"/>
    <n v="39.4"/>
    <n v="15"/>
    <n v="3"/>
    <n v="1"/>
    <n v="5"/>
    <x v="0"/>
    <x v="4"/>
    <x v="2"/>
    <n v="83.4"/>
    <n v="12510"/>
    <n v="3753"/>
    <x v="1"/>
  </r>
  <r>
    <d v="2014-05-11T00:00:00"/>
    <n v="2"/>
    <n v="2.68"/>
    <n v="1"/>
    <n v="17"/>
    <n v="7"/>
    <n v="0"/>
    <n v="1"/>
    <n v="4"/>
    <x v="0"/>
    <x v="4"/>
    <x v="3"/>
    <n v="34.68"/>
    <n v="5202"/>
    <n v="1560.6"/>
    <x v="0"/>
  </r>
  <r>
    <d v="2014-05-12T00:00:00"/>
    <n v="4.34"/>
    <n v="3.34"/>
    <n v="9"/>
    <n v="12"/>
    <n v="8"/>
    <n v="0"/>
    <n v="5"/>
    <n v="2"/>
    <x v="0"/>
    <x v="4"/>
    <x v="4"/>
    <n v="43.68"/>
    <n v="6552"/>
    <n v="1965.6"/>
    <x v="0"/>
  </r>
  <r>
    <d v="2014-05-13T00:00:00"/>
    <n v="3.68"/>
    <n v="0.34"/>
    <n v="6.2"/>
    <n v="32"/>
    <n v="7"/>
    <n v="0"/>
    <n v="25"/>
    <n v="7.5"/>
    <x v="0"/>
    <x v="4"/>
    <x v="5"/>
    <n v="81.72"/>
    <n v="12258"/>
    <n v="3677.4"/>
    <x v="1"/>
  </r>
  <r>
    <d v="2014-05-14T00:00:00"/>
    <n v="1"/>
    <n v="4.0199999999999996"/>
    <n v="6"/>
    <n v="24.3"/>
    <n v="4"/>
    <n v="0"/>
    <n v="0"/>
    <n v="3"/>
    <x v="0"/>
    <x v="4"/>
    <x v="6"/>
    <n v="42.32"/>
    <n v="6348"/>
    <n v="1904.3999999999999"/>
    <x v="0"/>
  </r>
  <r>
    <d v="2014-05-15T00:00:00"/>
    <n v="2.34"/>
    <n v="2.02"/>
    <n v="3"/>
    <n v="19.3"/>
    <n v="7"/>
    <n v="0"/>
    <n v="1"/>
    <n v="2"/>
    <x v="0"/>
    <x v="4"/>
    <x v="0"/>
    <n v="36.659999999999997"/>
    <n v="5498.9999999999991"/>
    <n v="1649.6999999999996"/>
    <x v="0"/>
  </r>
  <r>
    <d v="2014-05-16T00:00:00"/>
    <n v="5.34"/>
    <n v="7"/>
    <n v="3"/>
    <n v="22"/>
    <n v="10"/>
    <n v="1"/>
    <n v="11"/>
    <n v="1"/>
    <x v="0"/>
    <x v="4"/>
    <x v="1"/>
    <n v="60.34"/>
    <n v="9051"/>
    <n v="2715.2999999999997"/>
    <x v="0"/>
  </r>
  <r>
    <d v="2014-05-17T00:00:00"/>
    <n v="2.34"/>
    <n v="7.68"/>
    <n v="3"/>
    <n v="35"/>
    <n v="14"/>
    <n v="1"/>
    <n v="0"/>
    <n v="2"/>
    <x v="0"/>
    <x v="4"/>
    <x v="2"/>
    <n v="65.02"/>
    <n v="9753"/>
    <n v="2925.9"/>
    <x v="0"/>
  </r>
  <r>
    <d v="2014-05-18T00:00:00"/>
    <n v="3.34"/>
    <n v="2"/>
    <n v="5"/>
    <n v="9.4"/>
    <n v="6"/>
    <n v="0"/>
    <n v="0"/>
    <n v="1"/>
    <x v="0"/>
    <x v="4"/>
    <x v="3"/>
    <n v="26.740000000000002"/>
    <n v="4011.0000000000005"/>
    <n v="1203.3000000000002"/>
    <x v="0"/>
  </r>
  <r>
    <d v="2014-05-19T00:00:00"/>
    <n v="8.34"/>
    <n v="3.84"/>
    <n v="6.1"/>
    <n v="12.8"/>
    <n v="5"/>
    <n v="0"/>
    <n v="3"/>
    <n v="9"/>
    <x v="0"/>
    <x v="4"/>
    <x v="4"/>
    <n v="48.08"/>
    <n v="7212"/>
    <n v="2163.6"/>
    <x v="0"/>
  </r>
  <r>
    <d v="2014-05-20T00:00:00"/>
    <n v="1"/>
    <n v="2.375"/>
    <n v="7"/>
    <n v="27"/>
    <n v="10"/>
    <n v="1"/>
    <n v="0"/>
    <n v="3.6"/>
    <x v="0"/>
    <x v="4"/>
    <x v="5"/>
    <n v="51.975000000000001"/>
    <n v="7796.25"/>
    <n v="2338.875"/>
    <x v="0"/>
  </r>
  <r>
    <d v="2014-05-21T00:00:00"/>
    <n v="2"/>
    <n v="4.68"/>
    <n v="9.5"/>
    <n v="15.4"/>
    <n v="6"/>
    <n v="1"/>
    <n v="0"/>
    <n v="3"/>
    <x v="0"/>
    <x v="4"/>
    <x v="6"/>
    <n v="41.58"/>
    <n v="6237"/>
    <n v="1871.1"/>
    <x v="0"/>
  </r>
  <r>
    <d v="2014-05-22T00:00:00"/>
    <n v="3.68"/>
    <n v="1.33"/>
    <n v="1.2"/>
    <n v="8"/>
    <n v="8"/>
    <n v="0"/>
    <n v="2"/>
    <n v="4"/>
    <x v="0"/>
    <x v="4"/>
    <x v="0"/>
    <n v="28.21"/>
    <n v="4231.5"/>
    <n v="1269.45"/>
    <x v="0"/>
  </r>
  <r>
    <d v="2014-05-23T00:00:00"/>
    <n v="5"/>
    <n v="2.34"/>
    <n v="3.9"/>
    <n v="17.5"/>
    <n v="8"/>
    <n v="2"/>
    <n v="10"/>
    <n v="7"/>
    <x v="0"/>
    <x v="4"/>
    <x v="1"/>
    <n v="55.74"/>
    <n v="8361"/>
    <n v="2508.2999999999997"/>
    <x v="0"/>
  </r>
  <r>
    <d v="2014-05-24T00:00:00"/>
    <n v="3"/>
    <n v="4.7130000000000001"/>
    <n v="5"/>
    <n v="28"/>
    <n v="11"/>
    <n v="1"/>
    <n v="0"/>
    <n v="9"/>
    <x v="0"/>
    <x v="4"/>
    <x v="2"/>
    <n v="61.713000000000001"/>
    <n v="9256.9500000000007"/>
    <n v="2777.085"/>
    <x v="0"/>
  </r>
  <r>
    <d v="2014-05-25T00:00:00"/>
    <n v="2"/>
    <n v="3"/>
    <n v="1"/>
    <n v="7"/>
    <n v="8"/>
    <n v="0"/>
    <n v="5"/>
    <n v="1"/>
    <x v="0"/>
    <x v="4"/>
    <x v="3"/>
    <n v="27"/>
    <n v="4050"/>
    <n v="1215"/>
    <x v="0"/>
  </r>
  <r>
    <d v="2014-05-26T00:00:00"/>
    <n v="2.68"/>
    <n v="3.34"/>
    <n v="7.4"/>
    <n v="18"/>
    <n v="7"/>
    <n v="1"/>
    <n v="0"/>
    <n v="5"/>
    <x v="0"/>
    <x v="4"/>
    <x v="4"/>
    <n v="44.42"/>
    <n v="6663"/>
    <n v="1998.8999999999999"/>
    <x v="0"/>
  </r>
  <r>
    <d v="2014-05-27T00:00:00"/>
    <n v="0"/>
    <n v="2.34"/>
    <n v="5"/>
    <n v="28.6"/>
    <n v="12"/>
    <n v="1"/>
    <n v="1"/>
    <n v="6"/>
    <x v="0"/>
    <x v="4"/>
    <x v="5"/>
    <n v="55.94"/>
    <n v="8391"/>
    <n v="2517.2999999999997"/>
    <x v="0"/>
  </r>
  <r>
    <d v="2014-05-28T00:00:00"/>
    <n v="1.34"/>
    <n v="5.0199999999999996"/>
    <n v="1.4"/>
    <n v="10.28"/>
    <n v="9"/>
    <n v="0"/>
    <n v="2"/>
    <n v="5.0999999999999996"/>
    <x v="0"/>
    <x v="4"/>
    <x v="6"/>
    <n v="34.14"/>
    <n v="5121"/>
    <n v="1536.3"/>
    <x v="0"/>
  </r>
  <r>
    <d v="2014-05-29T00:00:00"/>
    <n v="4"/>
    <n v="5.34"/>
    <n v="6.3"/>
    <n v="27"/>
    <n v="13"/>
    <n v="0"/>
    <n v="0"/>
    <n v="2"/>
    <x v="0"/>
    <x v="4"/>
    <x v="0"/>
    <n v="57.64"/>
    <n v="8646"/>
    <n v="2593.7999999999997"/>
    <x v="0"/>
  </r>
  <r>
    <d v="2014-05-30T00:00:00"/>
    <n v="3.02"/>
    <n v="2.02"/>
    <n v="2"/>
    <n v="21.5"/>
    <n v="14"/>
    <n v="0"/>
    <n v="0"/>
    <n v="5"/>
    <x v="0"/>
    <x v="4"/>
    <x v="1"/>
    <n v="47.54"/>
    <n v="7131"/>
    <n v="2139.2999999999997"/>
    <x v="0"/>
  </r>
  <r>
    <d v="2014-05-31T00:00:00"/>
    <n v="5.67"/>
    <n v="3.34"/>
    <n v="2"/>
    <n v="28"/>
    <n v="10"/>
    <n v="0"/>
    <n v="15"/>
    <n v="2"/>
    <x v="0"/>
    <x v="4"/>
    <x v="2"/>
    <n v="66.009999999999991"/>
    <n v="9901.4999999999982"/>
    <n v="2970.4499999999994"/>
    <x v="0"/>
  </r>
  <r>
    <d v="2014-06-01T00:00:00"/>
    <n v="1"/>
    <n v="0.68"/>
    <n v="1"/>
    <n v="10"/>
    <n v="4"/>
    <n v="1"/>
    <n v="1"/>
    <n v="3"/>
    <x v="0"/>
    <x v="5"/>
    <x v="3"/>
    <n v="21.68"/>
    <n v="3252"/>
    <n v="975.59999999999991"/>
    <x v="0"/>
  </r>
  <r>
    <d v="2014-06-02T00:00:00"/>
    <n v="4"/>
    <n v="4.34"/>
    <n v="10"/>
    <n v="23.3"/>
    <n v="16"/>
    <n v="3"/>
    <n v="0"/>
    <n v="3"/>
    <x v="0"/>
    <x v="5"/>
    <x v="4"/>
    <n v="63.64"/>
    <n v="9546"/>
    <n v="2863.7999999999997"/>
    <x v="0"/>
  </r>
  <r>
    <d v="2014-06-03T00:00:00"/>
    <n v="3"/>
    <n v="2"/>
    <n v="2.4"/>
    <n v="24"/>
    <n v="7"/>
    <n v="2"/>
    <n v="5"/>
    <n v="3"/>
    <x v="0"/>
    <x v="5"/>
    <x v="5"/>
    <n v="48.4"/>
    <n v="7260"/>
    <n v="2178"/>
    <x v="0"/>
  </r>
  <r>
    <d v="2014-06-04T00:00:00"/>
    <n v="1"/>
    <n v="4.68"/>
    <n v="3.5"/>
    <n v="24"/>
    <n v="6"/>
    <n v="0"/>
    <n v="1"/>
    <n v="2.5"/>
    <x v="0"/>
    <x v="5"/>
    <x v="6"/>
    <n v="42.68"/>
    <n v="6402"/>
    <n v="1920.6"/>
    <x v="0"/>
  </r>
  <r>
    <d v="2014-06-05T00:00:00"/>
    <n v="0.34"/>
    <n v="4.68"/>
    <n v="4.5"/>
    <n v="22.5"/>
    <n v="4"/>
    <n v="0"/>
    <n v="0"/>
    <n v="5"/>
    <x v="0"/>
    <x v="5"/>
    <x v="0"/>
    <n v="41.019999999999996"/>
    <n v="6152.9999999999991"/>
    <n v="1845.8999999999996"/>
    <x v="0"/>
  </r>
  <r>
    <d v="2014-06-06T00:00:00"/>
    <n v="5"/>
    <n v="1.68"/>
    <n v="3"/>
    <n v="16.625"/>
    <n v="15"/>
    <n v="2"/>
    <n v="1"/>
    <n v="5"/>
    <x v="0"/>
    <x v="5"/>
    <x v="1"/>
    <n v="49.305"/>
    <n v="7395.75"/>
    <n v="2218.7249999999999"/>
    <x v="0"/>
  </r>
  <r>
    <d v="2014-06-07T00:00:00"/>
    <n v="9"/>
    <n v="3.68"/>
    <n v="7.5"/>
    <n v="33"/>
    <n v="8"/>
    <n v="1"/>
    <n v="6"/>
    <n v="7"/>
    <x v="0"/>
    <x v="5"/>
    <x v="2"/>
    <n v="75.180000000000007"/>
    <n v="11277.000000000002"/>
    <n v="3383.1000000000004"/>
    <x v="1"/>
  </r>
  <r>
    <d v="2014-06-08T00:00:00"/>
    <n v="1"/>
    <n v="2"/>
    <n v="3"/>
    <n v="11"/>
    <n v="8"/>
    <n v="0"/>
    <n v="6"/>
    <n v="2"/>
    <x v="0"/>
    <x v="5"/>
    <x v="3"/>
    <n v="33"/>
    <n v="4950"/>
    <n v="1485"/>
    <x v="0"/>
  </r>
  <r>
    <d v="2014-06-09T00:00:00"/>
    <n v="6.33"/>
    <n v="1.34"/>
    <n v="5"/>
    <n v="18"/>
    <n v="17"/>
    <n v="4"/>
    <n v="0"/>
    <n v="11"/>
    <x v="0"/>
    <x v="5"/>
    <x v="4"/>
    <n v="62.67"/>
    <n v="9400.5"/>
    <n v="2820.15"/>
    <x v="0"/>
  </r>
  <r>
    <d v="2014-06-10T00:00:00"/>
    <n v="8.68"/>
    <n v="2.68"/>
    <n v="4.3"/>
    <n v="23"/>
    <n v="16"/>
    <n v="2"/>
    <n v="2"/>
    <n v="6.5"/>
    <x v="0"/>
    <x v="5"/>
    <x v="5"/>
    <n v="65.16"/>
    <n v="9774"/>
    <n v="2932.2"/>
    <x v="0"/>
  </r>
  <r>
    <d v="2014-06-11T00:00:00"/>
    <n v="4.34"/>
    <n v="0.68"/>
    <n v="2.2999999999999998"/>
    <n v="12.5"/>
    <n v="16"/>
    <n v="2"/>
    <n v="12"/>
    <n v="9"/>
    <x v="0"/>
    <x v="5"/>
    <x v="6"/>
    <n v="58.82"/>
    <n v="8823"/>
    <n v="2646.9"/>
    <x v="0"/>
  </r>
  <r>
    <d v="2014-06-12T00:00:00"/>
    <n v="4.34"/>
    <n v="3"/>
    <n v="1"/>
    <n v="15.8"/>
    <n v="12"/>
    <n v="0"/>
    <n v="2"/>
    <n v="3"/>
    <x v="0"/>
    <x v="5"/>
    <x v="0"/>
    <n v="41.14"/>
    <n v="6171"/>
    <n v="1851.3"/>
    <x v="0"/>
  </r>
  <r>
    <d v="2014-06-13T00:00:00"/>
    <n v="1"/>
    <n v="2.68"/>
    <n v="5"/>
    <n v="10"/>
    <n v="11"/>
    <n v="0"/>
    <n v="3"/>
    <n v="1"/>
    <x v="0"/>
    <x v="5"/>
    <x v="1"/>
    <n v="33.68"/>
    <n v="5052"/>
    <n v="1515.6"/>
    <x v="0"/>
  </r>
  <r>
    <d v="2014-06-14T00:00:00"/>
    <n v="4"/>
    <n v="5.0199999999999996"/>
    <n v="6"/>
    <n v="8"/>
    <n v="10"/>
    <n v="0"/>
    <n v="1"/>
    <n v="3"/>
    <x v="0"/>
    <x v="5"/>
    <x v="2"/>
    <n v="37.019999999999996"/>
    <n v="5552.9999999999991"/>
    <n v="1665.8999999999996"/>
    <x v="0"/>
  </r>
  <r>
    <d v="2014-06-15T00:00:00"/>
    <n v="0.34"/>
    <n v="2"/>
    <n v="0"/>
    <n v="8"/>
    <n v="5"/>
    <n v="0"/>
    <n v="0"/>
    <n v="3.3"/>
    <x v="0"/>
    <x v="5"/>
    <x v="3"/>
    <n v="18.64"/>
    <n v="2796"/>
    <n v="838.8"/>
    <x v="0"/>
  </r>
  <r>
    <d v="2014-06-16T00:00:00"/>
    <n v="4.34"/>
    <n v="4.34"/>
    <n v="7.4"/>
    <n v="12.2"/>
    <n v="11"/>
    <n v="0"/>
    <n v="5"/>
    <n v="5"/>
    <x v="0"/>
    <x v="5"/>
    <x v="4"/>
    <n v="49.28"/>
    <n v="7392"/>
    <n v="2217.6"/>
    <x v="0"/>
  </r>
  <r>
    <d v="2014-06-17T00:00:00"/>
    <n v="5"/>
    <n v="2.34"/>
    <n v="4"/>
    <n v="14"/>
    <n v="12"/>
    <n v="2"/>
    <n v="0"/>
    <n v="3"/>
    <x v="0"/>
    <x v="5"/>
    <x v="5"/>
    <n v="42.34"/>
    <n v="6351.0000000000009"/>
    <n v="1905.3000000000002"/>
    <x v="0"/>
  </r>
  <r>
    <d v="2014-06-18T00:00:00"/>
    <n v="2"/>
    <n v="2"/>
    <n v="4.7"/>
    <n v="18"/>
    <n v="6"/>
    <n v="0"/>
    <n v="1"/>
    <n v="3"/>
    <x v="0"/>
    <x v="5"/>
    <x v="6"/>
    <n v="36.700000000000003"/>
    <n v="5505"/>
    <n v="1651.5"/>
    <x v="0"/>
  </r>
  <r>
    <d v="2014-06-19T00:00:00"/>
    <n v="3"/>
    <n v="3.33"/>
    <n v="1"/>
    <n v="14"/>
    <n v="8"/>
    <n v="0"/>
    <n v="0"/>
    <n v="1"/>
    <x v="0"/>
    <x v="5"/>
    <x v="0"/>
    <n v="30.33"/>
    <n v="4549.5"/>
    <n v="1364.85"/>
    <x v="0"/>
  </r>
  <r>
    <d v="2014-06-20T00:00:00"/>
    <n v="7.34"/>
    <n v="2.02"/>
    <n v="3"/>
    <n v="14.5"/>
    <n v="9"/>
    <n v="0"/>
    <n v="3"/>
    <n v="6"/>
    <x v="0"/>
    <x v="5"/>
    <x v="1"/>
    <n v="44.86"/>
    <n v="6729"/>
    <n v="2018.6999999999998"/>
    <x v="0"/>
  </r>
  <r>
    <d v="2014-06-21T00:00:00"/>
    <n v="6"/>
    <n v="5.68"/>
    <n v="2"/>
    <n v="16"/>
    <n v="12"/>
    <n v="3"/>
    <n v="0"/>
    <n v="3"/>
    <x v="0"/>
    <x v="5"/>
    <x v="2"/>
    <n v="47.68"/>
    <n v="7152"/>
    <n v="2145.6"/>
    <x v="0"/>
  </r>
  <r>
    <d v="2014-06-22T00:00:00"/>
    <n v="4"/>
    <n v="1.02"/>
    <n v="4"/>
    <n v="18"/>
    <n v="8"/>
    <n v="0"/>
    <n v="2"/>
    <n v="3"/>
    <x v="0"/>
    <x v="5"/>
    <x v="3"/>
    <n v="40.019999999999996"/>
    <n v="6002.9999999999991"/>
    <n v="1800.8999999999996"/>
    <x v="0"/>
  </r>
  <r>
    <d v="2014-06-23T00:00:00"/>
    <n v="2.34"/>
    <n v="7.68"/>
    <n v="3"/>
    <n v="25.2"/>
    <n v="12"/>
    <n v="0"/>
    <n v="2"/>
    <n v="3"/>
    <x v="0"/>
    <x v="5"/>
    <x v="4"/>
    <n v="55.22"/>
    <n v="8283"/>
    <n v="2484.9"/>
    <x v="0"/>
  </r>
  <r>
    <d v="2014-06-24T00:00:00"/>
    <n v="3"/>
    <n v="5.14"/>
    <n v="4"/>
    <n v="16.2"/>
    <n v="23"/>
    <n v="0"/>
    <n v="2"/>
    <n v="4"/>
    <x v="0"/>
    <x v="5"/>
    <x v="5"/>
    <n v="57.34"/>
    <n v="8601"/>
    <n v="2580.2999999999997"/>
    <x v="0"/>
  </r>
  <r>
    <d v="2014-06-25T00:00:00"/>
    <n v="8"/>
    <n v="5.34"/>
    <n v="7"/>
    <n v="33.799999999999997"/>
    <n v="19"/>
    <n v="0"/>
    <n v="0"/>
    <n v="1"/>
    <x v="0"/>
    <x v="5"/>
    <x v="6"/>
    <n v="74.14"/>
    <n v="11121"/>
    <n v="3336.2999999999997"/>
    <x v="1"/>
  </r>
  <r>
    <d v="2014-06-26T00:00:00"/>
    <n v="3"/>
    <n v="2"/>
    <n v="11.3"/>
    <n v="19.3"/>
    <n v="14"/>
    <n v="0"/>
    <n v="0"/>
    <n v="1"/>
    <x v="0"/>
    <x v="5"/>
    <x v="0"/>
    <n v="50.6"/>
    <n v="7590"/>
    <n v="2277"/>
    <x v="0"/>
  </r>
  <r>
    <d v="2014-06-27T00:00:00"/>
    <n v="4.34"/>
    <n v="1"/>
    <n v="6"/>
    <n v="32.299999999999997"/>
    <n v="13"/>
    <n v="0"/>
    <n v="1"/>
    <n v="3"/>
    <x v="0"/>
    <x v="5"/>
    <x v="1"/>
    <n v="60.64"/>
    <n v="9096"/>
    <n v="2728.7999999999997"/>
    <x v="0"/>
  </r>
  <r>
    <d v="2014-06-28T00:00:00"/>
    <n v="0.34"/>
    <n v="5.34"/>
    <n v="5"/>
    <n v="20"/>
    <n v="14"/>
    <n v="1"/>
    <n v="1"/>
    <n v="5"/>
    <x v="0"/>
    <x v="5"/>
    <x v="2"/>
    <n v="51.68"/>
    <n v="7752"/>
    <n v="2325.6"/>
    <x v="0"/>
  </r>
  <r>
    <d v="2014-06-29T00:00:00"/>
    <n v="0"/>
    <n v="1"/>
    <n v="1"/>
    <n v="10"/>
    <n v="1"/>
    <n v="0"/>
    <n v="0"/>
    <n v="1"/>
    <x v="0"/>
    <x v="5"/>
    <x v="3"/>
    <n v="14"/>
    <n v="2100"/>
    <n v="630"/>
    <x v="0"/>
  </r>
  <r>
    <d v="2014-06-30T00:00:00"/>
    <n v="6"/>
    <n v="5.34"/>
    <n v="1"/>
    <n v="25"/>
    <n v="6"/>
    <n v="0"/>
    <n v="0"/>
    <n v="0"/>
    <x v="0"/>
    <x v="5"/>
    <x v="4"/>
    <n v="43.34"/>
    <n v="6501.0000000000009"/>
    <n v="1950.3000000000002"/>
    <x v="0"/>
  </r>
  <r>
    <d v="2014-07-01T00:00:00"/>
    <n v="4.34"/>
    <n v="2.34"/>
    <n v="2"/>
    <n v="19"/>
    <n v="10"/>
    <n v="0"/>
    <n v="0"/>
    <n v="2"/>
    <x v="0"/>
    <x v="6"/>
    <x v="5"/>
    <n v="39.68"/>
    <n v="5952"/>
    <n v="1785.6"/>
    <x v="0"/>
  </r>
  <r>
    <d v="2014-07-02T00:00:00"/>
    <n v="3"/>
    <n v="0.34"/>
    <n v="4"/>
    <n v="21.6"/>
    <n v="7"/>
    <n v="0"/>
    <n v="6"/>
    <n v="3"/>
    <x v="0"/>
    <x v="6"/>
    <x v="6"/>
    <n v="44.94"/>
    <n v="6741"/>
    <n v="2022.3"/>
    <x v="0"/>
  </r>
  <r>
    <d v="2014-07-03T00:00:00"/>
    <n v="2.33"/>
    <n v="5.68"/>
    <n v="7"/>
    <n v="12.5"/>
    <n v="7"/>
    <n v="2"/>
    <n v="0"/>
    <n v="2"/>
    <x v="0"/>
    <x v="6"/>
    <x v="0"/>
    <n v="38.51"/>
    <n v="5776.5"/>
    <n v="1732.95"/>
    <x v="0"/>
  </r>
  <r>
    <d v="2014-07-04T00:00:00"/>
    <n v="4.34"/>
    <n v="4.7"/>
    <n v="7"/>
    <n v="10.5"/>
    <n v="14"/>
    <n v="0"/>
    <n v="2"/>
    <n v="3"/>
    <x v="0"/>
    <x v="6"/>
    <x v="1"/>
    <n v="45.54"/>
    <n v="6831"/>
    <n v="2049.2999999999997"/>
    <x v="0"/>
  </r>
  <r>
    <d v="2014-07-05T00:00:00"/>
    <n v="3.34"/>
    <n v="4.34"/>
    <n v="6"/>
    <n v="37"/>
    <n v="11"/>
    <n v="1"/>
    <n v="0"/>
    <n v="0"/>
    <x v="0"/>
    <x v="6"/>
    <x v="2"/>
    <n v="62.68"/>
    <n v="9402"/>
    <n v="2820.6"/>
    <x v="0"/>
  </r>
  <r>
    <d v="2014-07-06T00:00:00"/>
    <n v="4"/>
    <n v="2"/>
    <n v="3"/>
    <n v="10.199999999999999"/>
    <n v="9"/>
    <n v="0"/>
    <n v="0"/>
    <n v="0"/>
    <x v="0"/>
    <x v="6"/>
    <x v="3"/>
    <n v="28.2"/>
    <n v="4230"/>
    <n v="1269"/>
    <x v="0"/>
  </r>
  <r>
    <d v="2014-07-07T00:00:00"/>
    <n v="2"/>
    <n v="3.34"/>
    <n v="4"/>
    <n v="13"/>
    <n v="11"/>
    <n v="0"/>
    <n v="0"/>
    <n v="4"/>
    <x v="0"/>
    <x v="6"/>
    <x v="4"/>
    <n v="37.340000000000003"/>
    <n v="5601.0000000000009"/>
    <n v="1680.3000000000002"/>
    <x v="0"/>
  </r>
  <r>
    <d v="2014-07-08T00:00:00"/>
    <n v="6.34"/>
    <n v="2.34"/>
    <n v="3"/>
    <n v="14"/>
    <n v="3"/>
    <n v="0"/>
    <n v="5"/>
    <n v="1"/>
    <x v="0"/>
    <x v="6"/>
    <x v="5"/>
    <n v="34.68"/>
    <n v="5202"/>
    <n v="1560.6"/>
    <x v="0"/>
  </r>
  <r>
    <d v="2014-07-09T00:00:00"/>
    <n v="3"/>
    <n v="6.34"/>
    <n v="5"/>
    <n v="13"/>
    <n v="6"/>
    <n v="4"/>
    <n v="0"/>
    <n v="2.2000000000000002"/>
    <x v="0"/>
    <x v="6"/>
    <x v="6"/>
    <n v="39.540000000000006"/>
    <n v="5931.0000000000009"/>
    <n v="1779.3000000000002"/>
    <x v="0"/>
  </r>
  <r>
    <d v="2014-07-10T00:00:00"/>
    <n v="2.33"/>
    <n v="4.66"/>
    <n v="8"/>
    <n v="21.2"/>
    <n v="32"/>
    <n v="0"/>
    <n v="5"/>
    <n v="4"/>
    <x v="0"/>
    <x v="6"/>
    <x v="0"/>
    <n v="77.19"/>
    <n v="11578.5"/>
    <n v="3473.5499999999997"/>
    <x v="1"/>
  </r>
  <r>
    <d v="2014-07-11T00:00:00"/>
    <n v="2"/>
    <n v="1.68"/>
    <n v="3.2"/>
    <n v="16.5"/>
    <n v="17"/>
    <n v="0"/>
    <n v="5"/>
    <n v="1"/>
    <x v="0"/>
    <x v="6"/>
    <x v="1"/>
    <n v="46.379999999999995"/>
    <n v="6956.9999999999991"/>
    <n v="2087.0999999999995"/>
    <x v="0"/>
  </r>
  <r>
    <d v="2014-07-12T00:00:00"/>
    <n v="8.34"/>
    <n v="2.68"/>
    <n v="10.5"/>
    <n v="28.1"/>
    <n v="12"/>
    <n v="3"/>
    <n v="12"/>
    <n v="4"/>
    <x v="0"/>
    <x v="6"/>
    <x v="2"/>
    <n v="80.62"/>
    <n v="12093"/>
    <n v="3627.9"/>
    <x v="1"/>
  </r>
  <r>
    <d v="2014-07-13T00:00:00"/>
    <n v="2"/>
    <n v="1.34"/>
    <n v="1"/>
    <n v="17"/>
    <n v="2"/>
    <n v="0"/>
    <n v="0"/>
    <n v="0"/>
    <x v="0"/>
    <x v="6"/>
    <x v="3"/>
    <n v="23.34"/>
    <n v="3501"/>
    <n v="1050.3"/>
    <x v="0"/>
  </r>
  <r>
    <d v="2014-07-14T00:00:00"/>
    <n v="5"/>
    <n v="3.04"/>
    <n v="3"/>
    <n v="11.8"/>
    <n v="19"/>
    <n v="1"/>
    <n v="2"/>
    <n v="2"/>
    <x v="0"/>
    <x v="6"/>
    <x v="4"/>
    <n v="46.84"/>
    <n v="7026.0000000000009"/>
    <n v="2107.8000000000002"/>
    <x v="0"/>
  </r>
  <r>
    <d v="2014-07-15T00:00:00"/>
    <n v="3.34"/>
    <n v="1.68"/>
    <n v="1"/>
    <n v="15.6"/>
    <n v="18"/>
    <n v="0"/>
    <n v="0"/>
    <n v="1.3"/>
    <x v="0"/>
    <x v="6"/>
    <x v="5"/>
    <n v="40.919999999999995"/>
    <n v="6137.9999999999991"/>
    <n v="1841.3999999999996"/>
    <x v="0"/>
  </r>
  <r>
    <d v="2014-07-16T00:00:00"/>
    <n v="4"/>
    <n v="3.34"/>
    <n v="3"/>
    <n v="13"/>
    <n v="12"/>
    <n v="1"/>
    <n v="4"/>
    <n v="0"/>
    <x v="0"/>
    <x v="6"/>
    <x v="6"/>
    <n v="40.340000000000003"/>
    <n v="6051.0000000000009"/>
    <n v="1815.3000000000002"/>
    <x v="0"/>
  </r>
  <r>
    <d v="2014-07-17T00:00:00"/>
    <n v="2"/>
    <n v="3"/>
    <n v="5"/>
    <n v="25"/>
    <n v="14"/>
    <n v="1"/>
    <n v="0"/>
    <n v="1"/>
    <x v="0"/>
    <x v="6"/>
    <x v="0"/>
    <n v="51"/>
    <n v="7650"/>
    <n v="2295"/>
    <x v="0"/>
  </r>
  <r>
    <d v="2014-07-18T00:00:00"/>
    <n v="9"/>
    <n v="2.34"/>
    <n v="1.5"/>
    <n v="14.2"/>
    <n v="6"/>
    <n v="3"/>
    <n v="0"/>
    <n v="4"/>
    <x v="0"/>
    <x v="6"/>
    <x v="1"/>
    <n v="40.04"/>
    <n v="6006"/>
    <n v="1801.8"/>
    <x v="0"/>
  </r>
  <r>
    <d v="2014-07-19T00:00:00"/>
    <n v="7.33"/>
    <n v="7.02"/>
    <n v="6"/>
    <n v="8.4"/>
    <n v="10"/>
    <n v="0"/>
    <n v="6"/>
    <n v="6"/>
    <x v="0"/>
    <x v="6"/>
    <x v="2"/>
    <n v="50.75"/>
    <n v="7612.5"/>
    <n v="2283.75"/>
    <x v="0"/>
  </r>
  <r>
    <d v="2014-07-20T00:00:00"/>
    <n v="3"/>
    <n v="0.34"/>
    <n v="1"/>
    <n v="8"/>
    <n v="5"/>
    <n v="0"/>
    <n v="0"/>
    <n v="0.1"/>
    <x v="0"/>
    <x v="6"/>
    <x v="3"/>
    <n v="17.440000000000001"/>
    <n v="2616"/>
    <n v="784.8"/>
    <x v="0"/>
  </r>
  <r>
    <d v="2014-07-21T00:00:00"/>
    <n v="3"/>
    <n v="4.68"/>
    <n v="8"/>
    <n v="20"/>
    <n v="13"/>
    <n v="1"/>
    <n v="0"/>
    <n v="2"/>
    <x v="0"/>
    <x v="6"/>
    <x v="4"/>
    <n v="51.68"/>
    <n v="7752"/>
    <n v="2325.6"/>
    <x v="0"/>
  </r>
  <r>
    <d v="2014-07-22T00:00:00"/>
    <n v="5"/>
    <n v="5.68"/>
    <n v="3"/>
    <n v="9"/>
    <n v="7"/>
    <n v="0"/>
    <n v="1"/>
    <n v="2"/>
    <x v="0"/>
    <x v="6"/>
    <x v="5"/>
    <n v="32.68"/>
    <n v="4902"/>
    <n v="1470.6"/>
    <x v="0"/>
  </r>
  <r>
    <d v="2014-07-23T00:00:00"/>
    <n v="2.67"/>
    <n v="6.37"/>
    <n v="2"/>
    <n v="8"/>
    <n v="19"/>
    <n v="0"/>
    <n v="0"/>
    <n v="3"/>
    <x v="0"/>
    <x v="6"/>
    <x v="6"/>
    <n v="41.04"/>
    <n v="6156"/>
    <n v="1846.8"/>
    <x v="0"/>
  </r>
  <r>
    <d v="2014-07-24T00:00:00"/>
    <n v="5.34"/>
    <n v="2"/>
    <n v="4.4000000000000004"/>
    <n v="23"/>
    <n v="5"/>
    <n v="0"/>
    <n v="0"/>
    <n v="2"/>
    <x v="0"/>
    <x v="6"/>
    <x v="0"/>
    <n v="41.74"/>
    <n v="6261"/>
    <n v="1878.3"/>
    <x v="0"/>
  </r>
  <r>
    <d v="2014-07-25T00:00:00"/>
    <n v="5"/>
    <n v="2.02"/>
    <n v="7.5"/>
    <n v="10"/>
    <n v="15"/>
    <n v="1"/>
    <n v="1"/>
    <n v="2"/>
    <x v="0"/>
    <x v="6"/>
    <x v="1"/>
    <n v="43.519999999999996"/>
    <n v="6527.9999999999991"/>
    <n v="1958.3999999999996"/>
    <x v="0"/>
  </r>
  <r>
    <d v="2014-07-26T00:00:00"/>
    <n v="4"/>
    <n v="6.68"/>
    <n v="6.2"/>
    <n v="36.200000000000003"/>
    <n v="13"/>
    <n v="0"/>
    <n v="0"/>
    <n v="4"/>
    <x v="0"/>
    <x v="6"/>
    <x v="2"/>
    <n v="70.08"/>
    <n v="10512"/>
    <n v="3153.6"/>
    <x v="1"/>
  </r>
  <r>
    <d v="2014-07-27T00:00:00"/>
    <n v="3"/>
    <n v="1.34"/>
    <n v="2"/>
    <n v="10"/>
    <n v="5"/>
    <n v="0"/>
    <n v="6"/>
    <n v="1"/>
    <x v="0"/>
    <x v="6"/>
    <x v="3"/>
    <n v="28.34"/>
    <n v="4251"/>
    <n v="1275.3"/>
    <x v="0"/>
  </r>
  <r>
    <d v="2014-07-28T00:00:00"/>
    <n v="2"/>
    <n v="1.34"/>
    <n v="2"/>
    <n v="9.1"/>
    <n v="9"/>
    <n v="0"/>
    <n v="0"/>
    <n v="2"/>
    <x v="0"/>
    <x v="6"/>
    <x v="4"/>
    <n v="25.439999999999998"/>
    <n v="3815.9999999999995"/>
    <n v="1144.7999999999997"/>
    <x v="0"/>
  </r>
  <r>
    <d v="2014-07-29T00:00:00"/>
    <n v="2.34"/>
    <n v="0.68"/>
    <n v="1"/>
    <n v="13"/>
    <n v="15"/>
    <n v="3"/>
    <n v="0"/>
    <n v="5"/>
    <x v="0"/>
    <x v="6"/>
    <x v="5"/>
    <n v="40.019999999999996"/>
    <n v="6002.9999999999991"/>
    <n v="1800.8999999999996"/>
    <x v="0"/>
  </r>
  <r>
    <d v="2014-07-30T00:00:00"/>
    <n v="0.68"/>
    <n v="1.34"/>
    <n v="5"/>
    <n v="13.5"/>
    <n v="14"/>
    <n v="0"/>
    <n v="6"/>
    <n v="4.5"/>
    <x v="0"/>
    <x v="6"/>
    <x v="6"/>
    <n v="45.019999999999996"/>
    <n v="6752.9999999999991"/>
    <n v="2025.8999999999996"/>
    <x v="0"/>
  </r>
  <r>
    <d v="2014-07-31T00:00:00"/>
    <n v="3"/>
    <n v="0.34"/>
    <n v="4"/>
    <n v="10.5"/>
    <n v="8"/>
    <n v="0"/>
    <n v="0"/>
    <n v="1"/>
    <x v="0"/>
    <x v="6"/>
    <x v="0"/>
    <n v="26.84"/>
    <n v="4026"/>
    <n v="1207.8"/>
    <x v="0"/>
  </r>
  <r>
    <d v="2014-08-01T00:00:00"/>
    <n v="2"/>
    <n v="1"/>
    <n v="2.2000000000000002"/>
    <n v="14"/>
    <n v="17"/>
    <n v="1"/>
    <n v="0"/>
    <n v="1"/>
    <x v="0"/>
    <x v="7"/>
    <x v="1"/>
    <n v="38.200000000000003"/>
    <n v="5730"/>
    <n v="1719"/>
    <x v="0"/>
  </r>
  <r>
    <d v="2014-08-02T00:00:00"/>
    <n v="5"/>
    <n v="2.0099999999999998"/>
    <n v="6"/>
    <n v="29"/>
    <n v="12"/>
    <n v="0"/>
    <n v="5"/>
    <n v="3"/>
    <x v="0"/>
    <x v="7"/>
    <x v="2"/>
    <n v="62.01"/>
    <n v="9301.5"/>
    <n v="2790.45"/>
    <x v="0"/>
  </r>
  <r>
    <d v="2014-08-03T00:00:00"/>
    <n v="5"/>
    <n v="1"/>
    <n v="3"/>
    <n v="6"/>
    <n v="5"/>
    <n v="5"/>
    <n v="0"/>
    <n v="0"/>
    <x v="0"/>
    <x v="7"/>
    <x v="3"/>
    <n v="25"/>
    <n v="3750"/>
    <n v="1125"/>
    <x v="0"/>
  </r>
  <r>
    <d v="2014-08-04T00:00:00"/>
    <n v="4"/>
    <n v="5.0199999999999996"/>
    <n v="6"/>
    <n v="21.5"/>
    <n v="14"/>
    <n v="0"/>
    <n v="0"/>
    <n v="4"/>
    <x v="0"/>
    <x v="7"/>
    <x v="4"/>
    <n v="54.519999999999996"/>
    <n v="8177.9999999999991"/>
    <n v="2453.3999999999996"/>
    <x v="0"/>
  </r>
  <r>
    <d v="2014-08-05T00:00:00"/>
    <n v="2"/>
    <n v="1.34"/>
    <n v="3"/>
    <n v="17.100000000000001"/>
    <n v="9"/>
    <n v="0"/>
    <n v="0"/>
    <n v="0"/>
    <x v="0"/>
    <x v="7"/>
    <x v="5"/>
    <n v="32.44"/>
    <n v="4866"/>
    <n v="1459.8"/>
    <x v="0"/>
  </r>
  <r>
    <d v="2014-08-06T00:00:00"/>
    <n v="6"/>
    <n v="5"/>
    <n v="1.4"/>
    <n v="17"/>
    <n v="7"/>
    <n v="1"/>
    <n v="1"/>
    <n v="1"/>
    <x v="0"/>
    <x v="7"/>
    <x v="6"/>
    <n v="39.4"/>
    <n v="5910"/>
    <n v="1773"/>
    <x v="0"/>
  </r>
  <r>
    <d v="2014-08-07T00:00:00"/>
    <n v="3.34"/>
    <n v="2.68"/>
    <n v="3"/>
    <n v="33"/>
    <n v="13"/>
    <n v="1"/>
    <n v="0"/>
    <n v="2"/>
    <x v="0"/>
    <x v="7"/>
    <x v="0"/>
    <n v="58.019999999999996"/>
    <n v="8703"/>
    <n v="2610.9"/>
    <x v="0"/>
  </r>
  <r>
    <d v="2014-08-08T00:00:00"/>
    <n v="5.0199999999999996"/>
    <n v="4.0199999999999996"/>
    <n v="5"/>
    <n v="13"/>
    <n v="12"/>
    <n v="3"/>
    <n v="2"/>
    <n v="2"/>
    <x v="0"/>
    <x v="7"/>
    <x v="1"/>
    <n v="46.04"/>
    <n v="6906"/>
    <n v="2071.7999999999997"/>
    <x v="0"/>
  </r>
  <r>
    <d v="2014-08-09T00:00:00"/>
    <n v="4"/>
    <n v="1.34"/>
    <n v="6"/>
    <n v="19"/>
    <n v="24"/>
    <n v="3"/>
    <n v="0"/>
    <n v="5.9"/>
    <x v="0"/>
    <x v="7"/>
    <x v="2"/>
    <n v="63.24"/>
    <n v="9486"/>
    <n v="2845.7999999999997"/>
    <x v="0"/>
  </r>
  <r>
    <d v="2014-08-10T00:00:00"/>
    <n v="4"/>
    <n v="0.34"/>
    <n v="4"/>
    <n v="3"/>
    <n v="4"/>
    <n v="0"/>
    <n v="0"/>
    <n v="2"/>
    <x v="0"/>
    <x v="7"/>
    <x v="3"/>
    <n v="17.34"/>
    <n v="2601"/>
    <n v="780.3"/>
    <x v="0"/>
  </r>
  <r>
    <d v="2014-08-11T00:00:00"/>
    <n v="8"/>
    <n v="5.36"/>
    <n v="9.1999999999999993"/>
    <n v="20"/>
    <n v="18"/>
    <n v="0"/>
    <n v="0"/>
    <n v="2"/>
    <x v="0"/>
    <x v="7"/>
    <x v="4"/>
    <n v="62.56"/>
    <n v="9384"/>
    <n v="2815.2"/>
    <x v="0"/>
  </r>
  <r>
    <d v="2014-08-12T00:00:00"/>
    <n v="0"/>
    <n v="1.36"/>
    <n v="4.5"/>
    <n v="10"/>
    <n v="8"/>
    <n v="1"/>
    <n v="0"/>
    <n v="4.5999999999999996"/>
    <x v="0"/>
    <x v="7"/>
    <x v="5"/>
    <n v="29.46"/>
    <n v="4419"/>
    <n v="1325.7"/>
    <x v="0"/>
  </r>
  <r>
    <d v="2014-08-13T00:00:00"/>
    <n v="1.34"/>
    <n v="3.34"/>
    <n v="1"/>
    <n v="20.3"/>
    <n v="11"/>
    <n v="0"/>
    <n v="0"/>
    <n v="7"/>
    <x v="0"/>
    <x v="7"/>
    <x v="6"/>
    <n v="43.980000000000004"/>
    <n v="6597.0000000000009"/>
    <n v="1979.1000000000001"/>
    <x v="0"/>
  </r>
  <r>
    <d v="2014-08-14T00:00:00"/>
    <n v="4"/>
    <n v="2.34"/>
    <n v="6"/>
    <n v="14.4"/>
    <n v="13"/>
    <n v="0"/>
    <n v="0"/>
    <n v="6"/>
    <x v="0"/>
    <x v="7"/>
    <x v="0"/>
    <n v="45.74"/>
    <n v="6861"/>
    <n v="2058.2999999999997"/>
    <x v="0"/>
  </r>
  <r>
    <d v="2014-08-15T00:00:00"/>
    <n v="4.34"/>
    <n v="4.0199999999999996"/>
    <n v="7"/>
    <n v="13.2"/>
    <n v="15"/>
    <n v="2"/>
    <n v="3"/>
    <n v="2"/>
    <x v="0"/>
    <x v="7"/>
    <x v="1"/>
    <n v="50.56"/>
    <n v="7584"/>
    <n v="2275.1999999999998"/>
    <x v="0"/>
  </r>
  <r>
    <d v="2014-08-16T00:00:00"/>
    <n v="8"/>
    <n v="2.4300000000000002"/>
    <n v="5"/>
    <n v="19"/>
    <n v="27"/>
    <n v="2"/>
    <n v="0"/>
    <n v="1"/>
    <x v="0"/>
    <x v="7"/>
    <x v="2"/>
    <n v="64.430000000000007"/>
    <n v="9664.5000000000018"/>
    <n v="2899.3500000000004"/>
    <x v="0"/>
  </r>
  <r>
    <d v="2014-08-17T00:00:00"/>
    <n v="0.34"/>
    <n v="0.68"/>
    <n v="2"/>
    <n v="6.5"/>
    <n v="7"/>
    <n v="0"/>
    <n v="0"/>
    <n v="1"/>
    <x v="0"/>
    <x v="7"/>
    <x v="3"/>
    <n v="17.52"/>
    <n v="2628"/>
    <n v="788.4"/>
    <x v="0"/>
  </r>
  <r>
    <d v="2014-08-18T00:00:00"/>
    <n v="4.34"/>
    <n v="6"/>
    <n v="3.1"/>
    <n v="16.5"/>
    <n v="21"/>
    <n v="3"/>
    <n v="10"/>
    <n v="2"/>
    <x v="0"/>
    <x v="7"/>
    <x v="4"/>
    <n v="65.94"/>
    <n v="9891"/>
    <n v="2967.2999999999997"/>
    <x v="0"/>
  </r>
  <r>
    <d v="2014-08-19T00:00:00"/>
    <n v="11.34"/>
    <n v="6.35"/>
    <n v="5"/>
    <n v="16.100000000000001"/>
    <n v="13"/>
    <n v="1"/>
    <n v="3"/>
    <n v="1.1000000000000001"/>
    <x v="0"/>
    <x v="7"/>
    <x v="5"/>
    <n v="56.89"/>
    <n v="8533.5"/>
    <n v="2560.0499999999997"/>
    <x v="0"/>
  </r>
  <r>
    <d v="2014-08-20T00:00:00"/>
    <n v="5.34"/>
    <n v="5.34"/>
    <n v="1.4"/>
    <n v="9"/>
    <n v="10"/>
    <n v="2"/>
    <n v="0"/>
    <n v="1"/>
    <x v="0"/>
    <x v="7"/>
    <x v="6"/>
    <n v="34.08"/>
    <n v="5112"/>
    <n v="1533.6"/>
    <x v="0"/>
  </r>
  <r>
    <d v="2014-08-21T00:00:00"/>
    <n v="3"/>
    <n v="1"/>
    <n v="2"/>
    <n v="18"/>
    <n v="16"/>
    <n v="1"/>
    <n v="0"/>
    <n v="2.2000000000000002"/>
    <x v="0"/>
    <x v="7"/>
    <x v="0"/>
    <n v="43.2"/>
    <n v="6480"/>
    <n v="1944"/>
    <x v="0"/>
  </r>
  <r>
    <d v="2014-08-22T00:00:00"/>
    <n v="6.34"/>
    <n v="1.34"/>
    <n v="5"/>
    <n v="19"/>
    <n v="15"/>
    <n v="0"/>
    <n v="0"/>
    <n v="1"/>
    <x v="0"/>
    <x v="7"/>
    <x v="1"/>
    <n v="47.68"/>
    <n v="7152"/>
    <n v="2145.6"/>
    <x v="0"/>
  </r>
  <r>
    <d v="2014-08-23T00:00:00"/>
    <n v="3"/>
    <n v="3.02"/>
    <n v="1"/>
    <n v="25.6"/>
    <n v="5"/>
    <n v="0"/>
    <n v="0"/>
    <n v="4"/>
    <x v="0"/>
    <x v="7"/>
    <x v="2"/>
    <n v="41.620000000000005"/>
    <n v="6243.0000000000009"/>
    <n v="1872.9"/>
    <x v="0"/>
  </r>
  <r>
    <d v="2014-08-24T00:00:00"/>
    <n v="3"/>
    <n v="2.1749999999999998"/>
    <n v="3"/>
    <n v="7"/>
    <n v="12"/>
    <n v="0"/>
    <n v="1"/>
    <n v="0"/>
    <x v="0"/>
    <x v="7"/>
    <x v="3"/>
    <n v="28.175000000000001"/>
    <n v="4226.25"/>
    <n v="1267.875"/>
    <x v="0"/>
  </r>
  <r>
    <d v="2014-08-25T00:00:00"/>
    <n v="4.01"/>
    <n v="3.1749999999999998"/>
    <n v="3"/>
    <n v="21.2"/>
    <n v="21"/>
    <n v="0"/>
    <n v="0"/>
    <n v="0"/>
    <x v="0"/>
    <x v="7"/>
    <x v="4"/>
    <n v="52.384999999999998"/>
    <n v="7857.75"/>
    <n v="2357.3249999999998"/>
    <x v="0"/>
  </r>
  <r>
    <d v="2014-08-26T00:00:00"/>
    <n v="2.34"/>
    <n v="5.34"/>
    <n v="3"/>
    <n v="31"/>
    <n v="14"/>
    <n v="1"/>
    <n v="1"/>
    <n v="3"/>
    <x v="0"/>
    <x v="7"/>
    <x v="5"/>
    <n v="60.68"/>
    <n v="9102"/>
    <n v="2730.6"/>
    <x v="0"/>
  </r>
  <r>
    <d v="2014-08-27T00:00:00"/>
    <n v="3.34"/>
    <n v="8.02"/>
    <n v="4"/>
    <n v="21"/>
    <n v="14"/>
    <n v="0"/>
    <n v="0"/>
    <n v="3"/>
    <x v="0"/>
    <x v="7"/>
    <x v="6"/>
    <n v="53.36"/>
    <n v="8004"/>
    <n v="2401.1999999999998"/>
    <x v="0"/>
  </r>
  <r>
    <d v="2014-08-28T00:00:00"/>
    <n v="2.34"/>
    <n v="5.36"/>
    <n v="6"/>
    <n v="32.67"/>
    <n v="19"/>
    <n v="0"/>
    <n v="4"/>
    <n v="0"/>
    <x v="0"/>
    <x v="7"/>
    <x v="0"/>
    <n v="69.37"/>
    <n v="10405.5"/>
    <n v="3121.65"/>
    <x v="1"/>
  </r>
  <r>
    <d v="2014-08-29T00:00:00"/>
    <n v="6.34"/>
    <n v="3.68"/>
    <n v="5"/>
    <n v="26.28"/>
    <n v="18"/>
    <n v="1"/>
    <n v="0"/>
    <n v="3"/>
    <x v="0"/>
    <x v="7"/>
    <x v="1"/>
    <n v="63.3"/>
    <n v="9495"/>
    <n v="2848.5"/>
    <x v="0"/>
  </r>
  <r>
    <d v="2014-08-30T00:00:00"/>
    <n v="3.68"/>
    <n v="3.02"/>
    <n v="7"/>
    <n v="13"/>
    <n v="13"/>
    <n v="1"/>
    <n v="0"/>
    <n v="4"/>
    <x v="0"/>
    <x v="7"/>
    <x v="2"/>
    <n v="44.7"/>
    <n v="6705"/>
    <n v="2011.5"/>
    <x v="0"/>
  </r>
  <r>
    <d v="2014-08-31T00:00:00"/>
    <n v="0"/>
    <n v="2.68"/>
    <n v="1"/>
    <n v="15"/>
    <n v="13"/>
    <n v="0"/>
    <n v="7"/>
    <n v="2"/>
    <x v="0"/>
    <x v="7"/>
    <x v="3"/>
    <n v="40.68"/>
    <n v="6102"/>
    <n v="1830.6"/>
    <x v="0"/>
  </r>
  <r>
    <d v="2014-09-01T00:00:00"/>
    <n v="3.34"/>
    <n v="1.7150000000000001"/>
    <n v="1"/>
    <n v="15.5"/>
    <n v="15"/>
    <n v="0"/>
    <n v="0"/>
    <n v="5.5"/>
    <x v="0"/>
    <x v="8"/>
    <x v="4"/>
    <n v="42.055"/>
    <n v="6308.25"/>
    <n v="1892.4749999999999"/>
    <x v="0"/>
  </r>
  <r>
    <d v="2014-09-02T00:00:00"/>
    <n v="2.34"/>
    <n v="4.68"/>
    <n v="5.2"/>
    <n v="20.14"/>
    <n v="7"/>
    <n v="0"/>
    <n v="2"/>
    <n v="3"/>
    <x v="0"/>
    <x v="8"/>
    <x v="5"/>
    <n v="44.36"/>
    <n v="6654"/>
    <n v="1996.1999999999998"/>
    <x v="0"/>
  </r>
  <r>
    <d v="2014-09-03T00:00:00"/>
    <n v="7"/>
    <n v="6.34"/>
    <n v="4"/>
    <n v="22.18"/>
    <n v="12"/>
    <n v="0"/>
    <n v="2"/>
    <n v="3"/>
    <x v="0"/>
    <x v="8"/>
    <x v="6"/>
    <n v="56.519999999999996"/>
    <n v="8478"/>
    <n v="2543.4"/>
    <x v="0"/>
  </r>
  <r>
    <d v="2014-09-04T00:00:00"/>
    <n v="5.68"/>
    <n v="5.34"/>
    <n v="3"/>
    <n v="17.600000000000001"/>
    <n v="21"/>
    <n v="1"/>
    <n v="0"/>
    <n v="1"/>
    <x v="0"/>
    <x v="8"/>
    <x v="0"/>
    <n v="54.620000000000005"/>
    <n v="8193"/>
    <n v="2457.9"/>
    <x v="0"/>
  </r>
  <r>
    <d v="2014-09-05T00:00:00"/>
    <n v="4"/>
    <n v="0.77900000000000003"/>
    <n v="3"/>
    <n v="15.6"/>
    <n v="15"/>
    <n v="2"/>
    <n v="0"/>
    <n v="2"/>
    <x v="0"/>
    <x v="8"/>
    <x v="1"/>
    <n v="42.378999999999998"/>
    <n v="6356.8499999999995"/>
    <n v="1907.0549999999998"/>
    <x v="0"/>
  </r>
  <r>
    <d v="2014-09-06T00:00:00"/>
    <n v="5.34"/>
    <n v="5"/>
    <n v="2.4"/>
    <n v="15.7"/>
    <n v="30"/>
    <n v="2"/>
    <n v="5"/>
    <n v="3.1"/>
    <x v="0"/>
    <x v="8"/>
    <x v="2"/>
    <n v="68.539999999999992"/>
    <n v="10280.999999999998"/>
    <n v="3084.2999999999993"/>
    <x v="1"/>
  </r>
  <r>
    <d v="2014-09-07T00:00:00"/>
    <n v="2"/>
    <n v="5.5149999999999997"/>
    <n v="5"/>
    <n v="7"/>
    <n v="9"/>
    <n v="0"/>
    <n v="0"/>
    <n v="1"/>
    <x v="0"/>
    <x v="8"/>
    <x v="3"/>
    <n v="29.515000000000001"/>
    <n v="4427.25"/>
    <n v="1328.175"/>
    <x v="0"/>
  </r>
  <r>
    <d v="2014-09-08T00:00:00"/>
    <n v="1"/>
    <n v="5.36"/>
    <n v="3.5"/>
    <n v="20.8"/>
    <n v="15"/>
    <n v="0"/>
    <n v="1"/>
    <n v="4"/>
    <x v="0"/>
    <x v="8"/>
    <x v="4"/>
    <n v="50.66"/>
    <n v="7598.9999999999991"/>
    <n v="2279.6999999999998"/>
    <x v="0"/>
  </r>
  <r>
    <d v="2014-09-09T00:00:00"/>
    <n v="6.34"/>
    <n v="2.34"/>
    <n v="4"/>
    <n v="29.2"/>
    <n v="17"/>
    <n v="0"/>
    <n v="2"/>
    <n v="1.2"/>
    <x v="0"/>
    <x v="8"/>
    <x v="5"/>
    <n v="62.08"/>
    <n v="9312"/>
    <n v="2793.6"/>
    <x v="0"/>
  </r>
  <r>
    <d v="2014-09-10T00:00:00"/>
    <n v="4.34"/>
    <n v="3.34"/>
    <n v="3.5"/>
    <n v="37.799999999999997"/>
    <n v="12"/>
    <n v="0"/>
    <n v="0"/>
    <n v="1"/>
    <x v="0"/>
    <x v="8"/>
    <x v="6"/>
    <n v="61.98"/>
    <n v="9297"/>
    <n v="2789.1"/>
    <x v="0"/>
  </r>
  <r>
    <d v="2014-09-11T00:00:00"/>
    <n v="0"/>
    <n v="1.34"/>
    <n v="4"/>
    <n v="32.200000000000003"/>
    <n v="15"/>
    <n v="0"/>
    <n v="10"/>
    <n v="0"/>
    <x v="0"/>
    <x v="8"/>
    <x v="0"/>
    <n v="62.540000000000006"/>
    <n v="9381.0000000000018"/>
    <n v="2814.3000000000006"/>
    <x v="0"/>
  </r>
  <r>
    <d v="2014-09-12T00:00:00"/>
    <n v="2.68"/>
    <n v="2.67"/>
    <n v="1"/>
    <n v="20"/>
    <n v="19"/>
    <n v="0"/>
    <n v="8"/>
    <n v="1"/>
    <x v="0"/>
    <x v="8"/>
    <x v="1"/>
    <n v="54.35"/>
    <n v="8152.5"/>
    <n v="2445.75"/>
    <x v="0"/>
  </r>
  <r>
    <d v="2014-09-13T00:00:00"/>
    <n v="3"/>
    <n v="5.36"/>
    <n v="4.4000000000000004"/>
    <n v="56.85"/>
    <n v="20"/>
    <n v="0"/>
    <n v="1"/>
    <n v="3"/>
    <x v="0"/>
    <x v="8"/>
    <x v="2"/>
    <n v="93.61"/>
    <n v="14041.5"/>
    <n v="4212.45"/>
    <x v="1"/>
  </r>
  <r>
    <d v="2014-09-14T00:00:00"/>
    <n v="1.34"/>
    <n v="2"/>
    <n v="2"/>
    <n v="19.5"/>
    <n v="6"/>
    <n v="0"/>
    <n v="6"/>
    <n v="0"/>
    <x v="0"/>
    <x v="8"/>
    <x v="3"/>
    <n v="36.840000000000003"/>
    <n v="5526.0000000000009"/>
    <n v="1657.8000000000002"/>
    <x v="0"/>
  </r>
  <r>
    <d v="2014-09-15T00:00:00"/>
    <n v="1.34"/>
    <n v="3"/>
    <n v="5.4"/>
    <n v="28.2"/>
    <n v="9"/>
    <n v="0"/>
    <n v="1"/>
    <n v="0"/>
    <x v="0"/>
    <x v="8"/>
    <x v="4"/>
    <n v="47.94"/>
    <n v="7191"/>
    <n v="2157.2999999999997"/>
    <x v="0"/>
  </r>
  <r>
    <d v="2014-09-16T00:00:00"/>
    <n v="4"/>
    <n v="2.68"/>
    <n v="0"/>
    <n v="59.3"/>
    <n v="13"/>
    <n v="0"/>
    <n v="0"/>
    <n v="0"/>
    <x v="0"/>
    <x v="8"/>
    <x v="5"/>
    <n v="78.97999999999999"/>
    <n v="11846.999999999998"/>
    <n v="3554.0999999999995"/>
    <x v="1"/>
  </r>
  <r>
    <d v="2014-09-17T00:00:00"/>
    <n v="2.34"/>
    <n v="6"/>
    <n v="4"/>
    <n v="39.6"/>
    <n v="11"/>
    <n v="2"/>
    <n v="19"/>
    <n v="4"/>
    <x v="0"/>
    <x v="8"/>
    <x v="6"/>
    <n v="87.94"/>
    <n v="13191"/>
    <n v="3957.2999999999997"/>
    <x v="1"/>
  </r>
  <r>
    <d v="2014-09-18T00:00:00"/>
    <n v="3"/>
    <n v="2.02"/>
    <n v="1"/>
    <n v="44"/>
    <n v="7"/>
    <n v="0"/>
    <n v="0"/>
    <n v="1"/>
    <x v="0"/>
    <x v="8"/>
    <x v="0"/>
    <n v="58.019999999999996"/>
    <n v="8703"/>
    <n v="2610.9"/>
    <x v="0"/>
  </r>
  <r>
    <d v="2014-09-19T00:00:00"/>
    <n v="2"/>
    <n v="4.34"/>
    <n v="7.8"/>
    <n v="23"/>
    <n v="8"/>
    <n v="0"/>
    <n v="22"/>
    <n v="0"/>
    <x v="0"/>
    <x v="8"/>
    <x v="1"/>
    <n v="67.14"/>
    <n v="10071"/>
    <n v="3021.2999999999997"/>
    <x v="1"/>
  </r>
  <r>
    <d v="2014-09-20T00:00:00"/>
    <n v="4.34"/>
    <n v="1.855"/>
    <n v="4.5"/>
    <n v="20.6"/>
    <n v="14"/>
    <n v="1"/>
    <n v="2"/>
    <n v="0"/>
    <x v="0"/>
    <x v="8"/>
    <x v="2"/>
    <n v="48.295000000000002"/>
    <n v="7244.25"/>
    <n v="2173.2750000000001"/>
    <x v="0"/>
  </r>
  <r>
    <d v="2014-09-21T00:00:00"/>
    <n v="1"/>
    <n v="3.02"/>
    <n v="6"/>
    <n v="12.4"/>
    <n v="7"/>
    <n v="0"/>
    <n v="0"/>
    <n v="3"/>
    <x v="0"/>
    <x v="8"/>
    <x v="3"/>
    <n v="32.42"/>
    <n v="4863"/>
    <n v="1458.8999999999999"/>
    <x v="0"/>
  </r>
  <r>
    <d v="2014-09-22T00:00:00"/>
    <n v="3.34"/>
    <n v="4"/>
    <n v="5.5"/>
    <n v="34.200000000000003"/>
    <n v="10"/>
    <n v="1"/>
    <n v="0"/>
    <n v="2"/>
    <x v="0"/>
    <x v="8"/>
    <x v="4"/>
    <n v="60.040000000000006"/>
    <n v="9006.0000000000018"/>
    <n v="2701.8000000000006"/>
    <x v="0"/>
  </r>
  <r>
    <d v="2014-09-23T00:00:00"/>
    <n v="3"/>
    <n v="3.34"/>
    <n v="5.5"/>
    <n v="26"/>
    <n v="10"/>
    <n v="0"/>
    <n v="1"/>
    <n v="2"/>
    <x v="0"/>
    <x v="8"/>
    <x v="5"/>
    <n v="50.84"/>
    <n v="7626.0000000000009"/>
    <n v="2287.8000000000002"/>
    <x v="0"/>
  </r>
  <r>
    <d v="2014-09-24T00:00:00"/>
    <n v="6"/>
    <n v="3.34"/>
    <n v="1.4"/>
    <n v="24.7"/>
    <n v="14"/>
    <n v="0"/>
    <n v="0"/>
    <n v="0"/>
    <x v="0"/>
    <x v="8"/>
    <x v="6"/>
    <n v="49.44"/>
    <n v="7416"/>
    <n v="2224.7999999999997"/>
    <x v="0"/>
  </r>
  <r>
    <d v="2014-09-25T00:00:00"/>
    <n v="4.68"/>
    <n v="6.34"/>
    <n v="8.1999999999999993"/>
    <n v="49.15"/>
    <n v="15"/>
    <n v="1"/>
    <n v="1"/>
    <n v="5"/>
    <x v="0"/>
    <x v="8"/>
    <x v="0"/>
    <n v="90.37"/>
    <n v="13555.5"/>
    <n v="4066.6499999999996"/>
    <x v="1"/>
  </r>
  <r>
    <d v="2014-09-26T00:00:00"/>
    <n v="4"/>
    <n v="3.68"/>
    <n v="3.5"/>
    <n v="38"/>
    <n v="22"/>
    <n v="2"/>
    <n v="0"/>
    <n v="1"/>
    <x v="0"/>
    <x v="8"/>
    <x v="1"/>
    <n v="74.180000000000007"/>
    <n v="11127.000000000002"/>
    <n v="3338.1000000000004"/>
    <x v="1"/>
  </r>
  <r>
    <d v="2014-09-27T00:00:00"/>
    <n v="4"/>
    <n v="2"/>
    <n v="6"/>
    <n v="46.3"/>
    <n v="18"/>
    <n v="0"/>
    <n v="0"/>
    <n v="4"/>
    <x v="0"/>
    <x v="8"/>
    <x v="2"/>
    <n v="80.3"/>
    <n v="12045"/>
    <n v="3613.5"/>
    <x v="1"/>
  </r>
  <r>
    <d v="2014-09-28T00:00:00"/>
    <n v="0.34"/>
    <n v="2.68"/>
    <n v="1"/>
    <n v="21.2"/>
    <n v="6"/>
    <n v="0"/>
    <n v="0"/>
    <n v="2"/>
    <x v="0"/>
    <x v="8"/>
    <x v="3"/>
    <n v="33.22"/>
    <n v="4983"/>
    <n v="1494.8999999999999"/>
    <x v="0"/>
  </r>
  <r>
    <d v="2014-09-29T00:00:00"/>
    <n v="7"/>
    <n v="3.68"/>
    <n v="2.2999999999999998"/>
    <n v="29.8"/>
    <n v="12"/>
    <n v="0"/>
    <n v="10"/>
    <n v="4"/>
    <x v="0"/>
    <x v="8"/>
    <x v="4"/>
    <n v="68.78"/>
    <n v="10317"/>
    <n v="3095.1"/>
    <x v="1"/>
  </r>
  <r>
    <d v="2014-09-30T00:00:00"/>
    <n v="10"/>
    <n v="5.34"/>
    <n v="4"/>
    <n v="61.3"/>
    <n v="10"/>
    <n v="2"/>
    <n v="22"/>
    <n v="2"/>
    <x v="0"/>
    <x v="8"/>
    <x v="5"/>
    <n v="116.64"/>
    <n v="17496"/>
    <n v="5248.8"/>
    <x v="1"/>
  </r>
  <r>
    <d v="2014-10-01T00:00:00"/>
    <n v="2.34"/>
    <n v="0"/>
    <n v="2.4"/>
    <n v="44"/>
    <n v="15"/>
    <n v="0"/>
    <n v="11"/>
    <n v="2"/>
    <x v="0"/>
    <x v="9"/>
    <x v="6"/>
    <n v="76.740000000000009"/>
    <n v="11511.000000000002"/>
    <n v="3453.3000000000006"/>
    <x v="1"/>
  </r>
  <r>
    <d v="2014-10-02T00:00:00"/>
    <n v="2"/>
    <n v="4.99"/>
    <n v="5"/>
    <n v="23.9"/>
    <n v="11"/>
    <n v="0"/>
    <n v="2"/>
    <n v="1"/>
    <x v="0"/>
    <x v="9"/>
    <x v="0"/>
    <n v="49.89"/>
    <n v="7483.5"/>
    <n v="2245.0499999999997"/>
    <x v="0"/>
  </r>
  <r>
    <d v="2014-10-03T00:00:00"/>
    <n v="4.33"/>
    <n v="1.34"/>
    <n v="5.9"/>
    <n v="44.14"/>
    <n v="12"/>
    <n v="0"/>
    <n v="11"/>
    <n v="2"/>
    <x v="0"/>
    <x v="9"/>
    <x v="1"/>
    <n v="80.710000000000008"/>
    <n v="12106.500000000002"/>
    <n v="3631.9500000000003"/>
    <x v="1"/>
  </r>
  <r>
    <d v="2014-10-04T00:00:00"/>
    <n v="4.68"/>
    <n v="7.766"/>
    <n v="8"/>
    <n v="49.9"/>
    <n v="12"/>
    <n v="1"/>
    <n v="25"/>
    <n v="0"/>
    <x v="0"/>
    <x v="9"/>
    <x v="2"/>
    <n v="108.346"/>
    <n v="16251.900000000001"/>
    <n v="4875.5700000000006"/>
    <x v="1"/>
  </r>
  <r>
    <d v="2014-10-05T00:00:00"/>
    <n v="2"/>
    <n v="3.34"/>
    <n v="3"/>
    <n v="19"/>
    <n v="1"/>
    <n v="0"/>
    <n v="0"/>
    <n v="3"/>
    <x v="0"/>
    <x v="9"/>
    <x v="3"/>
    <n v="31.34"/>
    <n v="4701"/>
    <n v="1410.3"/>
    <x v="0"/>
  </r>
  <r>
    <d v="2014-10-06T00:00:00"/>
    <n v="5.34"/>
    <n v="1.365"/>
    <n v="2.4"/>
    <n v="69.875"/>
    <n v="13"/>
    <n v="1"/>
    <n v="0"/>
    <n v="1"/>
    <x v="0"/>
    <x v="9"/>
    <x v="4"/>
    <n v="93.98"/>
    <n v="14097"/>
    <n v="4229.0999999999995"/>
    <x v="1"/>
  </r>
  <r>
    <d v="2014-10-07T00:00:00"/>
    <n v="3"/>
    <n v="4.34"/>
    <n v="2.2000000000000002"/>
    <n v="41.7"/>
    <n v="17"/>
    <n v="1"/>
    <n v="5"/>
    <n v="0"/>
    <x v="0"/>
    <x v="9"/>
    <x v="5"/>
    <n v="74.240000000000009"/>
    <n v="11136.000000000002"/>
    <n v="3340.8000000000006"/>
    <x v="1"/>
  </r>
  <r>
    <d v="2014-10-08T00:00:00"/>
    <n v="3.68"/>
    <n v="6"/>
    <n v="7"/>
    <n v="50"/>
    <n v="17"/>
    <n v="0"/>
    <n v="0"/>
    <n v="2"/>
    <x v="0"/>
    <x v="9"/>
    <x v="6"/>
    <n v="85.68"/>
    <n v="12852.000000000002"/>
    <n v="3855.6000000000004"/>
    <x v="1"/>
  </r>
  <r>
    <d v="2014-10-09T00:00:00"/>
    <n v="1"/>
    <n v="4.6900000000000004"/>
    <n v="6"/>
    <n v="48.2"/>
    <n v="10"/>
    <n v="2"/>
    <n v="5"/>
    <n v="0"/>
    <x v="0"/>
    <x v="9"/>
    <x v="0"/>
    <n v="76.89"/>
    <n v="11533.5"/>
    <n v="3460.0499999999997"/>
    <x v="1"/>
  </r>
  <r>
    <d v="2014-10-10T00:00:00"/>
    <n v="4.34"/>
    <n v="2.68"/>
    <n v="9"/>
    <n v="28.8"/>
    <n v="24"/>
    <n v="3"/>
    <n v="6"/>
    <n v="0.5"/>
    <x v="0"/>
    <x v="9"/>
    <x v="1"/>
    <n v="78.319999999999993"/>
    <n v="11747.999999999998"/>
    <n v="3524.3999999999992"/>
    <x v="1"/>
  </r>
  <r>
    <d v="2014-10-11T00:00:00"/>
    <n v="3.34"/>
    <n v="3.68"/>
    <n v="5"/>
    <n v="35.9"/>
    <n v="15"/>
    <n v="0"/>
    <n v="0"/>
    <n v="5"/>
    <x v="0"/>
    <x v="9"/>
    <x v="2"/>
    <n v="67.92"/>
    <n v="10188"/>
    <n v="3056.4"/>
    <x v="1"/>
  </r>
  <r>
    <d v="2014-10-12T00:00:00"/>
    <n v="3"/>
    <n v="0.33"/>
    <n v="1.5"/>
    <n v="22.5"/>
    <n v="7"/>
    <n v="0"/>
    <n v="5"/>
    <n v="2"/>
    <x v="0"/>
    <x v="9"/>
    <x v="3"/>
    <n v="41.33"/>
    <n v="6199.5"/>
    <n v="1859.85"/>
    <x v="0"/>
  </r>
  <r>
    <d v="2014-10-13T00:00:00"/>
    <n v="1.68"/>
    <n v="4"/>
    <n v="6.2"/>
    <n v="31.9"/>
    <n v="11"/>
    <n v="0"/>
    <n v="1"/>
    <n v="2"/>
    <x v="0"/>
    <x v="9"/>
    <x v="4"/>
    <n v="57.78"/>
    <n v="8667"/>
    <n v="2600.1"/>
    <x v="0"/>
  </r>
  <r>
    <d v="2014-10-14T00:00:00"/>
    <n v="3"/>
    <n v="5.41"/>
    <n v="4.8"/>
    <n v="31.8"/>
    <n v="7"/>
    <n v="0"/>
    <n v="11"/>
    <n v="0"/>
    <x v="0"/>
    <x v="9"/>
    <x v="5"/>
    <n v="63.010000000000005"/>
    <n v="9451.5"/>
    <n v="2835.45"/>
    <x v="0"/>
  </r>
  <r>
    <d v="2014-10-15T00:00:00"/>
    <n v="1.33"/>
    <n v="6.35"/>
    <n v="3.5"/>
    <n v="23.7"/>
    <n v="14"/>
    <n v="1"/>
    <n v="2"/>
    <n v="4"/>
    <x v="0"/>
    <x v="9"/>
    <x v="6"/>
    <n v="55.879999999999995"/>
    <n v="8382"/>
    <n v="2514.6"/>
    <x v="0"/>
  </r>
  <r>
    <d v="2014-10-16T00:00:00"/>
    <n v="6.7750000000000004"/>
    <n v="3.5103124999999999"/>
    <n v="2.9375"/>
    <n v="58.921875"/>
    <n v="9.0625"/>
    <n v="0.625"/>
    <n v="5"/>
    <n v="2.1875"/>
    <x v="0"/>
    <x v="9"/>
    <x v="0"/>
    <n v="89.019687500000003"/>
    <n v="13352.953125"/>
    <n v="4005.8859374999997"/>
    <x v="1"/>
  </r>
  <r>
    <d v="2014-10-17T00:00:00"/>
    <n v="3"/>
    <n v="2.34"/>
    <n v="3.4"/>
    <n v="42"/>
    <n v="22"/>
    <n v="3"/>
    <n v="0"/>
    <n v="2"/>
    <x v="0"/>
    <x v="9"/>
    <x v="1"/>
    <n v="77.740000000000009"/>
    <n v="11661.000000000002"/>
    <n v="3498.3000000000006"/>
    <x v="1"/>
  </r>
  <r>
    <d v="2014-10-18T00:00:00"/>
    <n v="4"/>
    <n v="6"/>
    <n v="5.5"/>
    <n v="21.4"/>
    <n v="24"/>
    <n v="0"/>
    <n v="3"/>
    <n v="2"/>
    <x v="0"/>
    <x v="9"/>
    <x v="2"/>
    <n v="65.900000000000006"/>
    <n v="9885"/>
    <n v="2965.5"/>
    <x v="0"/>
  </r>
  <r>
    <d v="2014-10-19T00:00:00"/>
    <n v="3.33"/>
    <n v="3"/>
    <n v="2"/>
    <n v="13.9"/>
    <n v="9"/>
    <n v="0"/>
    <n v="6"/>
    <n v="1"/>
    <x v="0"/>
    <x v="9"/>
    <x v="3"/>
    <n v="38.230000000000004"/>
    <n v="5734.5000000000009"/>
    <n v="1720.3500000000001"/>
    <x v="0"/>
  </r>
  <r>
    <d v="2014-10-20T00:00:00"/>
    <n v="3.34"/>
    <n v="5.66"/>
    <n v="7.3"/>
    <n v="35.4"/>
    <n v="25"/>
    <n v="2"/>
    <n v="0"/>
    <n v="1"/>
    <x v="0"/>
    <x v="9"/>
    <x v="4"/>
    <n v="79.7"/>
    <n v="11955"/>
    <n v="3586.5"/>
    <x v="1"/>
  </r>
  <r>
    <d v="2014-10-21T00:00:00"/>
    <n v="2.34"/>
    <n v="4.34"/>
    <n v="6.4"/>
    <n v="14.3"/>
    <n v="11"/>
    <n v="0"/>
    <n v="20"/>
    <n v="1"/>
    <x v="0"/>
    <x v="9"/>
    <x v="5"/>
    <n v="59.38"/>
    <n v="8907"/>
    <n v="2672.1"/>
    <x v="0"/>
  </r>
  <r>
    <d v="2014-10-22T00:00:00"/>
    <n v="3.33"/>
    <n v="2"/>
    <n v="2.6"/>
    <n v="20.9"/>
    <n v="7"/>
    <n v="0"/>
    <n v="2"/>
    <n v="1"/>
    <x v="0"/>
    <x v="9"/>
    <x v="6"/>
    <n v="38.83"/>
    <n v="5824.5"/>
    <n v="1747.35"/>
    <x v="0"/>
  </r>
  <r>
    <d v="2014-10-23T00:00:00"/>
    <n v="1.34"/>
    <n v="4.33"/>
    <n v="0"/>
    <n v="32.200000000000003"/>
    <n v="7"/>
    <n v="1"/>
    <n v="0"/>
    <n v="0"/>
    <x v="0"/>
    <x v="9"/>
    <x v="0"/>
    <n v="45.870000000000005"/>
    <n v="6880.5000000000009"/>
    <n v="2064.15"/>
    <x v="0"/>
  </r>
  <r>
    <d v="2014-10-24T00:00:00"/>
    <n v="3.67"/>
    <n v="2.67"/>
    <n v="6.3"/>
    <n v="49.4"/>
    <n v="18"/>
    <n v="0"/>
    <n v="5"/>
    <n v="1"/>
    <x v="0"/>
    <x v="9"/>
    <x v="1"/>
    <n v="86.039999999999992"/>
    <n v="12905.999999999998"/>
    <n v="3871.7999999999993"/>
    <x v="1"/>
  </r>
  <r>
    <d v="2014-10-25T00:00:00"/>
    <n v="2.33"/>
    <n v="5.14"/>
    <n v="1"/>
    <n v="31"/>
    <n v="21"/>
    <n v="0"/>
    <n v="2"/>
    <n v="5"/>
    <x v="0"/>
    <x v="9"/>
    <x v="2"/>
    <n v="67.47"/>
    <n v="10120.5"/>
    <n v="3036.15"/>
    <x v="1"/>
  </r>
  <r>
    <d v="2014-10-26T00:00:00"/>
    <n v="3.34"/>
    <n v="1"/>
    <n v="1.6"/>
    <n v="30.4"/>
    <n v="6"/>
    <n v="0"/>
    <n v="1"/>
    <n v="1"/>
    <x v="0"/>
    <x v="9"/>
    <x v="3"/>
    <n v="44.339999999999996"/>
    <n v="6650.9999999999991"/>
    <n v="1995.2999999999997"/>
    <x v="0"/>
  </r>
  <r>
    <d v="2014-10-27T00:00:00"/>
    <n v="8.34"/>
    <n v="4.55"/>
    <n v="4"/>
    <n v="25.3"/>
    <n v="17"/>
    <n v="1"/>
    <n v="3"/>
    <n v="0"/>
    <x v="0"/>
    <x v="9"/>
    <x v="4"/>
    <n v="63.19"/>
    <n v="9478.5"/>
    <n v="2843.5499999999997"/>
    <x v="0"/>
  </r>
  <r>
    <d v="2014-10-28T00:00:00"/>
    <n v="4"/>
    <n v="3.48"/>
    <n v="10"/>
    <n v="40.4"/>
    <n v="23"/>
    <n v="0"/>
    <n v="0"/>
    <n v="2"/>
    <x v="0"/>
    <x v="9"/>
    <x v="5"/>
    <n v="82.88"/>
    <n v="12432"/>
    <n v="3729.6"/>
    <x v="1"/>
  </r>
  <r>
    <d v="2014-10-29T00:00:00"/>
    <n v="5"/>
    <n v="1"/>
    <n v="6.6"/>
    <n v="41"/>
    <n v="20"/>
    <n v="2"/>
    <n v="27"/>
    <n v="1"/>
    <x v="0"/>
    <x v="9"/>
    <x v="6"/>
    <n v="103.6"/>
    <n v="15540"/>
    <n v="4662"/>
    <x v="1"/>
  </r>
  <r>
    <d v="2014-10-30T00:00:00"/>
    <n v="0"/>
    <n v="1"/>
    <n v="5"/>
    <n v="20.3"/>
    <n v="11"/>
    <n v="1"/>
    <n v="2"/>
    <n v="0"/>
    <x v="0"/>
    <x v="9"/>
    <x v="0"/>
    <n v="40.299999999999997"/>
    <n v="6045"/>
    <n v="1813.5"/>
    <x v="0"/>
  </r>
  <r>
    <d v="2014-10-31T00:00:00"/>
    <n v="2"/>
    <n v="2.4500000000000002"/>
    <n v="4"/>
    <n v="31"/>
    <n v="16"/>
    <n v="0"/>
    <n v="0"/>
    <n v="2"/>
    <x v="0"/>
    <x v="9"/>
    <x v="1"/>
    <n v="57.45"/>
    <n v="8617.5"/>
    <n v="2585.25"/>
    <x v="0"/>
  </r>
  <r>
    <d v="2014-11-01T00:00:00"/>
    <n v="2.33"/>
    <n v="2.34"/>
    <n v="3.5"/>
    <n v="43.8"/>
    <n v="22"/>
    <n v="0"/>
    <n v="7"/>
    <n v="1"/>
    <x v="0"/>
    <x v="10"/>
    <x v="2"/>
    <n v="81.97"/>
    <n v="12295.5"/>
    <n v="3688.6499999999996"/>
    <x v="1"/>
  </r>
  <r>
    <d v="2014-11-02T00:00:00"/>
    <n v="4"/>
    <n v="0"/>
    <n v="1"/>
    <n v="2"/>
    <n v="3.5"/>
    <n v="0"/>
    <n v="0"/>
    <n v="1"/>
    <x v="0"/>
    <x v="10"/>
    <x v="3"/>
    <n v="11.5"/>
    <n v="1725"/>
    <n v="517.5"/>
    <x v="0"/>
  </r>
  <r>
    <d v="2014-11-03T00:00:00"/>
    <n v="7"/>
    <n v="4.33"/>
    <n v="1"/>
    <n v="27.8"/>
    <n v="19"/>
    <n v="0"/>
    <n v="5"/>
    <n v="1"/>
    <x v="0"/>
    <x v="10"/>
    <x v="4"/>
    <n v="65.13"/>
    <n v="9769.5"/>
    <n v="2930.85"/>
    <x v="0"/>
  </r>
  <r>
    <d v="2014-11-04T00:00:00"/>
    <n v="6.33"/>
    <n v="1"/>
    <n v="5.2"/>
    <n v="26.5"/>
    <n v="15"/>
    <n v="0"/>
    <n v="0"/>
    <n v="1"/>
    <x v="0"/>
    <x v="10"/>
    <x v="5"/>
    <n v="55.03"/>
    <n v="8254.5"/>
    <n v="2476.35"/>
    <x v="0"/>
  </r>
  <r>
    <d v="2014-11-05T00:00:00"/>
    <n v="0"/>
    <n v="1.68"/>
    <n v="4"/>
    <n v="27"/>
    <n v="19"/>
    <n v="3"/>
    <n v="1"/>
    <n v="0"/>
    <x v="0"/>
    <x v="10"/>
    <x v="6"/>
    <n v="55.68"/>
    <n v="8352"/>
    <n v="2505.6"/>
    <x v="0"/>
  </r>
  <r>
    <d v="2014-11-06T00:00:00"/>
    <n v="6"/>
    <n v="2.34"/>
    <n v="5.2"/>
    <n v="23.4"/>
    <n v="23"/>
    <n v="1"/>
    <n v="0"/>
    <n v="0"/>
    <x v="0"/>
    <x v="10"/>
    <x v="0"/>
    <n v="60.94"/>
    <n v="9141"/>
    <n v="2742.2999999999997"/>
    <x v="0"/>
  </r>
  <r>
    <d v="2014-11-07T00:00:00"/>
    <n v="6"/>
    <n v="10.34"/>
    <n v="5.5"/>
    <n v="15.8"/>
    <n v="32"/>
    <n v="1"/>
    <n v="0"/>
    <n v="1"/>
    <x v="0"/>
    <x v="10"/>
    <x v="1"/>
    <n v="71.64"/>
    <n v="10746"/>
    <n v="3223.7999999999997"/>
    <x v="1"/>
  </r>
  <r>
    <d v="2014-11-08T00:00:00"/>
    <n v="12"/>
    <n v="7.02"/>
    <n v="6"/>
    <n v="34.4"/>
    <n v="24"/>
    <n v="0"/>
    <n v="17"/>
    <n v="2.2000000000000002"/>
    <x v="0"/>
    <x v="10"/>
    <x v="2"/>
    <n v="102.62"/>
    <n v="15393"/>
    <n v="4617.8999999999996"/>
    <x v="1"/>
  </r>
  <r>
    <d v="2014-11-09T00:00:00"/>
    <n v="3.34"/>
    <n v="4.34"/>
    <n v="2.9"/>
    <n v="23"/>
    <n v="20"/>
    <n v="0"/>
    <n v="2"/>
    <n v="1"/>
    <x v="0"/>
    <x v="10"/>
    <x v="3"/>
    <n v="56.58"/>
    <n v="8487"/>
    <n v="2546.1"/>
    <x v="0"/>
  </r>
  <r>
    <d v="2014-11-10T00:00:00"/>
    <n v="1"/>
    <n v="5.32"/>
    <n v="3.3"/>
    <n v="24.3"/>
    <n v="13"/>
    <n v="0"/>
    <n v="7"/>
    <n v="1"/>
    <x v="0"/>
    <x v="10"/>
    <x v="4"/>
    <n v="54.92"/>
    <n v="8238"/>
    <n v="2471.4"/>
    <x v="0"/>
  </r>
  <r>
    <d v="2014-11-11T00:00:00"/>
    <n v="8"/>
    <n v="4"/>
    <n v="2"/>
    <n v="23"/>
    <n v="18"/>
    <n v="0"/>
    <n v="8"/>
    <n v="2"/>
    <x v="0"/>
    <x v="10"/>
    <x v="5"/>
    <n v="65"/>
    <n v="9750"/>
    <n v="2925"/>
    <x v="0"/>
  </r>
  <r>
    <d v="2014-11-12T00:00:00"/>
    <n v="3"/>
    <n v="5"/>
    <n v="4"/>
    <n v="25"/>
    <n v="16"/>
    <n v="0"/>
    <n v="3"/>
    <n v="0"/>
    <x v="0"/>
    <x v="10"/>
    <x v="6"/>
    <n v="56"/>
    <n v="8400"/>
    <n v="2520"/>
    <x v="0"/>
  </r>
  <r>
    <d v="2014-11-13T00:00:00"/>
    <n v="8"/>
    <n v="2"/>
    <n v="5"/>
    <n v="33.200000000000003"/>
    <n v="10"/>
    <n v="0"/>
    <n v="0"/>
    <n v="2.2000000000000002"/>
    <x v="0"/>
    <x v="10"/>
    <x v="0"/>
    <n v="60.400000000000006"/>
    <n v="9060"/>
    <n v="2718"/>
    <x v="0"/>
  </r>
  <r>
    <d v="2014-11-14T00:00:00"/>
    <n v="5.34"/>
    <n v="0"/>
    <n v="6"/>
    <n v="29.4"/>
    <n v="20"/>
    <n v="1"/>
    <n v="2"/>
    <n v="3"/>
    <x v="0"/>
    <x v="10"/>
    <x v="1"/>
    <n v="66.739999999999995"/>
    <n v="10011"/>
    <n v="3003.2999999999997"/>
    <x v="1"/>
  </r>
  <r>
    <d v="2014-11-15T00:00:00"/>
    <n v="4.33"/>
    <n v="5.34"/>
    <n v="5"/>
    <n v="23.6"/>
    <n v="20"/>
    <n v="2"/>
    <n v="2"/>
    <n v="2"/>
    <x v="0"/>
    <x v="10"/>
    <x v="2"/>
    <n v="64.27000000000001"/>
    <n v="9640.5000000000018"/>
    <n v="2892.1500000000005"/>
    <x v="0"/>
  </r>
  <r>
    <d v="2014-11-16T00:00:00"/>
    <n v="2"/>
    <n v="2.68"/>
    <n v="6"/>
    <n v="18.600000000000001"/>
    <n v="13"/>
    <n v="1"/>
    <n v="0"/>
    <n v="0"/>
    <x v="0"/>
    <x v="10"/>
    <x v="3"/>
    <n v="43.28"/>
    <n v="6492"/>
    <n v="1947.6"/>
    <x v="0"/>
  </r>
  <r>
    <d v="2014-11-17T00:00:00"/>
    <n v="9"/>
    <n v="5.01"/>
    <n v="5.5"/>
    <n v="23"/>
    <n v="23"/>
    <n v="1"/>
    <n v="10"/>
    <n v="0.2"/>
    <x v="0"/>
    <x v="10"/>
    <x v="4"/>
    <n v="76.709999999999994"/>
    <n v="11506.499999999998"/>
    <n v="3451.9499999999994"/>
    <x v="1"/>
  </r>
  <r>
    <d v="2014-11-18T00:00:00"/>
    <n v="2.67"/>
    <n v="2"/>
    <n v="5"/>
    <n v="19.3"/>
    <n v="10.5"/>
    <n v="1"/>
    <n v="0"/>
    <n v="1"/>
    <x v="0"/>
    <x v="10"/>
    <x v="5"/>
    <n v="41.47"/>
    <n v="6220.5"/>
    <n v="1866.1499999999999"/>
    <x v="0"/>
  </r>
  <r>
    <d v="2014-11-19T00:00:00"/>
    <n v="1.34"/>
    <n v="3.67"/>
    <n v="10"/>
    <n v="32"/>
    <n v="17"/>
    <n v="0"/>
    <n v="10"/>
    <n v="4"/>
    <x v="0"/>
    <x v="10"/>
    <x v="6"/>
    <n v="78.009999999999991"/>
    <n v="11701.499999999998"/>
    <n v="3510.4499999999994"/>
    <x v="1"/>
  </r>
  <r>
    <d v="2014-11-20T00:00:00"/>
    <n v="4"/>
    <n v="7"/>
    <n v="5"/>
    <n v="18.8"/>
    <n v="13"/>
    <n v="0"/>
    <n v="8"/>
    <n v="0"/>
    <x v="0"/>
    <x v="10"/>
    <x v="0"/>
    <n v="55.8"/>
    <n v="8370"/>
    <n v="2511"/>
    <x v="0"/>
  </r>
  <r>
    <d v="2014-11-21T00:00:00"/>
    <n v="1.34"/>
    <n v="1.34"/>
    <n v="3"/>
    <n v="22.4"/>
    <n v="16"/>
    <n v="0"/>
    <n v="2"/>
    <n v="1"/>
    <x v="0"/>
    <x v="10"/>
    <x v="1"/>
    <n v="47.08"/>
    <n v="7062"/>
    <n v="2118.6"/>
    <x v="0"/>
  </r>
  <r>
    <d v="2014-11-22T00:00:00"/>
    <n v="6"/>
    <n v="2.34"/>
    <n v="3"/>
    <n v="23.7"/>
    <n v="15"/>
    <n v="1"/>
    <n v="8"/>
    <n v="1.4"/>
    <x v="0"/>
    <x v="10"/>
    <x v="2"/>
    <n v="60.44"/>
    <n v="9066"/>
    <n v="2719.7999999999997"/>
    <x v="0"/>
  </r>
  <r>
    <d v="2014-11-23T00:00:00"/>
    <n v="4"/>
    <n v="3.68"/>
    <n v="6"/>
    <n v="22.3"/>
    <n v="11"/>
    <n v="0"/>
    <n v="0"/>
    <n v="1.1000000000000001"/>
    <x v="0"/>
    <x v="10"/>
    <x v="3"/>
    <n v="48.080000000000005"/>
    <n v="7212.0000000000009"/>
    <n v="2163.6000000000004"/>
    <x v="0"/>
  </r>
  <r>
    <d v="2014-11-24T00:00:00"/>
    <n v="4"/>
    <n v="3"/>
    <n v="6"/>
    <n v="30.6"/>
    <n v="19"/>
    <n v="1"/>
    <n v="1"/>
    <n v="2.1"/>
    <x v="0"/>
    <x v="10"/>
    <x v="4"/>
    <n v="66.699999999999989"/>
    <n v="10004.999999999998"/>
    <n v="3001.4999999999995"/>
    <x v="1"/>
  </r>
  <r>
    <d v="2014-11-25T00:00:00"/>
    <n v="5.36"/>
    <n v="1.68"/>
    <n v="2"/>
    <n v="19.2"/>
    <n v="18"/>
    <n v="0"/>
    <n v="2"/>
    <n v="3"/>
    <x v="0"/>
    <x v="10"/>
    <x v="5"/>
    <n v="51.239999999999995"/>
    <n v="7685.9999999999991"/>
    <n v="2305.7999999999997"/>
    <x v="0"/>
  </r>
  <r>
    <d v="2014-11-26T00:00:00"/>
    <n v="3"/>
    <n v="5"/>
    <n v="6"/>
    <n v="21"/>
    <n v="13"/>
    <n v="3"/>
    <n v="11"/>
    <n v="2"/>
    <x v="0"/>
    <x v="10"/>
    <x v="6"/>
    <n v="64"/>
    <n v="9600"/>
    <n v="2880"/>
    <x v="0"/>
  </r>
  <r>
    <d v="2014-11-27T00:00:00"/>
    <n v="7"/>
    <n v="3.67"/>
    <n v="2.2999999999999998"/>
    <n v="21.2"/>
    <n v="9"/>
    <n v="1"/>
    <n v="4"/>
    <n v="3"/>
    <x v="0"/>
    <x v="10"/>
    <x v="0"/>
    <n v="51.17"/>
    <n v="7675.5"/>
    <n v="2302.65"/>
    <x v="0"/>
  </r>
  <r>
    <d v="2014-11-28T00:00:00"/>
    <n v="3.02"/>
    <n v="1.4"/>
    <n v="15"/>
    <n v="15.9"/>
    <n v="12"/>
    <n v="1"/>
    <n v="2"/>
    <n v="1"/>
    <x v="0"/>
    <x v="10"/>
    <x v="1"/>
    <n v="51.32"/>
    <n v="7698"/>
    <n v="2309.4"/>
    <x v="0"/>
  </r>
  <r>
    <d v="2014-11-29T00:00:00"/>
    <n v="3"/>
    <n v="2.0099999999999998"/>
    <n v="3.3"/>
    <n v="31"/>
    <n v="16"/>
    <n v="0"/>
    <n v="0"/>
    <n v="5"/>
    <x v="0"/>
    <x v="10"/>
    <x v="2"/>
    <n v="60.31"/>
    <n v="9046.5"/>
    <n v="2713.95"/>
    <x v="0"/>
  </r>
  <r>
    <d v="2014-11-30T00:00:00"/>
    <n v="5.68"/>
    <n v="1.33"/>
    <n v="5"/>
    <n v="22.6"/>
    <n v="9"/>
    <n v="1"/>
    <n v="0"/>
    <n v="2"/>
    <x v="0"/>
    <x v="10"/>
    <x v="3"/>
    <n v="46.61"/>
    <n v="6991.5"/>
    <n v="2097.4499999999998"/>
    <x v="0"/>
  </r>
  <r>
    <d v="2014-12-01T00:00:00"/>
    <n v="4.34"/>
    <n v="4.01"/>
    <n v="0"/>
    <n v="36.4"/>
    <n v="19"/>
    <n v="0"/>
    <n v="2"/>
    <n v="2"/>
    <x v="0"/>
    <x v="11"/>
    <x v="4"/>
    <n v="67.75"/>
    <n v="10162.5"/>
    <n v="3048.75"/>
    <x v="1"/>
  </r>
  <r>
    <d v="2014-12-02T00:00:00"/>
    <n v="6.99"/>
    <n v="4.33"/>
    <n v="3.7"/>
    <n v="7.8"/>
    <n v="26"/>
    <n v="0"/>
    <n v="4"/>
    <n v="1"/>
    <x v="0"/>
    <x v="11"/>
    <x v="5"/>
    <n v="53.82"/>
    <n v="8073"/>
    <n v="2421.9"/>
    <x v="0"/>
  </r>
  <r>
    <d v="2014-12-03T00:00:00"/>
    <n v="4"/>
    <n v="3.33"/>
    <n v="5"/>
    <n v="16.600000000000001"/>
    <n v="23"/>
    <n v="2"/>
    <n v="13"/>
    <n v="3.2"/>
    <x v="0"/>
    <x v="11"/>
    <x v="6"/>
    <n v="70.13000000000001"/>
    <n v="10519.500000000002"/>
    <n v="3155.8500000000004"/>
    <x v="1"/>
  </r>
  <r>
    <d v="2014-12-04T00:00:00"/>
    <n v="3"/>
    <n v="4.34"/>
    <n v="3.6"/>
    <n v="28.7"/>
    <n v="16"/>
    <n v="1"/>
    <n v="1"/>
    <n v="0"/>
    <x v="0"/>
    <x v="11"/>
    <x v="0"/>
    <n v="57.64"/>
    <n v="8646"/>
    <n v="2593.7999999999997"/>
    <x v="0"/>
  </r>
  <r>
    <d v="2014-12-05T00:00:00"/>
    <n v="2.02"/>
    <n v="5.68"/>
    <n v="1"/>
    <n v="28.1"/>
    <n v="15"/>
    <n v="1"/>
    <n v="1"/>
    <n v="2.2000000000000002"/>
    <x v="0"/>
    <x v="11"/>
    <x v="1"/>
    <n v="56"/>
    <n v="8400"/>
    <n v="2520"/>
    <x v="0"/>
  </r>
  <r>
    <d v="2014-12-06T00:00:00"/>
    <n v="3.34"/>
    <n v="3.68"/>
    <n v="1"/>
    <n v="12.4"/>
    <n v="9"/>
    <n v="0"/>
    <n v="7"/>
    <n v="1"/>
    <x v="0"/>
    <x v="11"/>
    <x v="2"/>
    <n v="37.42"/>
    <n v="5613"/>
    <n v="1683.8999999999999"/>
    <x v="0"/>
  </r>
  <r>
    <d v="2014-12-07T00:00:00"/>
    <n v="5"/>
    <n v="4.9109999999999996"/>
    <n v="4"/>
    <n v="45.7"/>
    <n v="6"/>
    <n v="0"/>
    <n v="12"/>
    <n v="0"/>
    <x v="0"/>
    <x v="11"/>
    <x v="3"/>
    <n v="77.611000000000004"/>
    <n v="11641.650000000001"/>
    <n v="3492.4950000000003"/>
    <x v="1"/>
  </r>
  <r>
    <d v="2014-12-08T00:00:00"/>
    <n v="1"/>
    <n v="3.33"/>
    <n v="2"/>
    <n v="20.3"/>
    <n v="9"/>
    <n v="0"/>
    <n v="0"/>
    <n v="0"/>
    <x v="0"/>
    <x v="11"/>
    <x v="4"/>
    <n v="35.630000000000003"/>
    <n v="5344.5"/>
    <n v="1603.35"/>
    <x v="0"/>
  </r>
  <r>
    <d v="2014-12-09T00:00:00"/>
    <n v="1"/>
    <n v="2.34"/>
    <n v="7"/>
    <n v="27.28"/>
    <n v="12"/>
    <n v="1"/>
    <n v="0"/>
    <n v="2"/>
    <x v="0"/>
    <x v="11"/>
    <x v="5"/>
    <n v="52.620000000000005"/>
    <n v="7893.0000000000009"/>
    <n v="2367.9"/>
    <x v="0"/>
  </r>
  <r>
    <d v="2014-12-10T00:00:00"/>
    <n v="3.34"/>
    <n v="3"/>
    <n v="2"/>
    <n v="51.2"/>
    <n v="28"/>
    <n v="3"/>
    <n v="6"/>
    <n v="0"/>
    <x v="0"/>
    <x v="11"/>
    <x v="6"/>
    <n v="96.54"/>
    <n v="14481.000000000002"/>
    <n v="4344.3"/>
    <x v="1"/>
  </r>
  <r>
    <d v="2014-12-11T00:00:00"/>
    <n v="2.34"/>
    <n v="5.33"/>
    <n v="7"/>
    <n v="16.3"/>
    <n v="21"/>
    <n v="2"/>
    <n v="0"/>
    <n v="0"/>
    <x v="0"/>
    <x v="11"/>
    <x v="0"/>
    <n v="53.97"/>
    <n v="8095.5"/>
    <n v="2428.65"/>
    <x v="0"/>
  </r>
  <r>
    <d v="2014-12-12T00:00:00"/>
    <n v="6.34"/>
    <n v="2.34"/>
    <n v="5.6"/>
    <n v="41.4"/>
    <n v="18"/>
    <n v="0"/>
    <n v="2"/>
    <n v="0"/>
    <x v="0"/>
    <x v="11"/>
    <x v="1"/>
    <n v="75.680000000000007"/>
    <n v="11352.000000000002"/>
    <n v="3405.6000000000004"/>
    <x v="1"/>
  </r>
  <r>
    <d v="2014-12-13T00:00:00"/>
    <n v="1"/>
    <n v="3.34"/>
    <n v="2.4"/>
    <n v="25.1"/>
    <n v="11"/>
    <n v="1"/>
    <n v="7"/>
    <n v="0"/>
    <x v="0"/>
    <x v="11"/>
    <x v="2"/>
    <n v="50.84"/>
    <n v="7626.0000000000009"/>
    <n v="2287.8000000000002"/>
    <x v="0"/>
  </r>
  <r>
    <d v="2014-12-14T00:00:00"/>
    <n v="10"/>
    <n v="2.34"/>
    <n v="4.4000000000000004"/>
    <n v="40"/>
    <n v="10"/>
    <n v="0"/>
    <n v="6"/>
    <n v="1"/>
    <x v="0"/>
    <x v="11"/>
    <x v="3"/>
    <n v="73.740000000000009"/>
    <n v="11061.000000000002"/>
    <n v="3318.3000000000006"/>
    <x v="1"/>
  </r>
  <r>
    <d v="2014-12-15T00:00:00"/>
    <n v="5.34"/>
    <n v="4.0199999999999996"/>
    <n v="7.64"/>
    <n v="42.2"/>
    <n v="14"/>
    <n v="1"/>
    <n v="9"/>
    <n v="1"/>
    <x v="0"/>
    <x v="11"/>
    <x v="4"/>
    <n v="84.2"/>
    <n v="12630"/>
    <n v="3789"/>
    <x v="1"/>
  </r>
  <r>
    <d v="2014-12-16T00:00:00"/>
    <n v="6.34"/>
    <n v="1.34"/>
    <n v="6.2"/>
    <n v="23"/>
    <n v="23"/>
    <n v="3"/>
    <n v="4"/>
    <n v="1"/>
    <x v="0"/>
    <x v="11"/>
    <x v="5"/>
    <n v="67.88"/>
    <n v="10182"/>
    <n v="3054.6"/>
    <x v="1"/>
  </r>
  <r>
    <d v="2014-12-17T00:00:00"/>
    <n v="3"/>
    <n v="3.67"/>
    <n v="3.5"/>
    <n v="28"/>
    <n v="17"/>
    <n v="2"/>
    <n v="8"/>
    <n v="0"/>
    <x v="0"/>
    <x v="11"/>
    <x v="6"/>
    <n v="65.17"/>
    <n v="9775.5"/>
    <n v="2932.65"/>
    <x v="0"/>
  </r>
  <r>
    <d v="2014-12-18T00:00:00"/>
    <n v="5"/>
    <n v="3.67"/>
    <n v="3"/>
    <n v="26.6"/>
    <n v="9"/>
    <n v="0"/>
    <n v="0"/>
    <n v="0"/>
    <x v="0"/>
    <x v="11"/>
    <x v="0"/>
    <n v="47.27"/>
    <n v="7090.5000000000009"/>
    <n v="2127.15"/>
    <x v="0"/>
  </r>
  <r>
    <d v="2014-12-19T00:00:00"/>
    <n v="0"/>
    <n v="0"/>
    <n v="0"/>
    <n v="0"/>
    <n v="0"/>
    <n v="0"/>
    <n v="0"/>
    <n v="0"/>
    <x v="0"/>
    <x v="11"/>
    <x v="1"/>
    <n v="0"/>
    <n v="0"/>
    <n v="0"/>
    <x v="0"/>
  </r>
  <r>
    <d v="2014-12-20T00:00:00"/>
    <n v="1"/>
    <n v="3.66"/>
    <n v="2"/>
    <n v="31.3"/>
    <n v="9"/>
    <n v="0"/>
    <n v="0"/>
    <n v="3"/>
    <x v="0"/>
    <x v="11"/>
    <x v="2"/>
    <n v="49.96"/>
    <n v="7494"/>
    <n v="2248.1999999999998"/>
    <x v="0"/>
  </r>
  <r>
    <d v="2014-12-21T00:00:00"/>
    <n v="4.33"/>
    <n v="4.33"/>
    <n v="2"/>
    <n v="52.5"/>
    <n v="6"/>
    <n v="0"/>
    <n v="10"/>
    <n v="1"/>
    <x v="0"/>
    <x v="11"/>
    <x v="3"/>
    <n v="80.16"/>
    <n v="12024"/>
    <n v="3607.2"/>
    <x v="1"/>
  </r>
  <r>
    <d v="2014-12-22T00:00:00"/>
    <n v="3.34"/>
    <n v="4.68"/>
    <n v="2.2839999999999998"/>
    <n v="19.600000000000001"/>
    <n v="43"/>
    <n v="1"/>
    <n v="13"/>
    <n v="4"/>
    <x v="0"/>
    <x v="11"/>
    <x v="4"/>
    <n v="90.903999999999996"/>
    <n v="13635.599999999999"/>
    <n v="4090.6799999999994"/>
    <x v="1"/>
  </r>
  <r>
    <d v="2014-12-23T00:00:00"/>
    <n v="10.5"/>
    <n v="3"/>
    <n v="4.5999999999999996"/>
    <n v="40.4"/>
    <n v="13"/>
    <n v="2"/>
    <n v="15"/>
    <n v="0"/>
    <x v="0"/>
    <x v="11"/>
    <x v="5"/>
    <n v="88.5"/>
    <n v="13275"/>
    <n v="3982.5"/>
    <x v="1"/>
  </r>
  <r>
    <d v="2014-12-24T00:00:00"/>
    <n v="1"/>
    <n v="3"/>
    <n v="1"/>
    <n v="41.6"/>
    <n v="16"/>
    <n v="0"/>
    <n v="2"/>
    <n v="2"/>
    <x v="0"/>
    <x v="11"/>
    <x v="6"/>
    <n v="66.599999999999994"/>
    <n v="9990"/>
    <n v="2997"/>
    <x v="0"/>
  </r>
  <r>
    <d v="2014-12-25T00:00:00"/>
    <n v="8.34"/>
    <n v="2"/>
    <n v="9.5"/>
    <n v="31"/>
    <n v="16"/>
    <n v="0"/>
    <n v="2"/>
    <n v="2"/>
    <x v="0"/>
    <x v="11"/>
    <x v="0"/>
    <n v="70.84"/>
    <n v="10626"/>
    <n v="3187.7999999999997"/>
    <x v="1"/>
  </r>
  <r>
    <d v="2014-12-26T00:00:00"/>
    <n v="3.33"/>
    <n v="4.01"/>
    <n v="3"/>
    <n v="30.7"/>
    <n v="25"/>
    <n v="1"/>
    <n v="0"/>
    <n v="0"/>
    <x v="0"/>
    <x v="11"/>
    <x v="1"/>
    <n v="67.039999999999992"/>
    <n v="10055.999999999998"/>
    <n v="3016.7999999999993"/>
    <x v="1"/>
  </r>
  <r>
    <d v="2014-12-27T00:00:00"/>
    <n v="7.33"/>
    <n v="5.34"/>
    <n v="4.4000000000000004"/>
    <n v="39"/>
    <n v="26"/>
    <n v="0"/>
    <n v="9"/>
    <n v="3"/>
    <x v="0"/>
    <x v="11"/>
    <x v="2"/>
    <n v="94.07"/>
    <n v="14110.499999999998"/>
    <n v="4233.1499999999996"/>
    <x v="1"/>
  </r>
  <r>
    <d v="2014-12-28T00:00:00"/>
    <n v="2.34"/>
    <n v="10.76"/>
    <n v="3"/>
    <n v="80.400000000000006"/>
    <n v="15"/>
    <n v="0"/>
    <n v="13"/>
    <n v="1"/>
    <x v="0"/>
    <x v="11"/>
    <x v="3"/>
    <n v="125.5"/>
    <n v="18825"/>
    <n v="5647.5"/>
    <x v="1"/>
  </r>
  <r>
    <d v="2014-12-29T00:00:00"/>
    <n v="2.33"/>
    <n v="3.66"/>
    <n v="4"/>
    <n v="40"/>
    <n v="5"/>
    <n v="1"/>
    <n v="2"/>
    <n v="0"/>
    <x v="0"/>
    <x v="11"/>
    <x v="4"/>
    <n v="57.99"/>
    <n v="8698.5"/>
    <n v="2609.5499999999997"/>
    <x v="0"/>
  </r>
  <r>
    <d v="2014-12-30T00:00:00"/>
    <n v="9"/>
    <n v="5.63"/>
    <n v="3.8"/>
    <n v="51"/>
    <n v="18"/>
    <n v="0"/>
    <n v="5"/>
    <n v="2"/>
    <x v="0"/>
    <x v="11"/>
    <x v="5"/>
    <n v="94.43"/>
    <n v="14164.500000000002"/>
    <n v="4249.3500000000004"/>
    <x v="1"/>
  </r>
  <r>
    <d v="2014-12-31T00:00:00"/>
    <n v="5.67"/>
    <n v="6.33"/>
    <n v="2.5"/>
    <n v="41.08"/>
    <n v="14"/>
    <n v="3"/>
    <n v="10"/>
    <n v="1"/>
    <x v="0"/>
    <x v="11"/>
    <x v="6"/>
    <n v="83.58"/>
    <n v="12537"/>
    <n v="3761.1"/>
    <x v="1"/>
  </r>
  <r>
    <d v="2015-01-01T00:00:00"/>
    <n v="0"/>
    <n v="0"/>
    <n v="0"/>
    <n v="0"/>
    <n v="0"/>
    <n v="0"/>
    <n v="0"/>
    <n v="0"/>
    <x v="1"/>
    <x v="0"/>
    <x v="0"/>
    <n v="0"/>
    <n v="0"/>
    <n v="0"/>
    <x v="0"/>
  </r>
  <r>
    <d v="2015-01-02T00:00:00"/>
    <n v="6"/>
    <n v="5.33"/>
    <n v="4.9000000000000004"/>
    <n v="50.8"/>
    <n v="13"/>
    <n v="0"/>
    <n v="6.25"/>
    <n v="2"/>
    <x v="1"/>
    <x v="0"/>
    <x v="1"/>
    <n v="88.28"/>
    <n v="13242"/>
    <n v="3972.6"/>
    <x v="1"/>
  </r>
  <r>
    <d v="2015-01-03T00:00:00"/>
    <n v="9"/>
    <n v="4.67"/>
    <n v="6"/>
    <n v="57.24"/>
    <n v="11"/>
    <n v="3"/>
    <n v="0"/>
    <n v="4"/>
    <x v="1"/>
    <x v="0"/>
    <x v="2"/>
    <n v="94.91"/>
    <n v="14236.5"/>
    <n v="4270.95"/>
    <x v="1"/>
  </r>
  <r>
    <d v="2015-01-04T00:00:00"/>
    <n v="4.68"/>
    <n v="8.92"/>
    <n v="3.5"/>
    <n v="60.1"/>
    <n v="4"/>
    <n v="0"/>
    <n v="2"/>
    <n v="1"/>
    <x v="1"/>
    <x v="0"/>
    <x v="3"/>
    <n v="84.2"/>
    <n v="12630"/>
    <n v="3789"/>
    <x v="1"/>
  </r>
  <r>
    <d v="2015-01-05T00:00:00"/>
    <n v="2.34"/>
    <n v="3.32"/>
    <n v="1"/>
    <n v="33.6"/>
    <n v="14"/>
    <n v="0"/>
    <n v="16"/>
    <n v="3"/>
    <x v="1"/>
    <x v="0"/>
    <x v="4"/>
    <n v="73.260000000000005"/>
    <n v="10989"/>
    <n v="3296.7"/>
    <x v="1"/>
  </r>
  <r>
    <d v="2015-01-06T00:00:00"/>
    <n v="3"/>
    <n v="9.3699999999999992"/>
    <n v="7.3"/>
    <n v="42"/>
    <n v="13"/>
    <n v="0"/>
    <n v="3"/>
    <n v="0"/>
    <x v="1"/>
    <x v="0"/>
    <x v="5"/>
    <n v="77.67"/>
    <n v="11650.5"/>
    <n v="3495.15"/>
    <x v="1"/>
  </r>
  <r>
    <d v="2015-01-07T00:00:00"/>
    <n v="0"/>
    <n v="0"/>
    <n v="0"/>
    <n v="0"/>
    <n v="0"/>
    <n v="0"/>
    <n v="0"/>
    <n v="0"/>
    <x v="1"/>
    <x v="0"/>
    <x v="6"/>
    <n v="0"/>
    <n v="0"/>
    <n v="0"/>
    <x v="0"/>
  </r>
  <r>
    <d v="2015-01-08T00:00:00"/>
    <n v="2"/>
    <n v="7.077"/>
    <n v="1.2"/>
    <n v="46.4"/>
    <n v="13"/>
    <n v="1"/>
    <n v="1"/>
    <n v="2"/>
    <x v="1"/>
    <x v="0"/>
    <x v="0"/>
    <n v="73.676999999999992"/>
    <n v="11051.55"/>
    <n v="3315.4649999999997"/>
    <x v="1"/>
  </r>
  <r>
    <d v="2015-01-09T00:00:00"/>
    <n v="3"/>
    <n v="4.34"/>
    <n v="9.4"/>
    <n v="36.200000000000003"/>
    <n v="33"/>
    <n v="2"/>
    <n v="7"/>
    <n v="2"/>
    <x v="1"/>
    <x v="0"/>
    <x v="1"/>
    <n v="96.94"/>
    <n v="14541"/>
    <n v="4362.3"/>
    <x v="1"/>
  </r>
  <r>
    <d v="2015-01-10T00:00:00"/>
    <n v="6"/>
    <n v="5.8639999999999999"/>
    <n v="7"/>
    <n v="32.6"/>
    <n v="14"/>
    <n v="3"/>
    <n v="1"/>
    <n v="1"/>
    <x v="1"/>
    <x v="0"/>
    <x v="2"/>
    <n v="70.463999999999999"/>
    <n v="10569.6"/>
    <n v="3170.88"/>
    <x v="1"/>
  </r>
  <r>
    <d v="2015-01-11T00:00:00"/>
    <n v="3"/>
    <n v="7.34"/>
    <n v="7"/>
    <n v="43.6"/>
    <n v="11"/>
    <n v="1"/>
    <n v="11"/>
    <n v="2"/>
    <x v="1"/>
    <x v="0"/>
    <x v="3"/>
    <n v="85.94"/>
    <n v="12891"/>
    <n v="3867.2999999999997"/>
    <x v="1"/>
  </r>
  <r>
    <d v="2015-01-12T00:00:00"/>
    <n v="2.33"/>
    <n v="3.34"/>
    <n v="7.5"/>
    <n v="36.6"/>
    <n v="18"/>
    <n v="0"/>
    <n v="6"/>
    <n v="1"/>
    <x v="1"/>
    <x v="0"/>
    <x v="4"/>
    <n v="74.77000000000001"/>
    <n v="11215.500000000002"/>
    <n v="3364.6500000000005"/>
    <x v="1"/>
  </r>
  <r>
    <d v="2015-01-13T00:00:00"/>
    <n v="10.34"/>
    <n v="4.66"/>
    <n v="10"/>
    <n v="34"/>
    <n v="14"/>
    <n v="2"/>
    <n v="4"/>
    <n v="2"/>
    <x v="1"/>
    <x v="0"/>
    <x v="5"/>
    <n v="81"/>
    <n v="12150"/>
    <n v="3645"/>
    <x v="1"/>
  </r>
  <r>
    <d v="2015-01-14T00:00:00"/>
    <n v="3"/>
    <n v="3.34"/>
    <n v="5"/>
    <n v="23"/>
    <n v="20"/>
    <n v="0"/>
    <n v="1"/>
    <n v="0"/>
    <x v="1"/>
    <x v="0"/>
    <x v="6"/>
    <n v="55.34"/>
    <n v="8301"/>
    <n v="2490.2999999999997"/>
    <x v="0"/>
  </r>
  <r>
    <d v="2015-01-15T00:00:00"/>
    <n v="6.67"/>
    <n v="3"/>
    <n v="1"/>
    <n v="55.25"/>
    <n v="13"/>
    <n v="0"/>
    <n v="15"/>
    <n v="2"/>
    <x v="1"/>
    <x v="0"/>
    <x v="0"/>
    <n v="95.92"/>
    <n v="14388"/>
    <n v="4316.3999999999996"/>
    <x v="1"/>
  </r>
  <r>
    <d v="2015-01-16T00:00:00"/>
    <n v="6.33"/>
    <n v="5.99"/>
    <n v="3.8"/>
    <n v="43"/>
    <n v="16"/>
    <n v="2"/>
    <n v="6"/>
    <n v="2"/>
    <x v="1"/>
    <x v="0"/>
    <x v="1"/>
    <n v="85.12"/>
    <n v="12768"/>
    <n v="3830.3999999999996"/>
    <x v="1"/>
  </r>
  <r>
    <d v="2015-01-17T00:00:00"/>
    <n v="6.68"/>
    <n v="5.68"/>
    <n v="7"/>
    <n v="19.2"/>
    <n v="18"/>
    <n v="0"/>
    <n v="0"/>
    <n v="0"/>
    <x v="1"/>
    <x v="0"/>
    <x v="2"/>
    <n v="56.56"/>
    <n v="8484"/>
    <n v="2545.1999999999998"/>
    <x v="0"/>
  </r>
  <r>
    <d v="2015-01-18T00:00:00"/>
    <n v="4"/>
    <n v="4.34"/>
    <n v="4.5"/>
    <n v="20.399999999999999"/>
    <n v="16"/>
    <n v="0"/>
    <n v="0"/>
    <n v="2"/>
    <x v="1"/>
    <x v="0"/>
    <x v="3"/>
    <n v="51.239999999999995"/>
    <n v="7685.9999999999991"/>
    <n v="2305.7999999999997"/>
    <x v="0"/>
  </r>
  <r>
    <d v="2015-01-19T00:00:00"/>
    <n v="5.34"/>
    <n v="2.68"/>
    <n v="1.1000000000000001"/>
    <n v="32"/>
    <n v="12"/>
    <n v="0"/>
    <n v="20"/>
    <n v="2"/>
    <x v="1"/>
    <x v="0"/>
    <x v="4"/>
    <n v="75.12"/>
    <n v="11268"/>
    <n v="3380.4"/>
    <x v="1"/>
  </r>
  <r>
    <d v="2015-01-20T00:00:00"/>
    <n v="4.34"/>
    <n v="0.33"/>
    <n v="6"/>
    <n v="38"/>
    <n v="24"/>
    <n v="1"/>
    <n v="4"/>
    <n v="1"/>
    <x v="1"/>
    <x v="0"/>
    <x v="5"/>
    <n v="78.67"/>
    <n v="11800.5"/>
    <n v="3540.15"/>
    <x v="1"/>
  </r>
  <r>
    <d v="2015-01-21T00:00:00"/>
    <n v="4"/>
    <n v="1"/>
    <n v="2"/>
    <n v="37.450000000000003"/>
    <n v="17"/>
    <n v="1"/>
    <n v="0"/>
    <n v="1"/>
    <x v="1"/>
    <x v="0"/>
    <x v="6"/>
    <n v="63.45"/>
    <n v="9517.5"/>
    <n v="2855.25"/>
    <x v="0"/>
  </r>
  <r>
    <d v="2015-01-22T00:00:00"/>
    <n v="4"/>
    <n v="1.34"/>
    <n v="4"/>
    <n v="21.4"/>
    <n v="19"/>
    <n v="0"/>
    <n v="0"/>
    <n v="1"/>
    <x v="1"/>
    <x v="0"/>
    <x v="0"/>
    <n v="50.739999999999995"/>
    <n v="7610.9999999999991"/>
    <n v="2283.2999999999997"/>
    <x v="0"/>
  </r>
  <r>
    <d v="2015-01-23T00:00:00"/>
    <n v="3.67"/>
    <n v="4.7279999999999998"/>
    <n v="8"/>
    <n v="30"/>
    <n v="14"/>
    <n v="0"/>
    <n v="7"/>
    <n v="2"/>
    <x v="1"/>
    <x v="0"/>
    <x v="1"/>
    <n v="69.397999999999996"/>
    <n v="10409.699999999999"/>
    <n v="3122.9099999999994"/>
    <x v="1"/>
  </r>
  <r>
    <d v="2015-01-24T00:00:00"/>
    <n v="4.34"/>
    <n v="3.33"/>
    <n v="9.1999999999999993"/>
    <n v="49.7"/>
    <n v="31"/>
    <n v="0"/>
    <n v="22"/>
    <n v="1"/>
    <x v="1"/>
    <x v="0"/>
    <x v="2"/>
    <n v="120.57"/>
    <n v="18085.5"/>
    <n v="5425.65"/>
    <x v="1"/>
  </r>
  <r>
    <d v="2015-01-25T00:00:00"/>
    <n v="4"/>
    <n v="1.1299999999999999"/>
    <n v="1.9"/>
    <n v="38"/>
    <n v="11"/>
    <n v="1"/>
    <n v="5"/>
    <n v="0"/>
    <x v="1"/>
    <x v="0"/>
    <x v="3"/>
    <n v="62.03"/>
    <n v="9304.5"/>
    <n v="2791.35"/>
    <x v="0"/>
  </r>
  <r>
    <d v="2015-01-26T00:00:00"/>
    <n v="8.5"/>
    <n v="4.67"/>
    <n v="4"/>
    <n v="34.4"/>
    <n v="15"/>
    <n v="0"/>
    <n v="13"/>
    <n v="0"/>
    <x v="1"/>
    <x v="0"/>
    <x v="4"/>
    <n v="79.569999999999993"/>
    <n v="11935.499999999998"/>
    <n v="3580.6499999999992"/>
    <x v="1"/>
  </r>
  <r>
    <d v="2015-01-27T00:00:00"/>
    <n v="2.67"/>
    <n v="6.33"/>
    <n v="1"/>
    <n v="20"/>
    <n v="14"/>
    <n v="0"/>
    <n v="0"/>
    <n v="0"/>
    <x v="1"/>
    <x v="0"/>
    <x v="5"/>
    <n v="44"/>
    <n v="6600"/>
    <n v="1980"/>
    <x v="0"/>
  </r>
  <r>
    <d v="2015-01-28T00:00:00"/>
    <n v="3"/>
    <n v="5.34"/>
    <n v="3"/>
    <n v="32"/>
    <n v="18"/>
    <n v="3"/>
    <n v="5"/>
    <n v="3"/>
    <x v="1"/>
    <x v="0"/>
    <x v="6"/>
    <n v="72.34"/>
    <n v="10851"/>
    <n v="3255.2999999999997"/>
    <x v="1"/>
  </r>
  <r>
    <d v="2015-01-29T00:00:00"/>
    <n v="4.34"/>
    <n v="5.71"/>
    <n v="8.6999999999999993"/>
    <n v="24.4"/>
    <n v="16"/>
    <n v="3"/>
    <n v="11"/>
    <n v="3"/>
    <x v="1"/>
    <x v="0"/>
    <x v="0"/>
    <n v="76.150000000000006"/>
    <n v="11422.5"/>
    <n v="3426.75"/>
    <x v="1"/>
  </r>
  <r>
    <d v="2015-01-30T00:00:00"/>
    <n v="1"/>
    <n v="1.0680000000000001"/>
    <n v="1"/>
    <n v="20.5"/>
    <n v="19"/>
    <n v="1"/>
    <n v="0"/>
    <n v="0"/>
    <x v="1"/>
    <x v="0"/>
    <x v="1"/>
    <n v="43.567999999999998"/>
    <n v="6535.2"/>
    <n v="1960.56"/>
    <x v="0"/>
  </r>
  <r>
    <d v="2015-01-31T00:00:00"/>
    <n v="8.34"/>
    <n v="6.1120000000000001"/>
    <n v="5"/>
    <n v="32.4"/>
    <n v="12"/>
    <n v="0"/>
    <n v="11"/>
    <n v="2"/>
    <x v="1"/>
    <x v="0"/>
    <x v="2"/>
    <n v="76.852000000000004"/>
    <n v="11527.800000000001"/>
    <n v="3458.34"/>
    <x v="1"/>
  </r>
  <r>
    <d v="2015-02-01T00:00:00"/>
    <n v="4.34"/>
    <n v="7.35"/>
    <n v="7"/>
    <n v="35.6"/>
    <n v="7"/>
    <n v="1"/>
    <n v="0"/>
    <n v="1"/>
    <x v="1"/>
    <x v="1"/>
    <x v="3"/>
    <n v="63.29"/>
    <n v="9493.5"/>
    <n v="2848.0499999999997"/>
    <x v="0"/>
  </r>
  <r>
    <d v="2015-02-02T00:00:00"/>
    <n v="6"/>
    <n v="4"/>
    <n v="5.0999999999999996"/>
    <n v="20.9"/>
    <n v="14"/>
    <n v="0"/>
    <n v="3"/>
    <n v="2"/>
    <x v="1"/>
    <x v="1"/>
    <x v="4"/>
    <n v="55"/>
    <n v="8250"/>
    <n v="2475"/>
    <x v="0"/>
  </r>
  <r>
    <d v="2015-02-03T00:00:00"/>
    <n v="3.33"/>
    <n v="3"/>
    <n v="6.2"/>
    <n v="24.2"/>
    <n v="18"/>
    <n v="0"/>
    <n v="6"/>
    <n v="5"/>
    <x v="1"/>
    <x v="1"/>
    <x v="5"/>
    <n v="65.73"/>
    <n v="9859.5"/>
    <n v="2957.85"/>
    <x v="0"/>
  </r>
  <r>
    <d v="2015-02-04T00:00:00"/>
    <n v="2.34"/>
    <n v="2.67"/>
    <n v="2.4"/>
    <n v="38.799999999999997"/>
    <n v="6"/>
    <n v="0"/>
    <n v="12"/>
    <n v="0"/>
    <x v="1"/>
    <x v="1"/>
    <x v="6"/>
    <n v="64.209999999999994"/>
    <n v="9631.4999999999982"/>
    <n v="2889.4499999999994"/>
    <x v="0"/>
  </r>
  <r>
    <d v="2015-02-05T00:00:00"/>
    <n v="2"/>
    <n v="5.57"/>
    <n v="3"/>
    <n v="24.85"/>
    <n v="12"/>
    <n v="0"/>
    <n v="2"/>
    <n v="1"/>
    <x v="1"/>
    <x v="1"/>
    <x v="0"/>
    <n v="50.42"/>
    <n v="7563"/>
    <n v="2268.9"/>
    <x v="0"/>
  </r>
  <r>
    <d v="2015-02-06T00:00:00"/>
    <n v="3.33"/>
    <n v="3.33"/>
    <n v="7.3"/>
    <n v="23"/>
    <n v="7"/>
    <n v="1"/>
    <n v="13"/>
    <n v="1"/>
    <x v="1"/>
    <x v="1"/>
    <x v="1"/>
    <n v="58.96"/>
    <n v="8844"/>
    <n v="2653.2"/>
    <x v="0"/>
  </r>
  <r>
    <d v="2015-02-07T00:00:00"/>
    <n v="2"/>
    <n v="5"/>
    <n v="1.9"/>
    <n v="33.6"/>
    <n v="9"/>
    <n v="0"/>
    <n v="0"/>
    <n v="2"/>
    <x v="1"/>
    <x v="1"/>
    <x v="2"/>
    <n v="53.5"/>
    <n v="8025"/>
    <n v="2407.5"/>
    <x v="0"/>
  </r>
  <r>
    <d v="2015-02-08T00:00:00"/>
    <n v="1.34"/>
    <n v="7.7590000000000003"/>
    <n v="5.7"/>
    <n v="29.9"/>
    <n v="8"/>
    <n v="0"/>
    <n v="0"/>
    <n v="0"/>
    <x v="1"/>
    <x v="1"/>
    <x v="3"/>
    <n v="52.698999999999998"/>
    <n v="7904.8499999999995"/>
    <n v="2371.4549999999999"/>
    <x v="0"/>
  </r>
  <r>
    <d v="2015-02-09T00:00:00"/>
    <n v="3.33"/>
    <n v="3.54"/>
    <n v="9.6"/>
    <n v="20.7"/>
    <n v="8"/>
    <n v="1"/>
    <n v="0"/>
    <n v="1"/>
    <x v="1"/>
    <x v="1"/>
    <x v="4"/>
    <n v="47.17"/>
    <n v="7075.5"/>
    <n v="2122.65"/>
    <x v="0"/>
  </r>
  <r>
    <d v="2015-02-10T00:00:00"/>
    <n v="3.66"/>
    <n v="8.67"/>
    <n v="7"/>
    <n v="33"/>
    <n v="11"/>
    <n v="0"/>
    <n v="6"/>
    <n v="3"/>
    <x v="1"/>
    <x v="1"/>
    <x v="5"/>
    <n v="72.33"/>
    <n v="10849.5"/>
    <n v="3254.85"/>
    <x v="1"/>
  </r>
  <r>
    <d v="2015-02-11T00:00:00"/>
    <n v="3"/>
    <n v="5.14"/>
    <n v="3.6"/>
    <n v="48.5"/>
    <n v="16"/>
    <n v="0"/>
    <n v="20"/>
    <n v="2"/>
    <x v="1"/>
    <x v="1"/>
    <x v="6"/>
    <n v="98.240000000000009"/>
    <n v="14736.000000000002"/>
    <n v="4420.8"/>
    <x v="1"/>
  </r>
  <r>
    <d v="2015-02-12T00:00:00"/>
    <n v="3"/>
    <n v="4"/>
    <n v="6"/>
    <n v="23.82"/>
    <n v="11"/>
    <n v="1"/>
    <n v="5"/>
    <n v="0"/>
    <x v="1"/>
    <x v="1"/>
    <x v="0"/>
    <n v="53.82"/>
    <n v="8073"/>
    <n v="2421.9"/>
    <x v="0"/>
  </r>
  <r>
    <d v="2015-02-13T00:00:00"/>
    <n v="6.01"/>
    <n v="4.2300000000000004"/>
    <n v="7"/>
    <n v="29.6"/>
    <n v="11"/>
    <n v="1"/>
    <n v="22"/>
    <n v="1"/>
    <x v="1"/>
    <x v="1"/>
    <x v="1"/>
    <n v="81.84"/>
    <n v="12276"/>
    <n v="3682.7999999999997"/>
    <x v="1"/>
  </r>
  <r>
    <d v="2015-02-14T00:00:00"/>
    <n v="4.33"/>
    <n v="1.736"/>
    <n v="6.7"/>
    <n v="29.2"/>
    <n v="13"/>
    <n v="1"/>
    <n v="5"/>
    <n v="4"/>
    <x v="1"/>
    <x v="1"/>
    <x v="2"/>
    <n v="64.966000000000008"/>
    <n v="9744.9000000000015"/>
    <n v="2923.4700000000003"/>
    <x v="0"/>
  </r>
  <r>
    <d v="2015-02-15T00:00:00"/>
    <n v="11.68"/>
    <n v="2.33"/>
    <n v="4.3"/>
    <n v="38"/>
    <n v="7"/>
    <n v="0"/>
    <n v="7"/>
    <n v="2"/>
    <x v="1"/>
    <x v="1"/>
    <x v="3"/>
    <n v="72.31"/>
    <n v="10846.5"/>
    <n v="3253.95"/>
    <x v="1"/>
  </r>
  <r>
    <d v="2015-02-16T00:00:00"/>
    <n v="3.01"/>
    <n v="3.75"/>
    <n v="4"/>
    <n v="40.1"/>
    <n v="4"/>
    <n v="0"/>
    <n v="10"/>
    <n v="0"/>
    <x v="1"/>
    <x v="1"/>
    <x v="4"/>
    <n v="64.86"/>
    <n v="9729"/>
    <n v="2918.7"/>
    <x v="0"/>
  </r>
  <r>
    <d v="2015-02-17T00:00:00"/>
    <n v="5.33"/>
    <n v="8.6929999999999996"/>
    <n v="4"/>
    <n v="36.200000000000003"/>
    <n v="3"/>
    <n v="0"/>
    <n v="6"/>
    <n v="1"/>
    <x v="1"/>
    <x v="1"/>
    <x v="5"/>
    <n v="64.222999999999999"/>
    <n v="9633.4500000000007"/>
    <n v="2890.0350000000003"/>
    <x v="0"/>
  </r>
  <r>
    <d v="2015-02-18T00:00:00"/>
    <n v="1"/>
    <n v="2.66"/>
    <n v="1.33"/>
    <n v="36.212000000000003"/>
    <n v="4"/>
    <n v="0"/>
    <n v="11"/>
    <n v="0"/>
    <x v="1"/>
    <x v="1"/>
    <x v="6"/>
    <n v="56.202000000000005"/>
    <n v="8430.3000000000011"/>
    <n v="2529.09"/>
    <x v="0"/>
  </r>
  <r>
    <d v="2015-02-19T00:00:00"/>
    <n v="2"/>
    <n v="3.3319999999999999"/>
    <n v="4"/>
    <n v="36.700000000000003"/>
    <n v="2"/>
    <n v="2"/>
    <n v="6"/>
    <n v="3"/>
    <x v="1"/>
    <x v="1"/>
    <x v="0"/>
    <n v="59.032000000000004"/>
    <n v="8854.8000000000011"/>
    <n v="2656.44"/>
    <x v="0"/>
  </r>
  <r>
    <d v="2015-02-20T00:00:00"/>
    <n v="5.33"/>
    <n v="4.66"/>
    <n v="0.5"/>
    <n v="27"/>
    <n v="5"/>
    <n v="0"/>
    <n v="25"/>
    <n v="6"/>
    <x v="1"/>
    <x v="1"/>
    <x v="1"/>
    <n v="73.490000000000009"/>
    <n v="11023.500000000002"/>
    <n v="3307.0500000000006"/>
    <x v="1"/>
  </r>
  <r>
    <d v="2015-02-21T00:00:00"/>
    <n v="3"/>
    <n v="5.3470000000000004"/>
    <n v="4.8"/>
    <n v="57"/>
    <n v="9"/>
    <n v="0"/>
    <n v="0"/>
    <n v="3"/>
    <x v="1"/>
    <x v="1"/>
    <x v="2"/>
    <n v="82.147000000000006"/>
    <n v="12322.050000000001"/>
    <n v="3696.6150000000002"/>
    <x v="1"/>
  </r>
  <r>
    <d v="2015-02-22T00:00:00"/>
    <n v="2"/>
    <n v="4.34"/>
    <n v="2"/>
    <n v="50.6"/>
    <n v="7"/>
    <n v="0"/>
    <n v="11"/>
    <n v="1"/>
    <x v="1"/>
    <x v="1"/>
    <x v="3"/>
    <n v="77.94"/>
    <n v="11691"/>
    <n v="3507.2999999999997"/>
    <x v="1"/>
  </r>
  <r>
    <d v="2015-02-23T00:00:00"/>
    <n v="5"/>
    <n v="3.16"/>
    <n v="7.5"/>
    <n v="55.4"/>
    <n v="9"/>
    <n v="0"/>
    <n v="20"/>
    <n v="0"/>
    <x v="1"/>
    <x v="1"/>
    <x v="4"/>
    <n v="100.06"/>
    <n v="15009"/>
    <n v="4502.7"/>
    <x v="1"/>
  </r>
  <r>
    <d v="2015-02-24T00:00:00"/>
    <n v="3.68"/>
    <n v="3.34"/>
    <n v="6.2"/>
    <n v="22.07"/>
    <n v="11"/>
    <n v="0"/>
    <n v="11"/>
    <n v="2"/>
    <x v="1"/>
    <x v="1"/>
    <x v="5"/>
    <n v="59.29"/>
    <n v="8893.5"/>
    <n v="2668.0499999999997"/>
    <x v="0"/>
  </r>
  <r>
    <d v="2015-02-25T00:00:00"/>
    <n v="7"/>
    <n v="6.33"/>
    <n v="6.1"/>
    <n v="24"/>
    <n v="8"/>
    <n v="0"/>
    <n v="2"/>
    <n v="2"/>
    <x v="1"/>
    <x v="1"/>
    <x v="6"/>
    <n v="55.43"/>
    <n v="8314.5"/>
    <n v="2494.35"/>
    <x v="0"/>
  </r>
  <r>
    <d v="2015-02-26T00:00:00"/>
    <n v="6"/>
    <n v="2"/>
    <n v="2"/>
    <n v="36.700000000000003"/>
    <n v="13"/>
    <n v="0"/>
    <n v="1"/>
    <n v="1"/>
    <x v="1"/>
    <x v="1"/>
    <x v="0"/>
    <n v="61.7"/>
    <n v="9255"/>
    <n v="2776.5"/>
    <x v="0"/>
  </r>
  <r>
    <d v="2015-02-27T00:00:00"/>
    <n v="6.33"/>
    <n v="4.4729999999999999"/>
    <n v="5"/>
    <n v="51"/>
    <n v="1"/>
    <n v="1"/>
    <n v="0"/>
    <n v="0"/>
    <x v="1"/>
    <x v="1"/>
    <x v="1"/>
    <n v="68.802999999999997"/>
    <n v="10320.449999999999"/>
    <n v="3096.1349999999998"/>
    <x v="1"/>
  </r>
  <r>
    <d v="2015-02-28T00:00:00"/>
    <n v="6.34"/>
    <n v="3.33"/>
    <n v="1.6"/>
    <n v="26.6"/>
    <n v="9"/>
    <n v="0"/>
    <n v="4"/>
    <n v="3"/>
    <x v="1"/>
    <x v="1"/>
    <x v="2"/>
    <n v="53.870000000000005"/>
    <n v="8080.5000000000009"/>
    <n v="2424.15"/>
    <x v="0"/>
  </r>
  <r>
    <d v="2015-03-01T00:00:00"/>
    <n v="9"/>
    <n v="7.8929999999999998"/>
    <n v="2.7"/>
    <n v="25.9"/>
    <n v="3"/>
    <n v="4"/>
    <n v="0"/>
    <n v="4"/>
    <x v="1"/>
    <x v="2"/>
    <x v="3"/>
    <n v="56.492999999999995"/>
    <n v="8473.9499999999989"/>
    <n v="2542.1849999999995"/>
    <x v="0"/>
  </r>
  <r>
    <d v="2015-03-02T00:00:00"/>
    <n v="6.67"/>
    <n v="4.68"/>
    <n v="3.5"/>
    <n v="40.700000000000003"/>
    <n v="6"/>
    <n v="1"/>
    <n v="2"/>
    <n v="3"/>
    <x v="1"/>
    <x v="2"/>
    <x v="4"/>
    <n v="67.550000000000011"/>
    <n v="10132.500000000002"/>
    <n v="3039.7500000000005"/>
    <x v="1"/>
  </r>
  <r>
    <d v="2015-03-03T00:00:00"/>
    <n v="8"/>
    <n v="6.03"/>
    <n v="4.5"/>
    <n v="45.6"/>
    <n v="14"/>
    <n v="0"/>
    <n v="1"/>
    <n v="4"/>
    <x v="1"/>
    <x v="2"/>
    <x v="5"/>
    <n v="83.13"/>
    <n v="12469.5"/>
    <n v="3740.85"/>
    <x v="1"/>
  </r>
  <r>
    <d v="2015-03-04T00:00:00"/>
    <n v="9.68"/>
    <n v="5.67"/>
    <n v="3.3"/>
    <n v="46.85"/>
    <n v="4"/>
    <n v="0"/>
    <n v="11"/>
    <n v="1"/>
    <x v="1"/>
    <x v="2"/>
    <x v="6"/>
    <n v="81.5"/>
    <n v="12225"/>
    <n v="3667.5"/>
    <x v="1"/>
  </r>
  <r>
    <d v="2015-03-05T00:00:00"/>
    <n v="6"/>
    <n v="2.33"/>
    <n v="3"/>
    <n v="35"/>
    <n v="2"/>
    <n v="0"/>
    <n v="0"/>
    <n v="0"/>
    <x v="1"/>
    <x v="2"/>
    <x v="0"/>
    <n v="48.33"/>
    <n v="7249.5"/>
    <n v="2174.85"/>
    <x v="0"/>
  </r>
  <r>
    <d v="2015-03-06T00:00:00"/>
    <n v="2"/>
    <n v="2.67"/>
    <n v="6"/>
    <n v="19.8"/>
    <n v="4"/>
    <n v="0"/>
    <n v="1"/>
    <n v="1"/>
    <x v="1"/>
    <x v="2"/>
    <x v="1"/>
    <n v="36.47"/>
    <n v="5470.5"/>
    <n v="1641.1499999999999"/>
    <x v="0"/>
  </r>
  <r>
    <d v="2015-03-07T00:00:00"/>
    <n v="3.33"/>
    <n v="1"/>
    <n v="1"/>
    <n v="2"/>
    <n v="0"/>
    <n v="0"/>
    <n v="0"/>
    <n v="0"/>
    <x v="1"/>
    <x v="2"/>
    <x v="2"/>
    <n v="7.33"/>
    <n v="1099.5"/>
    <n v="329.84999999999997"/>
    <x v="0"/>
  </r>
  <r>
    <d v="2015-03-08T00:00:00"/>
    <n v="6"/>
    <n v="3.3969999999999998"/>
    <n v="2.4"/>
    <n v="55.4"/>
    <n v="9"/>
    <n v="0"/>
    <n v="2"/>
    <n v="1"/>
    <x v="1"/>
    <x v="2"/>
    <x v="3"/>
    <n v="79.197000000000003"/>
    <n v="11879.550000000001"/>
    <n v="3563.8650000000002"/>
    <x v="1"/>
  </r>
  <r>
    <d v="2015-03-09T00:00:00"/>
    <n v="2"/>
    <n v="3"/>
    <n v="5"/>
    <n v="32.700000000000003"/>
    <n v="10"/>
    <n v="0"/>
    <n v="1"/>
    <n v="1"/>
    <x v="1"/>
    <x v="2"/>
    <x v="4"/>
    <n v="54.7"/>
    <n v="8205"/>
    <n v="2461.5"/>
    <x v="0"/>
  </r>
  <r>
    <d v="2015-03-10T00:00:00"/>
    <n v="1.34"/>
    <n v="3.66"/>
    <n v="5"/>
    <n v="40.4"/>
    <n v="6"/>
    <n v="0"/>
    <n v="6"/>
    <n v="3"/>
    <x v="1"/>
    <x v="2"/>
    <x v="5"/>
    <n v="65.400000000000006"/>
    <n v="9810"/>
    <n v="2943"/>
    <x v="0"/>
  </r>
  <r>
    <d v="2015-03-11T00:00:00"/>
    <n v="11"/>
    <n v="5"/>
    <n v="3.2"/>
    <n v="32"/>
    <n v="9"/>
    <n v="0"/>
    <n v="4"/>
    <n v="0"/>
    <x v="1"/>
    <x v="2"/>
    <x v="6"/>
    <n v="64.2"/>
    <n v="9630"/>
    <n v="2889"/>
    <x v="0"/>
  </r>
  <r>
    <d v="2015-03-12T00:00:00"/>
    <n v="2.68"/>
    <n v="6.3869999999999996"/>
    <n v="6.1"/>
    <n v="19"/>
    <n v="5"/>
    <n v="0"/>
    <n v="2"/>
    <n v="3"/>
    <x v="1"/>
    <x v="2"/>
    <x v="0"/>
    <n v="44.167000000000002"/>
    <n v="6625.05"/>
    <n v="1987.5149999999999"/>
    <x v="0"/>
  </r>
  <r>
    <d v="2015-03-13T00:00:00"/>
    <n v="4"/>
    <n v="3.33"/>
    <n v="6.7"/>
    <n v="63.4"/>
    <n v="11"/>
    <n v="2"/>
    <n v="1"/>
    <n v="0"/>
    <x v="1"/>
    <x v="2"/>
    <x v="1"/>
    <n v="91.43"/>
    <n v="13714.500000000002"/>
    <n v="4114.3500000000004"/>
    <x v="1"/>
  </r>
  <r>
    <d v="2015-03-14T00:00:00"/>
    <n v="2.66"/>
    <n v="4.33"/>
    <n v="4"/>
    <n v="39.1"/>
    <n v="9"/>
    <n v="0"/>
    <n v="9"/>
    <n v="3"/>
    <x v="1"/>
    <x v="2"/>
    <x v="2"/>
    <n v="71.09"/>
    <n v="10663.5"/>
    <n v="3199.0499999999997"/>
    <x v="1"/>
  </r>
  <r>
    <d v="2015-03-15T00:00:00"/>
    <n v="3.34"/>
    <n v="4.16"/>
    <n v="3"/>
    <n v="41"/>
    <n v="3"/>
    <n v="0"/>
    <n v="12"/>
    <n v="3"/>
    <x v="1"/>
    <x v="2"/>
    <x v="3"/>
    <n v="69.5"/>
    <n v="10425"/>
    <n v="3127.5"/>
    <x v="1"/>
  </r>
  <r>
    <d v="2015-03-16T00:00:00"/>
    <n v="8"/>
    <n v="3.01"/>
    <n v="4.9000000000000004"/>
    <n v="46.8"/>
    <n v="8"/>
    <n v="0"/>
    <n v="0"/>
    <n v="1"/>
    <x v="1"/>
    <x v="2"/>
    <x v="4"/>
    <n v="71.709999999999994"/>
    <n v="10756.499999999998"/>
    <n v="3226.9499999999994"/>
    <x v="1"/>
  </r>
  <r>
    <d v="2015-03-17T00:00:00"/>
    <n v="5"/>
    <n v="3"/>
    <n v="4.5999999999999996"/>
    <n v="28.8"/>
    <n v="9"/>
    <n v="1"/>
    <n v="2"/>
    <n v="0"/>
    <x v="1"/>
    <x v="2"/>
    <x v="5"/>
    <n v="53.4"/>
    <n v="8010"/>
    <n v="2403"/>
    <x v="0"/>
  </r>
  <r>
    <d v="2015-03-18T00:00:00"/>
    <n v="7.33"/>
    <n v="2"/>
    <n v="5.3"/>
    <n v="24.4"/>
    <n v="5"/>
    <n v="0"/>
    <n v="20"/>
    <n v="2"/>
    <x v="1"/>
    <x v="2"/>
    <x v="6"/>
    <n v="66.03"/>
    <n v="9904.5"/>
    <n v="2971.35"/>
    <x v="0"/>
  </r>
  <r>
    <d v="2015-03-19T00:00:00"/>
    <n v="2"/>
    <n v="2.33"/>
    <n v="1.5"/>
    <n v="31"/>
    <n v="7"/>
    <n v="0"/>
    <n v="15"/>
    <n v="0"/>
    <x v="1"/>
    <x v="2"/>
    <x v="0"/>
    <n v="58.83"/>
    <n v="8824.5"/>
    <n v="2647.35"/>
    <x v="0"/>
  </r>
  <r>
    <d v="2015-03-20T00:00:00"/>
    <n v="1"/>
    <n v="7"/>
    <n v="3"/>
    <n v="38.6"/>
    <n v="13"/>
    <n v="1"/>
    <n v="5"/>
    <n v="1"/>
    <x v="1"/>
    <x v="2"/>
    <x v="1"/>
    <n v="69.599999999999994"/>
    <n v="10440"/>
    <n v="3132"/>
    <x v="1"/>
  </r>
  <r>
    <d v="2015-03-21T00:00:00"/>
    <n v="10.33"/>
    <n v="3.34"/>
    <n v="3"/>
    <n v="41.6"/>
    <n v="4"/>
    <n v="0"/>
    <n v="6"/>
    <n v="2"/>
    <x v="1"/>
    <x v="2"/>
    <x v="2"/>
    <n v="70.27000000000001"/>
    <n v="10540.500000000002"/>
    <n v="3162.1500000000005"/>
    <x v="1"/>
  </r>
  <r>
    <d v="2015-03-22T00:00:00"/>
    <n v="8.34"/>
    <n v="6.67"/>
    <n v="2"/>
    <n v="43.2"/>
    <n v="9"/>
    <n v="0"/>
    <n v="10"/>
    <n v="0"/>
    <x v="1"/>
    <x v="2"/>
    <x v="3"/>
    <n v="79.210000000000008"/>
    <n v="11881.500000000002"/>
    <n v="3564.4500000000003"/>
    <x v="1"/>
  </r>
  <r>
    <d v="2015-03-23T00:00:00"/>
    <n v="2"/>
    <n v="4.34"/>
    <n v="7"/>
    <n v="28"/>
    <n v="5"/>
    <n v="0"/>
    <n v="0"/>
    <n v="2"/>
    <x v="1"/>
    <x v="2"/>
    <x v="4"/>
    <n v="48.34"/>
    <n v="7251.0000000000009"/>
    <n v="2175.3000000000002"/>
    <x v="0"/>
  </r>
  <r>
    <d v="2015-03-24T00:00:00"/>
    <n v="4"/>
    <n v="5.4720000000000004"/>
    <n v="5.2"/>
    <n v="22.4"/>
    <n v="8"/>
    <n v="2"/>
    <n v="9"/>
    <n v="4"/>
    <x v="1"/>
    <x v="2"/>
    <x v="5"/>
    <n v="60.072000000000003"/>
    <n v="9010.8000000000011"/>
    <n v="2703.2400000000002"/>
    <x v="0"/>
  </r>
  <r>
    <d v="2015-03-25T00:00:00"/>
    <n v="3.68"/>
    <n v="8.66"/>
    <n v="6.4"/>
    <n v="17.600000000000001"/>
    <n v="10"/>
    <n v="2"/>
    <n v="13"/>
    <n v="1"/>
    <x v="1"/>
    <x v="2"/>
    <x v="6"/>
    <n v="62.34"/>
    <n v="9351"/>
    <n v="2805.2999999999997"/>
    <x v="0"/>
  </r>
  <r>
    <d v="2015-03-26T00:00:00"/>
    <n v="5"/>
    <n v="1.7470000000000001"/>
    <n v="3"/>
    <n v="51.4"/>
    <n v="10"/>
    <n v="0"/>
    <n v="6"/>
    <n v="5"/>
    <x v="1"/>
    <x v="2"/>
    <x v="0"/>
    <n v="82.146999999999991"/>
    <n v="12322.05"/>
    <n v="3696.6149999999998"/>
    <x v="1"/>
  </r>
  <r>
    <d v="2015-03-27T00:00:00"/>
    <n v="3"/>
    <n v="2.67"/>
    <n v="2"/>
    <n v="27"/>
    <n v="3"/>
    <n v="0"/>
    <n v="22"/>
    <n v="1"/>
    <x v="1"/>
    <x v="2"/>
    <x v="1"/>
    <n v="60.67"/>
    <n v="9100.5"/>
    <n v="2730.15"/>
    <x v="0"/>
  </r>
  <r>
    <d v="2015-03-28T00:00:00"/>
    <n v="1.33"/>
    <n v="3.056"/>
    <n v="3"/>
    <n v="50.5"/>
    <n v="6"/>
    <n v="0"/>
    <n v="0"/>
    <n v="2"/>
    <x v="1"/>
    <x v="2"/>
    <x v="2"/>
    <n v="65.885999999999996"/>
    <n v="9882.9"/>
    <n v="2964.87"/>
    <x v="0"/>
  </r>
  <r>
    <d v="2015-03-29T00:00:00"/>
    <n v="6"/>
    <n v="5.7270000000000003"/>
    <n v="2.2999999999999998"/>
    <n v="35.5"/>
    <n v="7"/>
    <n v="0"/>
    <n v="8"/>
    <n v="2"/>
    <x v="1"/>
    <x v="2"/>
    <x v="3"/>
    <n v="66.527000000000001"/>
    <n v="9979.0499999999993"/>
    <n v="2993.7149999999997"/>
    <x v="0"/>
  </r>
  <r>
    <d v="2015-03-30T00:00:00"/>
    <n v="6.33"/>
    <n v="4.827"/>
    <n v="10"/>
    <n v="25.7"/>
    <n v="4"/>
    <n v="0"/>
    <n v="0"/>
    <n v="0"/>
    <x v="1"/>
    <x v="2"/>
    <x v="4"/>
    <n v="50.856999999999999"/>
    <n v="7628.55"/>
    <n v="2288.5650000000001"/>
    <x v="0"/>
  </r>
  <r>
    <d v="2015-03-31T00:00:00"/>
    <n v="5"/>
    <n v="2"/>
    <n v="11.2"/>
    <n v="33.5"/>
    <n v="5"/>
    <n v="0"/>
    <n v="2"/>
    <n v="4"/>
    <x v="1"/>
    <x v="2"/>
    <x v="5"/>
    <n v="62.7"/>
    <n v="9405"/>
    <n v="2821.5"/>
    <x v="0"/>
  </r>
  <r>
    <d v="2015-04-01T00:00:00"/>
    <n v="6.34"/>
    <n v="1.33"/>
    <n v="1"/>
    <n v="24.8"/>
    <n v="7"/>
    <n v="2"/>
    <n v="5"/>
    <n v="1"/>
    <x v="1"/>
    <x v="3"/>
    <x v="6"/>
    <n v="48.47"/>
    <n v="7270.5"/>
    <n v="2181.15"/>
    <x v="0"/>
  </r>
  <r>
    <d v="2015-04-02T00:00:00"/>
    <n v="5"/>
    <n v="3.99"/>
    <n v="5.4"/>
    <n v="35.07"/>
    <n v="3"/>
    <n v="0"/>
    <n v="3"/>
    <n v="5"/>
    <x v="1"/>
    <x v="3"/>
    <x v="0"/>
    <n v="60.46"/>
    <n v="9069"/>
    <n v="2720.7"/>
    <x v="0"/>
  </r>
  <r>
    <d v="2015-04-03T00:00:00"/>
    <n v="5.33"/>
    <n v="2.3199999999999998"/>
    <n v="4"/>
    <n v="34.200000000000003"/>
    <n v="12"/>
    <n v="0"/>
    <n v="0"/>
    <n v="4"/>
    <x v="1"/>
    <x v="3"/>
    <x v="1"/>
    <n v="61.85"/>
    <n v="9277.5"/>
    <n v="2783.25"/>
    <x v="0"/>
  </r>
  <r>
    <d v="2015-04-04T00:00:00"/>
    <n v="3.67"/>
    <n v="4.33"/>
    <n v="6"/>
    <n v="43"/>
    <n v="7"/>
    <n v="1"/>
    <n v="5"/>
    <n v="6"/>
    <x v="1"/>
    <x v="3"/>
    <x v="2"/>
    <n v="76"/>
    <n v="11400"/>
    <n v="3420"/>
    <x v="1"/>
  </r>
  <r>
    <d v="2015-04-05T00:00:00"/>
    <n v="3.34"/>
    <n v="5.01"/>
    <n v="4.5"/>
    <n v="31.6"/>
    <n v="4"/>
    <n v="0"/>
    <n v="0"/>
    <n v="1"/>
    <x v="1"/>
    <x v="3"/>
    <x v="3"/>
    <n v="49.45"/>
    <n v="7417.5"/>
    <n v="2225.25"/>
    <x v="0"/>
  </r>
  <r>
    <d v="2015-04-06T00:00:00"/>
    <n v="7.33"/>
    <n v="3.33"/>
    <n v="5.3"/>
    <n v="32.9"/>
    <n v="4"/>
    <n v="0"/>
    <n v="3"/>
    <n v="2"/>
    <x v="1"/>
    <x v="3"/>
    <x v="4"/>
    <n v="57.86"/>
    <n v="8679"/>
    <n v="2603.6999999999998"/>
    <x v="0"/>
  </r>
  <r>
    <d v="2015-04-07T00:00:00"/>
    <n v="6"/>
    <n v="3.66"/>
    <n v="6.7"/>
    <n v="25"/>
    <n v="8"/>
    <n v="0"/>
    <n v="8"/>
    <n v="1"/>
    <x v="1"/>
    <x v="3"/>
    <x v="5"/>
    <n v="58.36"/>
    <n v="8754"/>
    <n v="2626.2"/>
    <x v="0"/>
  </r>
  <r>
    <d v="2015-04-08T00:00:00"/>
    <n v="4"/>
    <n v="2.33"/>
    <n v="3"/>
    <n v="18"/>
    <n v="11"/>
    <n v="0"/>
    <n v="10"/>
    <n v="4"/>
    <x v="1"/>
    <x v="3"/>
    <x v="6"/>
    <n v="52.33"/>
    <n v="7849.5"/>
    <n v="2354.85"/>
    <x v="0"/>
  </r>
  <r>
    <d v="2015-04-09T00:00:00"/>
    <n v="1.33"/>
    <n v="6"/>
    <n v="8"/>
    <n v="22.2"/>
    <n v="8"/>
    <n v="0"/>
    <n v="6"/>
    <n v="1"/>
    <x v="1"/>
    <x v="3"/>
    <x v="0"/>
    <n v="52.53"/>
    <n v="7879.5"/>
    <n v="2363.85"/>
    <x v="0"/>
  </r>
  <r>
    <d v="2015-04-10T00:00:00"/>
    <n v="9.84"/>
    <n v="6.5049999999999999"/>
    <n v="4"/>
    <n v="65.599999999999994"/>
    <n v="5"/>
    <n v="2"/>
    <n v="8"/>
    <n v="5"/>
    <x v="1"/>
    <x v="3"/>
    <x v="1"/>
    <n v="105.94499999999999"/>
    <n v="15891.749999999998"/>
    <n v="4767.5249999999996"/>
    <x v="1"/>
  </r>
  <r>
    <d v="2015-04-11T00:00:00"/>
    <n v="11.68"/>
    <n v="3"/>
    <n v="3.4"/>
    <n v="26"/>
    <n v="9"/>
    <n v="0"/>
    <n v="5"/>
    <n v="6"/>
    <x v="1"/>
    <x v="3"/>
    <x v="2"/>
    <n v="64.08"/>
    <n v="9612"/>
    <n v="2883.6"/>
    <x v="0"/>
  </r>
  <r>
    <d v="2015-04-12T00:00:00"/>
    <n v="0"/>
    <n v="0"/>
    <n v="0"/>
    <n v="0"/>
    <n v="0"/>
    <n v="0"/>
    <n v="0"/>
    <n v="0"/>
    <x v="1"/>
    <x v="3"/>
    <x v="3"/>
    <n v="0"/>
    <n v="0"/>
    <n v="0"/>
    <x v="0"/>
  </r>
  <r>
    <d v="2015-04-13T00:00:00"/>
    <n v="6.67"/>
    <n v="1.34"/>
    <n v="7"/>
    <n v="25.2"/>
    <n v="5"/>
    <n v="0"/>
    <n v="3"/>
    <n v="7"/>
    <x v="1"/>
    <x v="3"/>
    <x v="4"/>
    <n v="55.21"/>
    <n v="8281.5"/>
    <n v="2484.4499999999998"/>
    <x v="0"/>
  </r>
  <r>
    <d v="2015-04-14T00:00:00"/>
    <n v="4.66"/>
    <n v="6.01"/>
    <n v="7"/>
    <n v="41.8"/>
    <n v="5"/>
    <n v="0"/>
    <n v="5"/>
    <n v="2"/>
    <x v="1"/>
    <x v="3"/>
    <x v="5"/>
    <n v="71.47"/>
    <n v="10720.5"/>
    <n v="3216.15"/>
    <x v="1"/>
  </r>
  <r>
    <d v="2015-04-15T00:00:00"/>
    <n v="2"/>
    <n v="2.33"/>
    <n v="3"/>
    <n v="29.25"/>
    <n v="15"/>
    <n v="0"/>
    <n v="0"/>
    <n v="2"/>
    <x v="1"/>
    <x v="3"/>
    <x v="6"/>
    <n v="53.58"/>
    <n v="8037"/>
    <n v="2411.1"/>
    <x v="0"/>
  </r>
  <r>
    <d v="2015-04-16T00:00:00"/>
    <n v="2.34"/>
    <n v="1"/>
    <n v="7.2"/>
    <n v="30.6"/>
    <n v="7"/>
    <n v="0"/>
    <n v="9"/>
    <n v="4"/>
    <x v="1"/>
    <x v="3"/>
    <x v="0"/>
    <n v="61.14"/>
    <n v="9171"/>
    <n v="2751.2999999999997"/>
    <x v="0"/>
  </r>
  <r>
    <d v="2015-04-17T00:00:00"/>
    <n v="9.33"/>
    <n v="3.66"/>
    <n v="3"/>
    <n v="29.65"/>
    <n v="6"/>
    <n v="0"/>
    <n v="1"/>
    <n v="5"/>
    <x v="1"/>
    <x v="3"/>
    <x v="1"/>
    <n v="57.64"/>
    <n v="8646"/>
    <n v="2593.7999999999997"/>
    <x v="0"/>
  </r>
  <r>
    <d v="2015-04-18T00:00:00"/>
    <n v="7.33"/>
    <n v="3"/>
    <n v="1"/>
    <n v="31.3"/>
    <n v="1"/>
    <n v="0"/>
    <n v="1"/>
    <n v="4"/>
    <x v="1"/>
    <x v="3"/>
    <x v="2"/>
    <n v="48.63"/>
    <n v="7294.5"/>
    <n v="2188.35"/>
    <x v="0"/>
  </r>
  <r>
    <d v="2015-04-19T00:00:00"/>
    <n v="9.32"/>
    <n v="5.5279999999999996"/>
    <n v="3.8"/>
    <n v="36.5"/>
    <n v="3"/>
    <n v="0"/>
    <n v="0"/>
    <n v="2"/>
    <x v="1"/>
    <x v="3"/>
    <x v="3"/>
    <n v="60.147999999999996"/>
    <n v="9022.1999999999989"/>
    <n v="2706.6599999999994"/>
    <x v="0"/>
  </r>
  <r>
    <d v="2015-04-20T00:00:00"/>
    <n v="3"/>
    <n v="5.0430000000000001"/>
    <n v="3.7"/>
    <n v="38"/>
    <n v="13"/>
    <n v="0"/>
    <n v="1"/>
    <n v="3"/>
    <x v="1"/>
    <x v="3"/>
    <x v="4"/>
    <n v="66.742999999999995"/>
    <n v="10011.449999999999"/>
    <n v="3003.4349999999995"/>
    <x v="1"/>
  </r>
  <r>
    <d v="2015-04-21T00:00:00"/>
    <n v="6.33"/>
    <n v="1"/>
    <n v="2"/>
    <n v="35.200000000000003"/>
    <n v="9"/>
    <n v="0"/>
    <n v="0"/>
    <n v="6"/>
    <x v="1"/>
    <x v="3"/>
    <x v="5"/>
    <n v="59.53"/>
    <n v="8929.5"/>
    <n v="2678.85"/>
    <x v="0"/>
  </r>
  <r>
    <d v="2015-04-22T00:00:00"/>
    <n v="1.33"/>
    <n v="4.6269999999999998"/>
    <n v="3.2"/>
    <n v="32"/>
    <n v="3"/>
    <n v="0"/>
    <n v="1"/>
    <n v="2"/>
    <x v="1"/>
    <x v="3"/>
    <x v="6"/>
    <n v="47.156999999999996"/>
    <n v="7073.5499999999993"/>
    <n v="2122.0649999999996"/>
    <x v="0"/>
  </r>
  <r>
    <d v="2015-04-23T00:00:00"/>
    <n v="4"/>
    <n v="1"/>
    <n v="1"/>
    <n v="28.2"/>
    <n v="8"/>
    <n v="0"/>
    <n v="1"/>
    <n v="4"/>
    <x v="1"/>
    <x v="3"/>
    <x v="0"/>
    <n v="47.2"/>
    <n v="7080"/>
    <n v="2124"/>
    <x v="0"/>
  </r>
  <r>
    <d v="2015-04-24T00:00:00"/>
    <n v="10"/>
    <n v="1"/>
    <n v="4"/>
    <n v="30"/>
    <n v="5"/>
    <n v="0"/>
    <n v="1"/>
    <n v="5"/>
    <x v="1"/>
    <x v="3"/>
    <x v="1"/>
    <n v="56"/>
    <n v="8400"/>
    <n v="2520"/>
    <x v="0"/>
  </r>
  <r>
    <d v="2015-04-25T00:00:00"/>
    <n v="5"/>
    <n v="3.165"/>
    <n v="8"/>
    <n v="38.1"/>
    <n v="3"/>
    <n v="0"/>
    <n v="1"/>
    <n v="3"/>
    <x v="1"/>
    <x v="3"/>
    <x v="2"/>
    <n v="61.265000000000001"/>
    <n v="9189.75"/>
    <n v="2756.9249999999997"/>
    <x v="0"/>
  </r>
  <r>
    <d v="2015-04-26T00:00:00"/>
    <n v="7"/>
    <n v="6"/>
    <n v="3"/>
    <n v="37.6"/>
    <n v="5"/>
    <n v="0"/>
    <n v="1"/>
    <n v="1"/>
    <x v="1"/>
    <x v="3"/>
    <x v="3"/>
    <n v="60.6"/>
    <n v="9090"/>
    <n v="2727"/>
    <x v="0"/>
  </r>
  <r>
    <d v="2015-04-27T00:00:00"/>
    <n v="3"/>
    <n v="0.78"/>
    <n v="4"/>
    <n v="43"/>
    <n v="10"/>
    <n v="0"/>
    <n v="0"/>
    <n v="10"/>
    <x v="1"/>
    <x v="3"/>
    <x v="4"/>
    <n v="70.78"/>
    <n v="10617"/>
    <n v="3185.1"/>
    <x v="1"/>
  </r>
  <r>
    <d v="2015-04-28T00:00:00"/>
    <n v="4.33"/>
    <n v="4.67"/>
    <n v="3.1"/>
    <n v="15.2"/>
    <n v="7"/>
    <n v="0"/>
    <n v="5"/>
    <n v="6"/>
    <x v="1"/>
    <x v="3"/>
    <x v="5"/>
    <n v="45.3"/>
    <n v="6795"/>
    <n v="2038.5"/>
    <x v="0"/>
  </r>
  <r>
    <d v="2015-04-29T00:00:00"/>
    <n v="2"/>
    <n v="0.43"/>
    <n v="4.2"/>
    <n v="27.6"/>
    <n v="2"/>
    <n v="0"/>
    <n v="11"/>
    <n v="3"/>
    <x v="1"/>
    <x v="3"/>
    <x v="6"/>
    <n v="50.230000000000004"/>
    <n v="7534.5000000000009"/>
    <n v="2260.3500000000004"/>
    <x v="0"/>
  </r>
  <r>
    <d v="2015-04-30T00:00:00"/>
    <n v="3"/>
    <n v="8.7270000000000003"/>
    <n v="2.6"/>
    <n v="32.6"/>
    <n v="7"/>
    <n v="0"/>
    <n v="3"/>
    <n v="7"/>
    <x v="1"/>
    <x v="3"/>
    <x v="0"/>
    <n v="63.927"/>
    <n v="9589.0499999999993"/>
    <n v="2876.7149999999997"/>
    <x v="0"/>
  </r>
  <r>
    <d v="2015-05-01T00:00:00"/>
    <n v="5.34"/>
    <n v="1.68"/>
    <n v="4.9400000000000004"/>
    <n v="11.4"/>
    <n v="4"/>
    <n v="0"/>
    <n v="0"/>
    <n v="4.7"/>
    <x v="1"/>
    <x v="4"/>
    <x v="1"/>
    <n v="32.06"/>
    <n v="4809"/>
    <n v="1442.7"/>
    <x v="0"/>
  </r>
  <r>
    <d v="2015-05-02T00:00:00"/>
    <n v="5"/>
    <n v="3.66"/>
    <n v="3"/>
    <n v="47.8"/>
    <n v="6"/>
    <n v="2"/>
    <n v="0"/>
    <n v="5"/>
    <x v="1"/>
    <x v="4"/>
    <x v="2"/>
    <n v="72.459999999999994"/>
    <n v="10868.999999999998"/>
    <n v="3260.6999999999994"/>
    <x v="1"/>
  </r>
  <r>
    <d v="2015-05-03T00:00:00"/>
    <n v="6.67"/>
    <n v="1.0660000000000001"/>
    <n v="2.1"/>
    <n v="19.2"/>
    <n v="4"/>
    <n v="0"/>
    <n v="1"/>
    <n v="6"/>
    <x v="1"/>
    <x v="4"/>
    <x v="3"/>
    <n v="40.036000000000001"/>
    <n v="6005.4000000000005"/>
    <n v="1801.6200000000001"/>
    <x v="0"/>
  </r>
  <r>
    <d v="2015-05-04T00:00:00"/>
    <n v="4"/>
    <n v="4.7229999999999999"/>
    <n v="8.6"/>
    <n v="36"/>
    <n v="5"/>
    <n v="1"/>
    <n v="10"/>
    <n v="3.3"/>
    <x v="1"/>
    <x v="4"/>
    <x v="4"/>
    <n v="72.623000000000005"/>
    <n v="10893.45"/>
    <n v="3268.0350000000003"/>
    <x v="1"/>
  </r>
  <r>
    <d v="2015-05-05T00:00:00"/>
    <n v="3.34"/>
    <n v="3.4620000000000002"/>
    <n v="2"/>
    <n v="19"/>
    <n v="6"/>
    <n v="0"/>
    <n v="5"/>
    <n v="2.5"/>
    <x v="1"/>
    <x v="4"/>
    <x v="5"/>
    <n v="41.302"/>
    <n v="6195.3"/>
    <n v="1858.59"/>
    <x v="0"/>
  </r>
  <r>
    <d v="2015-05-06T00:00:00"/>
    <n v="4.66"/>
    <n v="6.4969999999999999"/>
    <n v="2"/>
    <n v="40.200000000000003"/>
    <n v="11"/>
    <n v="0"/>
    <n v="0"/>
    <n v="6"/>
    <x v="1"/>
    <x v="4"/>
    <x v="6"/>
    <n v="70.356999999999999"/>
    <n v="10553.55"/>
    <n v="3166.0649999999996"/>
    <x v="1"/>
  </r>
  <r>
    <d v="2015-05-07T00:00:00"/>
    <n v="2"/>
    <n v="3.34"/>
    <n v="2"/>
    <n v="21"/>
    <n v="4"/>
    <n v="1"/>
    <n v="5"/>
    <n v="10"/>
    <x v="1"/>
    <x v="4"/>
    <x v="0"/>
    <n v="48.34"/>
    <n v="7251.0000000000009"/>
    <n v="2175.3000000000002"/>
    <x v="0"/>
  </r>
  <r>
    <d v="2015-05-08T00:00:00"/>
    <n v="1"/>
    <n v="6.34"/>
    <n v="5"/>
    <n v="16"/>
    <n v="8"/>
    <n v="0"/>
    <n v="4"/>
    <n v="1"/>
    <x v="1"/>
    <x v="4"/>
    <x v="1"/>
    <n v="41.34"/>
    <n v="6201.0000000000009"/>
    <n v="1860.3000000000002"/>
    <x v="0"/>
  </r>
  <r>
    <d v="2015-05-09T00:00:00"/>
    <n v="3.66"/>
    <n v="4.34"/>
    <n v="7.4"/>
    <n v="21"/>
    <n v="11"/>
    <n v="1"/>
    <n v="1"/>
    <n v="6"/>
    <x v="1"/>
    <x v="4"/>
    <x v="2"/>
    <n v="55.4"/>
    <n v="8310"/>
    <n v="2493"/>
    <x v="0"/>
  </r>
  <r>
    <d v="2015-05-10T00:00:00"/>
    <n v="3.34"/>
    <n v="5.4269999999999996"/>
    <n v="3.8"/>
    <n v="13"/>
    <n v="3"/>
    <n v="0"/>
    <n v="1"/>
    <n v="10"/>
    <x v="1"/>
    <x v="4"/>
    <x v="3"/>
    <n v="39.567"/>
    <n v="5935.05"/>
    <n v="1780.5150000000001"/>
    <x v="0"/>
  </r>
  <r>
    <d v="2015-05-11T00:00:00"/>
    <n v="3.33"/>
    <n v="6.66"/>
    <n v="5.9"/>
    <n v="21"/>
    <n v="3"/>
    <n v="0"/>
    <n v="6"/>
    <n v="4"/>
    <x v="1"/>
    <x v="4"/>
    <x v="4"/>
    <n v="49.89"/>
    <n v="7483.5"/>
    <n v="2245.0499999999997"/>
    <x v="0"/>
  </r>
  <r>
    <d v="2015-05-12T00:00:00"/>
    <n v="7.33"/>
    <n v="1.99"/>
    <n v="8.1999999999999993"/>
    <n v="22.95"/>
    <n v="13"/>
    <n v="0"/>
    <n v="0"/>
    <n v="8"/>
    <x v="1"/>
    <x v="4"/>
    <x v="5"/>
    <n v="61.47"/>
    <n v="9220.5"/>
    <n v="2766.15"/>
    <x v="0"/>
  </r>
  <r>
    <d v="2015-05-13T00:00:00"/>
    <n v="8"/>
    <n v="3.44"/>
    <n v="9"/>
    <n v="28.4"/>
    <n v="5"/>
    <n v="0"/>
    <n v="2"/>
    <n v="4.5"/>
    <x v="1"/>
    <x v="4"/>
    <x v="6"/>
    <n v="60.339999999999996"/>
    <n v="9051"/>
    <n v="2715.2999999999997"/>
    <x v="0"/>
  </r>
  <r>
    <d v="2015-05-14T00:00:00"/>
    <n v="3"/>
    <n v="5.0670000000000002"/>
    <n v="3"/>
    <n v="14"/>
    <n v="1"/>
    <n v="0"/>
    <n v="0"/>
    <n v="5"/>
    <x v="1"/>
    <x v="4"/>
    <x v="0"/>
    <n v="31.067"/>
    <n v="4660.05"/>
    <n v="1398.0150000000001"/>
    <x v="0"/>
  </r>
  <r>
    <d v="2015-05-15T00:00:00"/>
    <n v="3.34"/>
    <n v="6.53"/>
    <n v="4.3"/>
    <n v="48.4"/>
    <n v="8"/>
    <n v="0"/>
    <n v="4"/>
    <n v="3.2"/>
    <x v="1"/>
    <x v="4"/>
    <x v="1"/>
    <n v="77.77"/>
    <n v="11665.5"/>
    <n v="3499.65"/>
    <x v="1"/>
  </r>
  <r>
    <d v="2015-05-16T00:00:00"/>
    <n v="5"/>
    <n v="4.0659999999999998"/>
    <n v="4.0999999999999996"/>
    <n v="40.4"/>
    <n v="4"/>
    <n v="0"/>
    <n v="0"/>
    <n v="4"/>
    <x v="1"/>
    <x v="4"/>
    <x v="2"/>
    <n v="61.565999999999995"/>
    <n v="9234.9"/>
    <n v="2770.47"/>
    <x v="0"/>
  </r>
  <r>
    <d v="2015-05-17T00:00:00"/>
    <n v="5"/>
    <n v="3.33"/>
    <n v="5"/>
    <n v="23.2"/>
    <n v="0"/>
    <n v="0"/>
    <n v="0"/>
    <n v="8"/>
    <x v="1"/>
    <x v="4"/>
    <x v="3"/>
    <n v="44.53"/>
    <n v="6679.5"/>
    <n v="2003.85"/>
    <x v="0"/>
  </r>
  <r>
    <d v="2015-05-18T00:00:00"/>
    <n v="7"/>
    <n v="2.7130000000000001"/>
    <n v="5.2"/>
    <n v="21.4"/>
    <n v="6"/>
    <n v="1"/>
    <n v="2"/>
    <n v="2.2000000000000002"/>
    <x v="1"/>
    <x v="4"/>
    <x v="4"/>
    <n v="47.513000000000005"/>
    <n v="7126.9500000000007"/>
    <n v="2138.085"/>
    <x v="0"/>
  </r>
  <r>
    <d v="2015-05-19T00:00:00"/>
    <n v="3"/>
    <n v="1.66"/>
    <n v="3"/>
    <n v="20"/>
    <n v="8"/>
    <n v="0"/>
    <n v="0"/>
    <n v="3"/>
    <x v="1"/>
    <x v="4"/>
    <x v="5"/>
    <n v="38.659999999999997"/>
    <n v="5798.9999999999991"/>
    <n v="1739.6999999999996"/>
    <x v="0"/>
  </r>
  <r>
    <d v="2015-05-20T00:00:00"/>
    <n v="5.67"/>
    <n v="6.4649999999999999"/>
    <n v="2"/>
    <n v="17"/>
    <n v="12"/>
    <n v="1"/>
    <n v="5"/>
    <n v="6"/>
    <x v="1"/>
    <x v="4"/>
    <x v="6"/>
    <n v="55.134999999999998"/>
    <n v="8270.25"/>
    <n v="2481.0749999999998"/>
    <x v="0"/>
  </r>
  <r>
    <d v="2015-05-21T00:00:00"/>
    <n v="6"/>
    <n v="1.9570000000000001"/>
    <n v="3"/>
    <n v="10"/>
    <n v="5"/>
    <n v="0"/>
    <n v="1"/>
    <n v="3.3"/>
    <x v="1"/>
    <x v="4"/>
    <x v="0"/>
    <n v="30.257000000000001"/>
    <n v="4538.55"/>
    <n v="1361.5650000000001"/>
    <x v="0"/>
  </r>
  <r>
    <d v="2015-05-22T00:00:00"/>
    <n v="3"/>
    <n v="0.19800000000000001"/>
    <n v="2"/>
    <n v="15"/>
    <n v="8"/>
    <n v="0"/>
    <n v="0"/>
    <n v="7"/>
    <x v="1"/>
    <x v="4"/>
    <x v="1"/>
    <n v="35.198"/>
    <n v="5279.7"/>
    <n v="1583.9099999999999"/>
    <x v="0"/>
  </r>
  <r>
    <d v="2015-05-23T00:00:00"/>
    <n v="5.68"/>
    <n v="2.69"/>
    <n v="5"/>
    <n v="23.45"/>
    <n v="10"/>
    <n v="0"/>
    <n v="2"/>
    <n v="7"/>
    <x v="1"/>
    <x v="4"/>
    <x v="2"/>
    <n v="55.82"/>
    <n v="8373"/>
    <n v="2511.9"/>
    <x v="0"/>
  </r>
  <r>
    <d v="2015-05-24T00:00:00"/>
    <n v="5.33"/>
    <n v="7.7690000000000001"/>
    <n v="3"/>
    <n v="20"/>
    <n v="5"/>
    <n v="0"/>
    <n v="0"/>
    <n v="1.3"/>
    <x v="1"/>
    <x v="4"/>
    <x v="3"/>
    <n v="42.399000000000001"/>
    <n v="6359.85"/>
    <n v="1907.9549999999999"/>
    <x v="0"/>
  </r>
  <r>
    <d v="2015-05-25T00:00:00"/>
    <n v="9.66"/>
    <n v="3.33"/>
    <n v="4"/>
    <n v="30"/>
    <n v="11"/>
    <n v="3"/>
    <n v="0"/>
    <n v="3"/>
    <x v="1"/>
    <x v="4"/>
    <x v="4"/>
    <n v="63.99"/>
    <n v="9598.5"/>
    <n v="2879.5499999999997"/>
    <x v="0"/>
  </r>
  <r>
    <d v="2015-05-26T00:00:00"/>
    <n v="7.34"/>
    <n v="3.34"/>
    <n v="4.5"/>
    <n v="27"/>
    <n v="11"/>
    <n v="0"/>
    <n v="22"/>
    <n v="10"/>
    <x v="1"/>
    <x v="4"/>
    <x v="5"/>
    <n v="85.18"/>
    <n v="12777.000000000002"/>
    <n v="3833.1000000000004"/>
    <x v="1"/>
  </r>
  <r>
    <d v="2015-05-27T00:00:00"/>
    <n v="4"/>
    <n v="2.66"/>
    <n v="2"/>
    <n v="24.2"/>
    <n v="7"/>
    <n v="0"/>
    <n v="0"/>
    <n v="1"/>
    <x v="1"/>
    <x v="4"/>
    <x v="6"/>
    <n v="40.86"/>
    <n v="6129"/>
    <n v="1838.7"/>
    <x v="0"/>
  </r>
  <r>
    <d v="2015-05-28T00:00:00"/>
    <n v="6"/>
    <n v="2.33"/>
    <n v="6.7"/>
    <n v="17.100000000000001"/>
    <n v="3"/>
    <n v="0"/>
    <n v="20"/>
    <n v="3"/>
    <x v="1"/>
    <x v="4"/>
    <x v="0"/>
    <n v="58.13"/>
    <n v="8719.5"/>
    <n v="2615.85"/>
    <x v="0"/>
  </r>
  <r>
    <d v="2015-05-29T00:00:00"/>
    <n v="6.33"/>
    <n v="5.01"/>
    <n v="3"/>
    <n v="41.8"/>
    <n v="6"/>
    <n v="0"/>
    <n v="5"/>
    <n v="3"/>
    <x v="1"/>
    <x v="4"/>
    <x v="1"/>
    <n v="70.14"/>
    <n v="10521"/>
    <n v="3156.2999999999997"/>
    <x v="1"/>
  </r>
  <r>
    <d v="2015-05-30T00:00:00"/>
    <n v="14"/>
    <n v="2.68"/>
    <n v="6"/>
    <n v="24.5"/>
    <n v="4"/>
    <n v="0"/>
    <n v="4"/>
    <n v="8"/>
    <x v="1"/>
    <x v="4"/>
    <x v="2"/>
    <n v="63.18"/>
    <n v="9477"/>
    <n v="2843.1"/>
    <x v="0"/>
  </r>
  <r>
    <d v="2015-05-31T00:00:00"/>
    <n v="3"/>
    <n v="4.6970000000000001"/>
    <n v="6.3"/>
    <n v="31.5"/>
    <n v="2"/>
    <n v="0"/>
    <n v="0"/>
    <n v="10.5"/>
    <x v="1"/>
    <x v="4"/>
    <x v="3"/>
    <n v="57.997"/>
    <n v="8699.5499999999993"/>
    <n v="2609.8649999999998"/>
    <x v="0"/>
  </r>
  <r>
    <d v="2015-06-01T00:00:00"/>
    <n v="4.66"/>
    <n v="5"/>
    <n v="2.5"/>
    <n v="23.55"/>
    <n v="12"/>
    <n v="0"/>
    <n v="2"/>
    <n v="3"/>
    <x v="1"/>
    <x v="5"/>
    <x v="4"/>
    <n v="52.71"/>
    <n v="7906.5"/>
    <n v="2371.9499999999998"/>
    <x v="0"/>
  </r>
  <r>
    <d v="2015-06-02T00:00:00"/>
    <n v="8.33"/>
    <n v="8"/>
    <n v="7.9"/>
    <n v="24"/>
    <n v="10"/>
    <n v="4"/>
    <n v="3"/>
    <n v="6"/>
    <x v="1"/>
    <x v="5"/>
    <x v="5"/>
    <n v="71.22999999999999"/>
    <n v="10684.499999999998"/>
    <n v="3205.3499999999995"/>
    <x v="1"/>
  </r>
  <r>
    <d v="2015-06-03T00:00:00"/>
    <n v="5"/>
    <n v="1.66"/>
    <n v="5.3"/>
    <n v="30"/>
    <n v="9"/>
    <n v="0"/>
    <n v="6"/>
    <n v="2"/>
    <x v="1"/>
    <x v="5"/>
    <x v="6"/>
    <n v="58.96"/>
    <n v="8844"/>
    <n v="2653.2"/>
    <x v="0"/>
  </r>
  <r>
    <d v="2015-06-04T00:00:00"/>
    <n v="2.33"/>
    <n v="4"/>
    <n v="3"/>
    <n v="20"/>
    <n v="5"/>
    <n v="0"/>
    <n v="2"/>
    <n v="2"/>
    <x v="1"/>
    <x v="5"/>
    <x v="0"/>
    <n v="38.33"/>
    <n v="5749.5"/>
    <n v="1724.85"/>
    <x v="0"/>
  </r>
  <r>
    <d v="2015-06-05T00:00:00"/>
    <n v="5"/>
    <n v="0.67"/>
    <n v="5"/>
    <n v="13"/>
    <n v="6"/>
    <n v="0"/>
    <n v="1"/>
    <n v="7"/>
    <x v="1"/>
    <x v="5"/>
    <x v="1"/>
    <n v="37.67"/>
    <n v="5650.5"/>
    <n v="1695.1499999999999"/>
    <x v="0"/>
  </r>
  <r>
    <d v="2015-06-06T00:00:00"/>
    <n v="3.68"/>
    <n v="3.68"/>
    <n v="2"/>
    <n v="16"/>
    <n v="6"/>
    <n v="0"/>
    <n v="17"/>
    <n v="2"/>
    <x v="1"/>
    <x v="5"/>
    <x v="2"/>
    <n v="50.36"/>
    <n v="7554"/>
    <n v="2266.1999999999998"/>
    <x v="0"/>
  </r>
  <r>
    <d v="2015-06-07T00:00:00"/>
    <n v="6.34"/>
    <n v="5.01"/>
    <n v="2"/>
    <n v="17"/>
    <n v="6"/>
    <n v="1"/>
    <n v="22"/>
    <n v="6"/>
    <x v="1"/>
    <x v="5"/>
    <x v="3"/>
    <n v="65.349999999999994"/>
    <n v="9802.5"/>
    <n v="2940.75"/>
    <x v="0"/>
  </r>
  <r>
    <d v="2015-06-08T00:00:00"/>
    <n v="6"/>
    <n v="5.66"/>
    <n v="2.5"/>
    <n v="31"/>
    <n v="10"/>
    <n v="1"/>
    <n v="3"/>
    <n v="7"/>
    <x v="1"/>
    <x v="5"/>
    <x v="4"/>
    <n v="66.16"/>
    <n v="9924"/>
    <n v="2977.2"/>
    <x v="0"/>
  </r>
  <r>
    <d v="2015-06-09T00:00:00"/>
    <n v="3"/>
    <n v="4"/>
    <n v="4"/>
    <n v="26.6"/>
    <n v="14"/>
    <n v="0"/>
    <n v="0"/>
    <n v="4.5999999999999996"/>
    <x v="1"/>
    <x v="5"/>
    <x v="5"/>
    <n v="56.2"/>
    <n v="8430"/>
    <n v="2529"/>
    <x v="0"/>
  </r>
  <r>
    <d v="2015-06-10T00:00:00"/>
    <n v="4.34"/>
    <n v="3.01"/>
    <n v="8"/>
    <n v="18.675999999999998"/>
    <n v="6"/>
    <n v="0"/>
    <n v="7"/>
    <n v="2"/>
    <x v="1"/>
    <x v="5"/>
    <x v="6"/>
    <n v="49.025999999999996"/>
    <n v="7353.9"/>
    <n v="2206.1699999999996"/>
    <x v="0"/>
  </r>
  <r>
    <d v="2015-06-11T00:00:00"/>
    <n v="6"/>
    <n v="2.33"/>
    <n v="5.0999999999999996"/>
    <n v="38.299999999999997"/>
    <n v="11"/>
    <n v="0"/>
    <n v="1"/>
    <n v="3"/>
    <x v="1"/>
    <x v="5"/>
    <x v="0"/>
    <n v="66.72999999999999"/>
    <n v="10009.499999999998"/>
    <n v="3002.8499999999995"/>
    <x v="1"/>
  </r>
  <r>
    <d v="2015-06-12T00:00:00"/>
    <n v="1.67"/>
    <n v="1.66"/>
    <n v="2"/>
    <n v="17.5"/>
    <n v="2"/>
    <n v="2"/>
    <n v="0"/>
    <n v="5"/>
    <x v="1"/>
    <x v="5"/>
    <x v="1"/>
    <n v="31.83"/>
    <n v="4774.5"/>
    <n v="1432.35"/>
    <x v="0"/>
  </r>
  <r>
    <d v="2015-06-13T00:00:00"/>
    <n v="2.33"/>
    <n v="4.66"/>
    <n v="7.3"/>
    <n v="21.4"/>
    <n v="6"/>
    <n v="0"/>
    <n v="12"/>
    <n v="4"/>
    <x v="1"/>
    <x v="5"/>
    <x v="2"/>
    <n v="57.69"/>
    <n v="8653.5"/>
    <n v="2596.0499999999997"/>
    <x v="0"/>
  </r>
  <r>
    <d v="2015-06-14T00:00:00"/>
    <n v="5"/>
    <n v="3.67"/>
    <n v="1.6"/>
    <n v="14"/>
    <n v="6"/>
    <n v="0"/>
    <n v="3"/>
    <n v="2"/>
    <x v="1"/>
    <x v="5"/>
    <x v="3"/>
    <n v="35.269999999999996"/>
    <n v="5290.4999999999991"/>
    <n v="1587.1499999999996"/>
    <x v="0"/>
  </r>
  <r>
    <d v="2015-06-15T00:00:00"/>
    <n v="4"/>
    <n v="3.36"/>
    <n v="5"/>
    <n v="37"/>
    <n v="9"/>
    <n v="0"/>
    <n v="6"/>
    <n v="9"/>
    <x v="1"/>
    <x v="5"/>
    <x v="4"/>
    <n v="73.36"/>
    <n v="11004"/>
    <n v="3301.2"/>
    <x v="1"/>
  </r>
  <r>
    <d v="2015-06-16T00:00:00"/>
    <n v="7"/>
    <n v="3.34"/>
    <n v="4"/>
    <n v="20"/>
    <n v="6"/>
    <n v="0"/>
    <n v="8"/>
    <n v="5"/>
    <x v="1"/>
    <x v="5"/>
    <x v="5"/>
    <n v="53.34"/>
    <n v="8001.0000000000009"/>
    <n v="2400.3000000000002"/>
    <x v="0"/>
  </r>
  <r>
    <d v="2015-06-17T00:00:00"/>
    <n v="3.66"/>
    <n v="3.32"/>
    <n v="8.66"/>
    <n v="24"/>
    <n v="10"/>
    <n v="1"/>
    <n v="20"/>
    <n v="2"/>
    <x v="1"/>
    <x v="5"/>
    <x v="6"/>
    <n v="72.64"/>
    <n v="10896"/>
    <n v="3268.7999999999997"/>
    <x v="1"/>
  </r>
  <r>
    <d v="2015-06-18T00:00:00"/>
    <n v="3"/>
    <n v="5.33"/>
    <n v="7"/>
    <n v="24.6"/>
    <n v="4"/>
    <n v="0"/>
    <n v="23"/>
    <n v="3.6"/>
    <x v="1"/>
    <x v="5"/>
    <x v="0"/>
    <n v="70.53"/>
    <n v="10579.5"/>
    <n v="3173.85"/>
    <x v="1"/>
  </r>
  <r>
    <d v="2015-06-19T00:00:00"/>
    <n v="5.33"/>
    <n v="4.01"/>
    <n v="3.1"/>
    <n v="24"/>
    <n v="13"/>
    <n v="2"/>
    <n v="10"/>
    <n v="6.3"/>
    <x v="1"/>
    <x v="5"/>
    <x v="1"/>
    <n v="67.739999999999995"/>
    <n v="10161"/>
    <n v="3048.2999999999997"/>
    <x v="1"/>
  </r>
  <r>
    <d v="2015-06-20T00:00:00"/>
    <n v="9.34"/>
    <n v="3"/>
    <n v="3"/>
    <n v="26.8"/>
    <n v="5"/>
    <n v="0"/>
    <n v="10"/>
    <n v="7"/>
    <x v="1"/>
    <x v="5"/>
    <x v="2"/>
    <n v="64.14"/>
    <n v="9621"/>
    <n v="2886.2999999999997"/>
    <x v="0"/>
  </r>
  <r>
    <d v="2015-06-21T00:00:00"/>
    <n v="9.34"/>
    <n v="0.68"/>
    <n v="5"/>
    <n v="18"/>
    <n v="5"/>
    <n v="0"/>
    <n v="6"/>
    <n v="2"/>
    <x v="1"/>
    <x v="5"/>
    <x v="3"/>
    <n v="46.019999999999996"/>
    <n v="6902.9999999999991"/>
    <n v="2070.8999999999996"/>
    <x v="0"/>
  </r>
  <r>
    <d v="2015-06-22T00:00:00"/>
    <n v="5.17"/>
    <n v="6.99"/>
    <n v="9.6"/>
    <n v="29.062000000000001"/>
    <n v="0"/>
    <n v="0"/>
    <n v="1"/>
    <n v="5"/>
    <x v="1"/>
    <x v="5"/>
    <x v="4"/>
    <n v="56.822000000000003"/>
    <n v="8523.3000000000011"/>
    <n v="2556.9900000000002"/>
    <x v="0"/>
  </r>
  <r>
    <d v="2015-06-23T00:00:00"/>
    <n v="4.67"/>
    <n v="5.67"/>
    <n v="3.5"/>
    <n v="19"/>
    <n v="7"/>
    <n v="0"/>
    <n v="5"/>
    <n v="5"/>
    <x v="1"/>
    <x v="5"/>
    <x v="5"/>
    <n v="49.84"/>
    <n v="7476.0000000000009"/>
    <n v="2242.8000000000002"/>
    <x v="0"/>
  </r>
  <r>
    <d v="2015-06-24T00:00:00"/>
    <n v="3.83"/>
    <n v="4"/>
    <n v="7"/>
    <n v="23.8"/>
    <n v="5"/>
    <n v="1"/>
    <n v="4"/>
    <n v="3"/>
    <x v="1"/>
    <x v="5"/>
    <x v="6"/>
    <n v="51.63"/>
    <n v="7744.5"/>
    <n v="2323.35"/>
    <x v="0"/>
  </r>
  <r>
    <d v="2015-06-25T00:00:00"/>
    <n v="6.33"/>
    <n v="4.34"/>
    <n v="6"/>
    <n v="24.125"/>
    <n v="4"/>
    <n v="0"/>
    <n v="0"/>
    <n v="3"/>
    <x v="1"/>
    <x v="5"/>
    <x v="0"/>
    <n v="47.795000000000002"/>
    <n v="7169.25"/>
    <n v="2150.7750000000001"/>
    <x v="0"/>
  </r>
  <r>
    <d v="2015-06-26T00:00:00"/>
    <n v="7.17"/>
    <n v="0.33"/>
    <n v="2"/>
    <n v="29"/>
    <n v="3"/>
    <n v="0"/>
    <n v="1"/>
    <n v="4"/>
    <x v="1"/>
    <x v="5"/>
    <x v="1"/>
    <n v="46.5"/>
    <n v="6975"/>
    <n v="2092.5"/>
    <x v="0"/>
  </r>
  <r>
    <d v="2015-06-27T00:00:00"/>
    <n v="7.33"/>
    <n v="3.33"/>
    <n v="6"/>
    <n v="36"/>
    <n v="10"/>
    <n v="0"/>
    <n v="1"/>
    <n v="2"/>
    <x v="1"/>
    <x v="5"/>
    <x v="2"/>
    <n v="65.66"/>
    <n v="9849"/>
    <n v="2954.7"/>
    <x v="0"/>
  </r>
  <r>
    <d v="2015-06-28T00:00:00"/>
    <n v="5.34"/>
    <n v="4.6500000000000004"/>
    <n v="7.4"/>
    <n v="12"/>
    <n v="0"/>
    <n v="0"/>
    <n v="6"/>
    <n v="6"/>
    <x v="1"/>
    <x v="5"/>
    <x v="3"/>
    <n v="41.39"/>
    <n v="6208.5"/>
    <n v="1862.55"/>
    <x v="0"/>
  </r>
  <r>
    <d v="2015-06-29T00:00:00"/>
    <n v="5.68"/>
    <n v="3.66"/>
    <n v="4"/>
    <n v="22"/>
    <n v="15"/>
    <n v="0"/>
    <n v="11"/>
    <n v="3"/>
    <x v="1"/>
    <x v="5"/>
    <x v="4"/>
    <n v="64.34"/>
    <n v="9651"/>
    <n v="2895.2999999999997"/>
    <x v="0"/>
  </r>
  <r>
    <d v="2015-06-30T00:00:00"/>
    <n v="1"/>
    <n v="4.67"/>
    <n v="6"/>
    <n v="35"/>
    <n v="12"/>
    <n v="0"/>
    <n v="2"/>
    <n v="4.3"/>
    <x v="1"/>
    <x v="5"/>
    <x v="5"/>
    <n v="64.97"/>
    <n v="9745.5"/>
    <n v="2923.65"/>
    <x v="0"/>
  </r>
  <r>
    <d v="2015-07-01T00:00:00"/>
    <n v="8.83"/>
    <n v="5.68"/>
    <n v="5.4"/>
    <n v="18.25"/>
    <n v="14"/>
    <n v="1"/>
    <n v="12"/>
    <n v="10"/>
    <x v="1"/>
    <x v="6"/>
    <x v="6"/>
    <n v="75.16"/>
    <n v="11274"/>
    <n v="3382.2"/>
    <x v="1"/>
  </r>
  <r>
    <d v="2015-07-02T00:00:00"/>
    <n v="3"/>
    <n v="2"/>
    <n v="1"/>
    <n v="23.15"/>
    <n v="3"/>
    <n v="0"/>
    <n v="1"/>
    <n v="2"/>
    <x v="1"/>
    <x v="6"/>
    <x v="0"/>
    <n v="35.15"/>
    <n v="5272.5"/>
    <n v="1581.75"/>
    <x v="0"/>
  </r>
  <r>
    <d v="2015-07-03T00:00:00"/>
    <n v="5.5"/>
    <n v="4.33"/>
    <n v="3.5"/>
    <n v="24.5"/>
    <n v="10"/>
    <n v="0"/>
    <n v="8"/>
    <n v="4"/>
    <x v="1"/>
    <x v="6"/>
    <x v="1"/>
    <n v="59.83"/>
    <n v="8974.5"/>
    <n v="2692.35"/>
    <x v="0"/>
  </r>
  <r>
    <d v="2015-07-04T00:00:00"/>
    <n v="7.35"/>
    <n v="2.34"/>
    <n v="4.2"/>
    <n v="15.2"/>
    <n v="2"/>
    <n v="0"/>
    <n v="0"/>
    <n v="3"/>
    <x v="1"/>
    <x v="6"/>
    <x v="2"/>
    <n v="34.090000000000003"/>
    <n v="5113.5000000000009"/>
    <n v="1534.0500000000002"/>
    <x v="0"/>
  </r>
  <r>
    <d v="2015-07-05T00:00:00"/>
    <n v="5"/>
    <n v="4.34"/>
    <n v="4.2"/>
    <n v="14"/>
    <n v="10"/>
    <n v="0"/>
    <n v="1"/>
    <n v="4"/>
    <x v="1"/>
    <x v="6"/>
    <x v="3"/>
    <n v="42.54"/>
    <n v="6381"/>
    <n v="1914.3"/>
    <x v="0"/>
  </r>
  <r>
    <d v="2015-07-06T00:00:00"/>
    <n v="5.5"/>
    <n v="4.68"/>
    <n v="2"/>
    <n v="20"/>
    <n v="8"/>
    <n v="0"/>
    <n v="3"/>
    <n v="3"/>
    <x v="1"/>
    <x v="6"/>
    <x v="4"/>
    <n v="46.18"/>
    <n v="6927"/>
    <n v="2078.1"/>
    <x v="0"/>
  </r>
  <r>
    <d v="2015-07-07T00:00:00"/>
    <n v="4.84"/>
    <n v="4.68"/>
    <n v="2.2999999999999998"/>
    <n v="19.600000000000001"/>
    <n v="5"/>
    <n v="0"/>
    <n v="3"/>
    <n v="7"/>
    <x v="1"/>
    <x v="6"/>
    <x v="5"/>
    <n v="46.42"/>
    <n v="6963"/>
    <n v="2088.9"/>
    <x v="0"/>
  </r>
  <r>
    <d v="2015-07-08T00:00:00"/>
    <n v="2"/>
    <n v="1.35"/>
    <n v="3"/>
    <n v="18.600000000000001"/>
    <n v="6"/>
    <n v="0"/>
    <n v="5"/>
    <n v="3"/>
    <x v="1"/>
    <x v="6"/>
    <x v="6"/>
    <n v="38.950000000000003"/>
    <n v="5842.5"/>
    <n v="1752.75"/>
    <x v="0"/>
  </r>
  <r>
    <d v="2015-07-09T00:00:00"/>
    <n v="2.34"/>
    <n v="1.67"/>
    <n v="2"/>
    <n v="32.75"/>
    <n v="4"/>
    <n v="0"/>
    <n v="0"/>
    <n v="5"/>
    <x v="1"/>
    <x v="6"/>
    <x v="0"/>
    <n v="47.76"/>
    <n v="7164"/>
    <n v="2149.1999999999998"/>
    <x v="0"/>
  </r>
  <r>
    <d v="2015-07-10T00:00:00"/>
    <n v="5.5"/>
    <n v="6.34"/>
    <n v="5"/>
    <n v="37"/>
    <n v="15"/>
    <n v="0"/>
    <n v="8"/>
    <n v="6"/>
    <x v="1"/>
    <x v="6"/>
    <x v="1"/>
    <n v="82.84"/>
    <n v="12426"/>
    <n v="3727.7999999999997"/>
    <x v="1"/>
  </r>
  <r>
    <d v="2015-07-11T00:00:00"/>
    <n v="4"/>
    <n v="2.33"/>
    <n v="4.9000000000000004"/>
    <n v="45"/>
    <n v="9"/>
    <n v="0"/>
    <n v="2"/>
    <n v="10"/>
    <x v="1"/>
    <x v="6"/>
    <x v="2"/>
    <n v="77.23"/>
    <n v="11584.5"/>
    <n v="3475.35"/>
    <x v="1"/>
  </r>
  <r>
    <d v="2015-07-12T00:00:00"/>
    <n v="6.33"/>
    <n v="5.33"/>
    <n v="5"/>
    <n v="25.3"/>
    <n v="5"/>
    <n v="0"/>
    <n v="0"/>
    <n v="6.5"/>
    <x v="1"/>
    <x v="6"/>
    <x v="3"/>
    <n v="53.46"/>
    <n v="8019"/>
    <n v="2405.6999999999998"/>
    <x v="0"/>
  </r>
  <r>
    <d v="2015-07-13T00:00:00"/>
    <n v="3.68"/>
    <n v="0.66"/>
    <n v="8"/>
    <n v="22.55"/>
    <n v="5"/>
    <n v="0"/>
    <n v="0"/>
    <n v="3"/>
    <x v="1"/>
    <x v="6"/>
    <x v="4"/>
    <n v="42.89"/>
    <n v="6433.5"/>
    <n v="1930.05"/>
    <x v="0"/>
  </r>
  <r>
    <d v="2015-07-14T00:00:00"/>
    <n v="0.34"/>
    <n v="4.33"/>
    <n v="5"/>
    <n v="14"/>
    <n v="1"/>
    <n v="0"/>
    <n v="2"/>
    <n v="2"/>
    <x v="1"/>
    <x v="6"/>
    <x v="5"/>
    <n v="28.67"/>
    <n v="4300.5"/>
    <n v="1290.1499999999999"/>
    <x v="0"/>
  </r>
  <r>
    <d v="2015-07-15T00:00:00"/>
    <n v="8.49"/>
    <n v="1.66"/>
    <n v="4"/>
    <n v="20.2"/>
    <n v="5"/>
    <n v="0"/>
    <n v="1"/>
    <n v="9"/>
    <x v="1"/>
    <x v="6"/>
    <x v="6"/>
    <n v="49.35"/>
    <n v="7402.5"/>
    <n v="2220.75"/>
    <x v="0"/>
  </r>
  <r>
    <d v="2015-07-16T00:00:00"/>
    <n v="8.34"/>
    <n v="3.33"/>
    <n v="1"/>
    <n v="18"/>
    <n v="3"/>
    <n v="0"/>
    <n v="2"/>
    <n v="4"/>
    <x v="1"/>
    <x v="6"/>
    <x v="0"/>
    <n v="39.67"/>
    <n v="5950.5"/>
    <n v="1785.1499999999999"/>
    <x v="0"/>
  </r>
  <r>
    <d v="2015-07-17T00:00:00"/>
    <n v="2.5"/>
    <n v="1.33"/>
    <n v="1"/>
    <n v="28"/>
    <n v="3"/>
    <n v="0"/>
    <n v="0"/>
    <n v="2.2999999999999998"/>
    <x v="1"/>
    <x v="6"/>
    <x v="1"/>
    <n v="38.129999999999995"/>
    <n v="5719.4999999999991"/>
    <n v="1715.8499999999997"/>
    <x v="0"/>
  </r>
  <r>
    <d v="2015-07-18T00:00:00"/>
    <n v="3.68"/>
    <n v="7.38"/>
    <n v="2"/>
    <n v="25"/>
    <n v="8"/>
    <n v="3"/>
    <n v="1"/>
    <n v="3"/>
    <x v="1"/>
    <x v="6"/>
    <x v="2"/>
    <n v="53.06"/>
    <n v="7959"/>
    <n v="2387.6999999999998"/>
    <x v="0"/>
  </r>
  <r>
    <d v="2015-07-19T00:00:00"/>
    <n v="11.68"/>
    <n v="1.68"/>
    <n v="2"/>
    <n v="15"/>
    <n v="1"/>
    <n v="0"/>
    <n v="1"/>
    <n v="3"/>
    <x v="1"/>
    <x v="6"/>
    <x v="3"/>
    <n v="35.36"/>
    <n v="5304"/>
    <n v="1591.2"/>
    <x v="0"/>
  </r>
  <r>
    <d v="2015-07-20T00:00:00"/>
    <n v="5.84"/>
    <n v="4.67"/>
    <n v="5"/>
    <n v="41"/>
    <n v="4"/>
    <n v="0"/>
    <n v="0"/>
    <n v="2"/>
    <x v="1"/>
    <x v="6"/>
    <x v="4"/>
    <n v="62.51"/>
    <n v="9376.5"/>
    <n v="2812.95"/>
    <x v="0"/>
  </r>
  <r>
    <d v="2015-07-21T00:00:00"/>
    <n v="4.68"/>
    <n v="1"/>
    <n v="3.2"/>
    <n v="14.25"/>
    <n v="7"/>
    <n v="0"/>
    <n v="1"/>
    <n v="4"/>
    <x v="1"/>
    <x v="6"/>
    <x v="5"/>
    <n v="35.129999999999995"/>
    <n v="5269.4999999999991"/>
    <n v="1580.8499999999997"/>
    <x v="0"/>
  </r>
  <r>
    <d v="2015-07-22T00:00:00"/>
    <n v="9.33"/>
    <n v="0.34"/>
    <n v="5"/>
    <n v="22"/>
    <n v="10"/>
    <n v="0"/>
    <n v="5"/>
    <n v="3"/>
    <x v="1"/>
    <x v="6"/>
    <x v="6"/>
    <n v="54.67"/>
    <n v="8200.5"/>
    <n v="2460.15"/>
    <x v="0"/>
  </r>
  <r>
    <d v="2015-07-23T00:00:00"/>
    <n v="1.5"/>
    <n v="4"/>
    <n v="3"/>
    <n v="14"/>
    <n v="3"/>
    <n v="0"/>
    <n v="0"/>
    <n v="2"/>
    <x v="1"/>
    <x v="6"/>
    <x v="0"/>
    <n v="27.5"/>
    <n v="4125"/>
    <n v="1237.5"/>
    <x v="0"/>
  </r>
  <r>
    <d v="2015-07-24T00:00:00"/>
    <n v="6"/>
    <n v="6.34"/>
    <n v="3.6"/>
    <n v="29.6"/>
    <n v="9"/>
    <n v="1"/>
    <n v="1"/>
    <n v="10"/>
    <x v="1"/>
    <x v="6"/>
    <x v="1"/>
    <n v="66.539999999999992"/>
    <n v="9980.9999999999982"/>
    <n v="2994.2999999999993"/>
    <x v="0"/>
  </r>
  <r>
    <d v="2015-07-25T00:00:00"/>
    <n v="4"/>
    <n v="4"/>
    <n v="5"/>
    <n v="22"/>
    <n v="7"/>
    <n v="1"/>
    <n v="0"/>
    <n v="4"/>
    <x v="1"/>
    <x v="6"/>
    <x v="2"/>
    <n v="47"/>
    <n v="7050"/>
    <n v="2115"/>
    <x v="0"/>
  </r>
  <r>
    <d v="2015-07-26T00:00:00"/>
    <n v="5"/>
    <n v="2.99"/>
    <n v="3"/>
    <n v="29"/>
    <n v="4"/>
    <n v="0"/>
    <n v="0"/>
    <n v="0"/>
    <x v="1"/>
    <x v="6"/>
    <x v="3"/>
    <n v="43.99"/>
    <n v="6598.5"/>
    <n v="1979.55"/>
    <x v="0"/>
  </r>
  <r>
    <d v="2015-07-27T00:00:00"/>
    <n v="7.34"/>
    <n v="3.34"/>
    <n v="7"/>
    <n v="24"/>
    <n v="9"/>
    <n v="0"/>
    <n v="0"/>
    <n v="1.5"/>
    <x v="1"/>
    <x v="6"/>
    <x v="4"/>
    <n v="52.18"/>
    <n v="7827"/>
    <n v="2348.1"/>
    <x v="0"/>
  </r>
  <r>
    <d v="2015-07-28T00:00:00"/>
    <n v="14.18"/>
    <n v="6.02"/>
    <n v="1"/>
    <n v="15.2"/>
    <n v="14"/>
    <n v="0"/>
    <n v="1"/>
    <n v="3"/>
    <x v="1"/>
    <x v="6"/>
    <x v="5"/>
    <n v="54.4"/>
    <n v="8160"/>
    <n v="2448"/>
    <x v="0"/>
  </r>
  <r>
    <d v="2015-07-29T00:00:00"/>
    <n v="10.34"/>
    <n v="3.34"/>
    <n v="4"/>
    <n v="21.378"/>
    <n v="8"/>
    <n v="0"/>
    <n v="2"/>
    <n v="1"/>
    <x v="1"/>
    <x v="6"/>
    <x v="6"/>
    <n v="50.058"/>
    <n v="7508.7"/>
    <n v="2252.6099999999997"/>
    <x v="0"/>
  </r>
  <r>
    <d v="2015-07-30T00:00:00"/>
    <n v="3"/>
    <n v="3.33"/>
    <n v="14"/>
    <n v="16.3"/>
    <n v="3"/>
    <n v="0"/>
    <n v="0"/>
    <n v="4"/>
    <x v="1"/>
    <x v="6"/>
    <x v="0"/>
    <n v="43.629999999999995"/>
    <n v="6544.4999999999991"/>
    <n v="1963.3499999999997"/>
    <x v="0"/>
  </r>
  <r>
    <d v="2015-07-31T00:00:00"/>
    <n v="5.5"/>
    <n v="9"/>
    <n v="6.2"/>
    <n v="24"/>
    <n v="8"/>
    <n v="0"/>
    <n v="0"/>
    <n v="6"/>
    <x v="1"/>
    <x v="6"/>
    <x v="1"/>
    <n v="58.7"/>
    <n v="8805"/>
    <n v="2641.5"/>
    <x v="0"/>
  </r>
  <r>
    <d v="2015-08-01T00:00:00"/>
    <n v="5"/>
    <n v="5"/>
    <n v="4"/>
    <n v="19"/>
    <n v="14"/>
    <n v="0"/>
    <n v="0"/>
    <n v="2"/>
    <x v="1"/>
    <x v="7"/>
    <x v="2"/>
    <n v="49"/>
    <n v="7350"/>
    <n v="2205"/>
    <x v="0"/>
  </r>
  <r>
    <d v="2015-08-02T00:00:00"/>
    <n v="5"/>
    <n v="6.7"/>
    <n v="4"/>
    <n v="15"/>
    <n v="9"/>
    <n v="0"/>
    <n v="0"/>
    <n v="2"/>
    <x v="1"/>
    <x v="7"/>
    <x v="3"/>
    <n v="41.7"/>
    <n v="6255"/>
    <n v="1876.5"/>
    <x v="0"/>
  </r>
  <r>
    <d v="2015-08-03T00:00:00"/>
    <n v="1.5"/>
    <n v="2.33"/>
    <n v="1.5"/>
    <n v="23"/>
    <n v="3.5"/>
    <n v="1"/>
    <n v="5"/>
    <n v="1"/>
    <x v="1"/>
    <x v="7"/>
    <x v="4"/>
    <n v="38.83"/>
    <n v="5824.5"/>
    <n v="1747.35"/>
    <x v="0"/>
  </r>
  <r>
    <d v="2015-08-04T00:00:00"/>
    <n v="6.34"/>
    <n v="2.33"/>
    <n v="3"/>
    <n v="23"/>
    <n v="5"/>
    <n v="1"/>
    <n v="0"/>
    <n v="4"/>
    <x v="1"/>
    <x v="7"/>
    <x v="5"/>
    <n v="44.67"/>
    <n v="6700.5"/>
    <n v="2010.1499999999999"/>
    <x v="0"/>
  </r>
  <r>
    <d v="2015-08-05T00:00:00"/>
    <n v="5"/>
    <n v="3.33"/>
    <n v="4.2"/>
    <n v="22.2"/>
    <n v="3.5"/>
    <n v="0"/>
    <n v="0"/>
    <n v="1"/>
    <x v="1"/>
    <x v="7"/>
    <x v="6"/>
    <n v="39.230000000000004"/>
    <n v="5884.5000000000009"/>
    <n v="1765.3500000000001"/>
    <x v="0"/>
  </r>
  <r>
    <d v="2015-08-06T00:00:00"/>
    <n v="5.33"/>
    <n v="1.67"/>
    <n v="8"/>
    <n v="35"/>
    <n v="11"/>
    <n v="0"/>
    <n v="3"/>
    <n v="2"/>
    <x v="1"/>
    <x v="7"/>
    <x v="0"/>
    <n v="66"/>
    <n v="9900"/>
    <n v="2970"/>
    <x v="0"/>
  </r>
  <r>
    <d v="2015-08-07T00:00:00"/>
    <n v="4.33"/>
    <n v="4"/>
    <n v="6"/>
    <n v="22"/>
    <n v="9"/>
    <n v="2"/>
    <n v="1"/>
    <n v="6"/>
    <x v="1"/>
    <x v="7"/>
    <x v="1"/>
    <n v="54.33"/>
    <n v="8149.5"/>
    <n v="2444.85"/>
    <x v="0"/>
  </r>
  <r>
    <d v="2015-08-08T00:00:00"/>
    <n v="6.33"/>
    <n v="5.33"/>
    <n v="7"/>
    <n v="22"/>
    <n v="5"/>
    <n v="0"/>
    <n v="0"/>
    <n v="0.7"/>
    <x v="1"/>
    <x v="7"/>
    <x v="2"/>
    <n v="46.36"/>
    <n v="6954"/>
    <n v="2086.1999999999998"/>
    <x v="0"/>
  </r>
  <r>
    <d v="2015-08-09T00:00:00"/>
    <n v="5"/>
    <n v="3.66"/>
    <n v="2"/>
    <n v="21"/>
    <n v="5"/>
    <n v="0"/>
    <n v="2"/>
    <n v="3"/>
    <x v="1"/>
    <x v="7"/>
    <x v="3"/>
    <n v="41.66"/>
    <n v="6248.9999999999991"/>
    <n v="1874.6999999999996"/>
    <x v="0"/>
  </r>
  <r>
    <d v="2015-08-10T00:00:00"/>
    <n v="3.67"/>
    <n v="5.68"/>
    <n v="4.2"/>
    <n v="29"/>
    <n v="12.5"/>
    <n v="0"/>
    <n v="1"/>
    <n v="5"/>
    <x v="1"/>
    <x v="7"/>
    <x v="4"/>
    <n v="61.05"/>
    <n v="9157.5"/>
    <n v="2747.25"/>
    <x v="0"/>
  </r>
  <r>
    <d v="2015-08-11T00:00:00"/>
    <n v="12.33"/>
    <n v="6.66"/>
    <n v="7.4"/>
    <n v="18.100000000000001"/>
    <n v="10"/>
    <n v="0"/>
    <n v="0"/>
    <n v="4"/>
    <x v="1"/>
    <x v="7"/>
    <x v="5"/>
    <n v="58.49"/>
    <n v="8773.5"/>
    <n v="2632.0499999999997"/>
    <x v="0"/>
  </r>
  <r>
    <d v="2015-08-12T00:00:00"/>
    <n v="8.67"/>
    <n v="7.6929999999999996"/>
    <n v="4"/>
    <n v="28.2"/>
    <n v="9.5"/>
    <n v="0"/>
    <n v="1"/>
    <n v="1"/>
    <x v="1"/>
    <x v="7"/>
    <x v="6"/>
    <n v="60.063000000000002"/>
    <n v="9009.4500000000007"/>
    <n v="2702.835"/>
    <x v="0"/>
  </r>
  <r>
    <d v="2015-08-13T00:00:00"/>
    <n v="8"/>
    <n v="2"/>
    <n v="6"/>
    <n v="23.437999999999999"/>
    <n v="9"/>
    <n v="0"/>
    <n v="3"/>
    <n v="3"/>
    <x v="1"/>
    <x v="7"/>
    <x v="0"/>
    <n v="54.438000000000002"/>
    <n v="8165.7000000000007"/>
    <n v="2449.71"/>
    <x v="0"/>
  </r>
  <r>
    <d v="2015-08-14T00:00:00"/>
    <n v="3"/>
    <n v="4.66"/>
    <n v="4"/>
    <n v="16.7"/>
    <n v="5"/>
    <n v="0"/>
    <n v="1"/>
    <n v="4"/>
    <x v="1"/>
    <x v="7"/>
    <x v="1"/>
    <n v="38.36"/>
    <n v="5754"/>
    <n v="1726.2"/>
    <x v="0"/>
  </r>
  <r>
    <d v="2015-08-15T00:00:00"/>
    <n v="3.34"/>
    <n v="6.34"/>
    <n v="6"/>
    <n v="35"/>
    <n v="14"/>
    <n v="1"/>
    <n v="1"/>
    <n v="1"/>
    <x v="1"/>
    <x v="7"/>
    <x v="2"/>
    <n v="67.680000000000007"/>
    <n v="10152.000000000002"/>
    <n v="3045.6000000000004"/>
    <x v="1"/>
  </r>
  <r>
    <d v="2015-08-16T00:00:00"/>
    <n v="2"/>
    <n v="4.67"/>
    <n v="2"/>
    <n v="19.25"/>
    <n v="4"/>
    <n v="2"/>
    <n v="0"/>
    <n v="2"/>
    <x v="1"/>
    <x v="7"/>
    <x v="3"/>
    <n v="35.92"/>
    <n v="5388"/>
    <n v="1616.3999999999999"/>
    <x v="0"/>
  </r>
  <r>
    <d v="2015-08-17T00:00:00"/>
    <n v="8"/>
    <n v="3"/>
    <n v="3"/>
    <n v="33"/>
    <n v="6"/>
    <n v="0"/>
    <n v="0"/>
    <n v="2"/>
    <x v="1"/>
    <x v="7"/>
    <x v="4"/>
    <n v="55"/>
    <n v="8250"/>
    <n v="2475"/>
    <x v="0"/>
  </r>
  <r>
    <d v="2015-08-18T00:00:00"/>
    <n v="6.01"/>
    <n v="2.67"/>
    <n v="3"/>
    <n v="24"/>
    <n v="16"/>
    <n v="0"/>
    <n v="3"/>
    <n v="1"/>
    <x v="1"/>
    <x v="7"/>
    <x v="5"/>
    <n v="55.68"/>
    <n v="8352"/>
    <n v="2505.6"/>
    <x v="0"/>
  </r>
  <r>
    <d v="2015-08-19T00:00:00"/>
    <n v="6.33"/>
    <n v="2.66"/>
    <n v="8"/>
    <n v="28"/>
    <n v="15"/>
    <n v="0"/>
    <n v="3"/>
    <n v="3"/>
    <x v="1"/>
    <x v="7"/>
    <x v="6"/>
    <n v="65.990000000000009"/>
    <n v="9898.5000000000018"/>
    <n v="2969.5500000000006"/>
    <x v="0"/>
  </r>
  <r>
    <d v="2015-08-20T00:00:00"/>
    <n v="3.5"/>
    <n v="3.68"/>
    <n v="5"/>
    <n v="19"/>
    <n v="6"/>
    <n v="1"/>
    <n v="0"/>
    <n v="0"/>
    <x v="1"/>
    <x v="7"/>
    <x v="0"/>
    <n v="38.18"/>
    <n v="5727"/>
    <n v="1718.1"/>
    <x v="0"/>
  </r>
  <r>
    <d v="2015-08-21T00:00:00"/>
    <n v="6"/>
    <n v="0.67"/>
    <n v="3"/>
    <n v="34"/>
    <n v="8"/>
    <n v="1"/>
    <n v="1"/>
    <n v="4"/>
    <x v="1"/>
    <x v="7"/>
    <x v="1"/>
    <n v="57.67"/>
    <n v="8650.5"/>
    <n v="2595.15"/>
    <x v="0"/>
  </r>
  <r>
    <d v="2015-08-22T00:00:00"/>
    <n v="2.34"/>
    <n v="6.7359999999999998"/>
    <n v="4"/>
    <n v="28"/>
    <n v="6"/>
    <n v="3"/>
    <n v="1"/>
    <n v="6"/>
    <x v="1"/>
    <x v="7"/>
    <x v="2"/>
    <n v="57.076000000000001"/>
    <n v="8561.4"/>
    <n v="2568.4199999999996"/>
    <x v="0"/>
  </r>
  <r>
    <d v="2015-08-23T00:00:00"/>
    <n v="8.99"/>
    <n v="5.33"/>
    <n v="3"/>
    <n v="28"/>
    <n v="8"/>
    <n v="0"/>
    <n v="2"/>
    <n v="2"/>
    <x v="1"/>
    <x v="7"/>
    <x v="3"/>
    <n v="57.32"/>
    <n v="8598"/>
    <n v="2579.4"/>
    <x v="0"/>
  </r>
  <r>
    <d v="2015-08-24T00:00:00"/>
    <n v="8.5"/>
    <n v="3.66"/>
    <n v="3.4"/>
    <n v="45.1"/>
    <n v="8"/>
    <n v="0"/>
    <n v="0"/>
    <n v="1"/>
    <x v="1"/>
    <x v="7"/>
    <x v="4"/>
    <n v="69.66"/>
    <n v="10449"/>
    <n v="3134.7"/>
    <x v="1"/>
  </r>
  <r>
    <d v="2015-08-25T00:00:00"/>
    <n v="2.34"/>
    <n v="2.67"/>
    <n v="4"/>
    <n v="23.5"/>
    <n v="20"/>
    <n v="0"/>
    <n v="1"/>
    <n v="3"/>
    <x v="1"/>
    <x v="7"/>
    <x v="5"/>
    <n v="56.51"/>
    <n v="8476.5"/>
    <n v="2542.9499999999998"/>
    <x v="0"/>
  </r>
  <r>
    <d v="2015-08-26T00:00:00"/>
    <n v="2.67"/>
    <n v="4.0199999999999996"/>
    <n v="7.3"/>
    <n v="27"/>
    <n v="7"/>
    <n v="0"/>
    <n v="1"/>
    <n v="6"/>
    <x v="1"/>
    <x v="7"/>
    <x v="6"/>
    <n v="54.989999999999995"/>
    <n v="8248.5"/>
    <n v="2474.5499999999997"/>
    <x v="0"/>
  </r>
  <r>
    <d v="2015-08-27T00:00:00"/>
    <n v="9.33"/>
    <n v="3"/>
    <n v="4.5"/>
    <n v="32"/>
    <n v="8"/>
    <n v="0"/>
    <n v="0"/>
    <n v="3"/>
    <x v="1"/>
    <x v="7"/>
    <x v="0"/>
    <n v="59.83"/>
    <n v="8974.5"/>
    <n v="2692.35"/>
    <x v="0"/>
  </r>
  <r>
    <d v="2015-08-28T00:00:00"/>
    <n v="7"/>
    <n v="8.67"/>
    <n v="1"/>
    <n v="15.1"/>
    <n v="12"/>
    <n v="0"/>
    <n v="0"/>
    <n v="3"/>
    <x v="1"/>
    <x v="7"/>
    <x v="1"/>
    <n v="46.77"/>
    <n v="7015.5000000000009"/>
    <n v="2104.65"/>
    <x v="0"/>
  </r>
  <r>
    <d v="2015-08-29T00:00:00"/>
    <n v="10.84"/>
    <n v="10.34"/>
    <n v="4"/>
    <n v="23.2"/>
    <n v="4"/>
    <n v="3"/>
    <n v="3"/>
    <n v="2"/>
    <x v="1"/>
    <x v="7"/>
    <x v="2"/>
    <n v="60.379999999999995"/>
    <n v="9057"/>
    <n v="2717.1"/>
    <x v="0"/>
  </r>
  <r>
    <d v="2015-08-30T00:00:00"/>
    <n v="11"/>
    <n v="6.02"/>
    <n v="3.5"/>
    <n v="21"/>
    <n v="3"/>
    <n v="0"/>
    <n v="6"/>
    <n v="4"/>
    <x v="1"/>
    <x v="7"/>
    <x v="3"/>
    <n v="54.519999999999996"/>
    <n v="8177.9999999999991"/>
    <n v="2453.3999999999996"/>
    <x v="0"/>
  </r>
  <r>
    <d v="2015-08-31T00:00:00"/>
    <n v="4"/>
    <n v="9.34"/>
    <n v="3.4"/>
    <n v="38"/>
    <n v="9.5"/>
    <n v="0"/>
    <n v="6"/>
    <n v="2"/>
    <x v="1"/>
    <x v="7"/>
    <x v="4"/>
    <n v="72.239999999999995"/>
    <n v="10836"/>
    <n v="3250.7999999999997"/>
    <x v="1"/>
  </r>
  <r>
    <d v="2015-09-01T00:00:00"/>
    <n v="8.18"/>
    <n v="2.84"/>
    <n v="4.4000000000000004"/>
    <n v="28.25"/>
    <n v="8"/>
    <n v="0"/>
    <n v="0"/>
    <n v="3"/>
    <x v="1"/>
    <x v="8"/>
    <x v="5"/>
    <n v="54.67"/>
    <n v="8200.5"/>
    <n v="2460.15"/>
    <x v="0"/>
  </r>
  <r>
    <d v="2015-09-02T00:00:00"/>
    <n v="5.33"/>
    <n v="7"/>
    <n v="3"/>
    <n v="31.3"/>
    <n v="9.5"/>
    <n v="0"/>
    <n v="5"/>
    <n v="5"/>
    <x v="1"/>
    <x v="8"/>
    <x v="6"/>
    <n v="66.13"/>
    <n v="9919.5"/>
    <n v="2975.85"/>
    <x v="0"/>
  </r>
  <r>
    <d v="2015-09-03T00:00:00"/>
    <n v="1.34"/>
    <n v="3.68"/>
    <n v="2.2000000000000002"/>
    <n v="19"/>
    <n v="13"/>
    <n v="0"/>
    <n v="4"/>
    <n v="2"/>
    <x v="1"/>
    <x v="8"/>
    <x v="0"/>
    <n v="45.22"/>
    <n v="6783"/>
    <n v="2034.8999999999999"/>
    <x v="0"/>
  </r>
  <r>
    <d v="2015-09-04T00:00:00"/>
    <n v="3.34"/>
    <n v="2.68"/>
    <n v="3.1"/>
    <n v="20"/>
    <n v="8"/>
    <n v="1"/>
    <n v="1"/>
    <n v="2"/>
    <x v="1"/>
    <x v="8"/>
    <x v="1"/>
    <n v="41.12"/>
    <n v="6168"/>
    <n v="1850.3999999999999"/>
    <x v="0"/>
  </r>
  <r>
    <d v="2015-09-05T00:00:00"/>
    <n v="8.83"/>
    <n v="6.01"/>
    <n v="3.2"/>
    <n v="20"/>
    <n v="10.5"/>
    <n v="1"/>
    <n v="6"/>
    <n v="4"/>
    <x v="1"/>
    <x v="8"/>
    <x v="2"/>
    <n v="59.54"/>
    <n v="8931"/>
    <n v="2679.2999999999997"/>
    <x v="0"/>
  </r>
  <r>
    <d v="2015-09-06T00:00:00"/>
    <n v="8.33"/>
    <n v="9.67"/>
    <n v="6"/>
    <n v="23.6"/>
    <n v="8"/>
    <n v="1"/>
    <n v="0"/>
    <n v="3"/>
    <x v="1"/>
    <x v="8"/>
    <x v="3"/>
    <n v="59.6"/>
    <n v="8940"/>
    <n v="2682"/>
    <x v="0"/>
  </r>
  <r>
    <d v="2015-09-07T00:00:00"/>
    <n v="4.34"/>
    <n v="6.1239999999999997"/>
    <n v="2.5"/>
    <n v="32.799999999999997"/>
    <n v="7"/>
    <n v="1"/>
    <n v="5"/>
    <n v="2"/>
    <x v="1"/>
    <x v="8"/>
    <x v="4"/>
    <n v="60.763999999999996"/>
    <n v="9114.5999999999985"/>
    <n v="2734.3799999999997"/>
    <x v="0"/>
  </r>
  <r>
    <d v="2015-09-08T00:00:00"/>
    <n v="2.67"/>
    <n v="1.6930000000000001"/>
    <n v="5"/>
    <n v="29.2"/>
    <n v="4"/>
    <n v="0"/>
    <n v="2"/>
    <n v="4"/>
    <x v="1"/>
    <x v="8"/>
    <x v="5"/>
    <n v="48.563000000000002"/>
    <n v="7284.4500000000007"/>
    <n v="2185.335"/>
    <x v="0"/>
  </r>
  <r>
    <d v="2015-09-09T00:00:00"/>
    <n v="2"/>
    <n v="3"/>
    <n v="1"/>
    <n v="34.700000000000003"/>
    <n v="8"/>
    <n v="0"/>
    <n v="2"/>
    <n v="2"/>
    <x v="1"/>
    <x v="8"/>
    <x v="6"/>
    <n v="52.7"/>
    <n v="7905"/>
    <n v="2371.5"/>
    <x v="0"/>
  </r>
  <r>
    <d v="2015-09-10T00:00:00"/>
    <n v="6"/>
    <n v="3.99"/>
    <n v="4.2"/>
    <n v="21.2"/>
    <n v="18"/>
    <n v="0"/>
    <n v="2"/>
    <n v="2"/>
    <x v="1"/>
    <x v="8"/>
    <x v="0"/>
    <n v="57.39"/>
    <n v="8608.5"/>
    <n v="2582.5499999999997"/>
    <x v="0"/>
  </r>
  <r>
    <d v="2015-09-11T00:00:00"/>
    <n v="11.33"/>
    <n v="5"/>
    <n v="9"/>
    <n v="30"/>
    <n v="9"/>
    <n v="0"/>
    <n v="2"/>
    <n v="2"/>
    <x v="1"/>
    <x v="8"/>
    <x v="1"/>
    <n v="68.33"/>
    <n v="10249.5"/>
    <n v="3074.85"/>
    <x v="1"/>
  </r>
  <r>
    <d v="2015-09-12T00:00:00"/>
    <n v="4.66"/>
    <n v="7.66"/>
    <n v="5.2"/>
    <n v="63.3"/>
    <n v="6"/>
    <n v="3"/>
    <n v="0"/>
    <n v="2"/>
    <x v="1"/>
    <x v="8"/>
    <x v="2"/>
    <n v="91.82"/>
    <n v="13772.999999999998"/>
    <n v="4131.8999999999996"/>
    <x v="1"/>
  </r>
  <r>
    <d v="2015-09-13T00:00:00"/>
    <n v="7.33"/>
    <n v="6.165"/>
    <n v="7.2"/>
    <n v="25"/>
    <n v="4"/>
    <n v="0"/>
    <n v="11"/>
    <n v="3"/>
    <x v="1"/>
    <x v="8"/>
    <x v="3"/>
    <n v="63.695"/>
    <n v="9554.25"/>
    <n v="2866.2750000000001"/>
    <x v="0"/>
  </r>
  <r>
    <d v="2015-09-14T00:00:00"/>
    <n v="4.68"/>
    <n v="5"/>
    <n v="1"/>
    <n v="31.3"/>
    <n v="14"/>
    <n v="0"/>
    <n v="0"/>
    <n v="0"/>
    <x v="1"/>
    <x v="8"/>
    <x v="4"/>
    <n v="55.980000000000004"/>
    <n v="8397"/>
    <n v="2519.1"/>
    <x v="0"/>
  </r>
  <r>
    <d v="2015-09-15T00:00:00"/>
    <n v="3.33"/>
    <n v="5.0759999999999996"/>
    <n v="4.2"/>
    <n v="23.8"/>
    <n v="7.5"/>
    <n v="0"/>
    <n v="6"/>
    <n v="5"/>
    <x v="1"/>
    <x v="8"/>
    <x v="5"/>
    <n v="54.905999999999999"/>
    <n v="8235.9"/>
    <n v="2470.77"/>
    <x v="0"/>
  </r>
  <r>
    <d v="2015-09-16T00:00:00"/>
    <n v="0.67"/>
    <n v="4.835"/>
    <n v="2.2000000000000002"/>
    <n v="16.600000000000001"/>
    <n v="6"/>
    <n v="0"/>
    <n v="2"/>
    <n v="1"/>
    <x v="1"/>
    <x v="8"/>
    <x v="6"/>
    <n v="33.305"/>
    <n v="4995.75"/>
    <n v="1498.7249999999999"/>
    <x v="0"/>
  </r>
  <r>
    <d v="2015-09-17T00:00:00"/>
    <n v="9.83"/>
    <n v="6.33"/>
    <n v="0"/>
    <n v="35.5"/>
    <n v="3"/>
    <n v="0"/>
    <n v="1"/>
    <n v="2"/>
    <x v="1"/>
    <x v="8"/>
    <x v="0"/>
    <n v="57.66"/>
    <n v="8649"/>
    <n v="2594.6999999999998"/>
    <x v="0"/>
  </r>
  <r>
    <d v="2015-09-18T00:00:00"/>
    <n v="3.34"/>
    <n v="1.33"/>
    <n v="3"/>
    <n v="16"/>
    <n v="4"/>
    <n v="0"/>
    <n v="4"/>
    <n v="3"/>
    <x v="1"/>
    <x v="8"/>
    <x v="1"/>
    <n v="34.67"/>
    <n v="5200.5"/>
    <n v="1560.1499999999999"/>
    <x v="0"/>
  </r>
  <r>
    <d v="2015-09-19T00:00:00"/>
    <n v="6.83"/>
    <n v="0.99"/>
    <n v="7"/>
    <n v="37"/>
    <n v="7"/>
    <n v="0"/>
    <n v="4"/>
    <n v="5"/>
    <x v="1"/>
    <x v="8"/>
    <x v="2"/>
    <n v="67.819999999999993"/>
    <n v="10172.999999999998"/>
    <n v="3051.8999999999992"/>
    <x v="1"/>
  </r>
  <r>
    <d v="2015-09-20T00:00:00"/>
    <n v="9.99"/>
    <n v="3.99"/>
    <n v="6.5"/>
    <n v="28.9"/>
    <n v="15"/>
    <n v="0"/>
    <n v="0"/>
    <n v="2"/>
    <x v="1"/>
    <x v="8"/>
    <x v="3"/>
    <n v="66.38"/>
    <n v="9957"/>
    <n v="2987.1"/>
    <x v="0"/>
  </r>
  <r>
    <d v="2015-09-21T00:00:00"/>
    <n v="2"/>
    <n v="10"/>
    <n v="2"/>
    <n v="46.7"/>
    <n v="6"/>
    <n v="0"/>
    <n v="0"/>
    <n v="2"/>
    <x v="1"/>
    <x v="8"/>
    <x v="4"/>
    <n v="68.7"/>
    <n v="10305"/>
    <n v="3091.5"/>
    <x v="1"/>
  </r>
  <r>
    <d v="2015-09-22T00:00:00"/>
    <n v="6.99"/>
    <n v="1.33"/>
    <n v="4"/>
    <n v="19.5"/>
    <n v="10"/>
    <n v="2"/>
    <n v="5"/>
    <n v="5"/>
    <x v="1"/>
    <x v="8"/>
    <x v="5"/>
    <n v="53.82"/>
    <n v="8073"/>
    <n v="2421.9"/>
    <x v="0"/>
  </r>
  <r>
    <d v="2015-09-23T00:00:00"/>
    <n v="6.16"/>
    <n v="4.056"/>
    <n v="3.3"/>
    <n v="34.65"/>
    <n v="7"/>
    <n v="0"/>
    <n v="2"/>
    <n v="1"/>
    <x v="1"/>
    <x v="8"/>
    <x v="6"/>
    <n v="58.165999999999997"/>
    <n v="8724.9"/>
    <n v="2617.4699999999998"/>
    <x v="0"/>
  </r>
  <r>
    <d v="2015-09-24T00:00:00"/>
    <n v="2.99"/>
    <n v="4.34"/>
    <n v="4.2"/>
    <n v="37.6"/>
    <n v="7"/>
    <n v="0"/>
    <n v="0"/>
    <n v="0"/>
    <x v="1"/>
    <x v="8"/>
    <x v="0"/>
    <n v="56.13"/>
    <n v="8419.5"/>
    <n v="2525.85"/>
    <x v="0"/>
  </r>
  <r>
    <d v="2015-09-25T00:00:00"/>
    <n v="4.83"/>
    <n v="4.9800000000000004"/>
    <n v="5.2"/>
    <n v="25.2"/>
    <n v="11"/>
    <n v="0"/>
    <n v="1"/>
    <n v="3"/>
    <x v="1"/>
    <x v="8"/>
    <x v="1"/>
    <n v="55.21"/>
    <n v="8281.5"/>
    <n v="2484.4499999999998"/>
    <x v="0"/>
  </r>
  <r>
    <d v="2015-09-26T00:00:00"/>
    <n v="12.42"/>
    <n v="3.33"/>
    <n v="2.5"/>
    <n v="33"/>
    <n v="6"/>
    <n v="1"/>
    <n v="7"/>
    <n v="2"/>
    <x v="1"/>
    <x v="8"/>
    <x v="2"/>
    <n v="67.25"/>
    <n v="10087.5"/>
    <n v="3026.25"/>
    <x v="1"/>
  </r>
  <r>
    <d v="2015-09-27T00:00:00"/>
    <n v="5.83"/>
    <n v="3"/>
    <n v="2.2999999999999998"/>
    <n v="10.425000000000001"/>
    <n v="3"/>
    <n v="1"/>
    <n v="2"/>
    <n v="1"/>
    <x v="1"/>
    <x v="8"/>
    <x v="3"/>
    <n v="28.555"/>
    <n v="4283.25"/>
    <n v="1284.9749999999999"/>
    <x v="0"/>
  </r>
  <r>
    <d v="2015-09-28T00:00:00"/>
    <n v="1"/>
    <n v="1.33"/>
    <n v="2"/>
    <n v="15.4"/>
    <n v="8"/>
    <n v="0"/>
    <n v="17"/>
    <n v="2"/>
    <x v="1"/>
    <x v="8"/>
    <x v="4"/>
    <n v="46.730000000000004"/>
    <n v="7009.5000000000009"/>
    <n v="2102.8500000000004"/>
    <x v="0"/>
  </r>
  <r>
    <d v="2015-09-29T00:00:00"/>
    <n v="6.33"/>
    <n v="4.3630000000000004"/>
    <n v="1"/>
    <n v="39.700000000000003"/>
    <n v="7"/>
    <n v="0"/>
    <n v="0"/>
    <n v="0"/>
    <x v="1"/>
    <x v="8"/>
    <x v="5"/>
    <n v="58.393000000000001"/>
    <n v="8758.9500000000007"/>
    <n v="2627.6849999999999"/>
    <x v="0"/>
  </r>
  <r>
    <d v="2015-09-30T00:00:00"/>
    <n v="5.32"/>
    <n v="4.33"/>
    <n v="4"/>
    <n v="22.5"/>
    <n v="9"/>
    <n v="0"/>
    <n v="0"/>
    <n v="1"/>
    <x v="1"/>
    <x v="8"/>
    <x v="6"/>
    <n v="46.15"/>
    <n v="6922.5"/>
    <n v="2076.75"/>
    <x v="0"/>
  </r>
  <r>
    <d v="2015-10-01T00:00:00"/>
    <n v="9.66"/>
    <n v="5.99"/>
    <n v="4"/>
    <n v="34.561999999999998"/>
    <n v="2"/>
    <n v="0"/>
    <n v="5"/>
    <n v="2"/>
    <x v="1"/>
    <x v="9"/>
    <x v="0"/>
    <n v="63.211999999999996"/>
    <n v="9481.7999999999993"/>
    <n v="2844.5399999999995"/>
    <x v="0"/>
  </r>
  <r>
    <d v="2015-10-02T00:00:00"/>
    <n v="5"/>
    <n v="4.726"/>
    <n v="4"/>
    <n v="37.299999999999997"/>
    <n v="5"/>
    <n v="0"/>
    <n v="5"/>
    <n v="1"/>
    <x v="1"/>
    <x v="9"/>
    <x v="1"/>
    <n v="62.025999999999996"/>
    <n v="9303.9"/>
    <n v="2791.1699999999996"/>
    <x v="0"/>
  </r>
  <r>
    <d v="2015-10-03T00:00:00"/>
    <n v="10.34"/>
    <n v="5.34"/>
    <n v="3"/>
    <n v="37.200000000000003"/>
    <n v="7"/>
    <n v="0"/>
    <n v="7"/>
    <n v="2"/>
    <x v="1"/>
    <x v="9"/>
    <x v="2"/>
    <n v="71.88"/>
    <n v="10782"/>
    <n v="3234.6"/>
    <x v="1"/>
  </r>
  <r>
    <d v="2015-10-04T00:00:00"/>
    <n v="7"/>
    <n v="4"/>
    <n v="4"/>
    <n v="59"/>
    <n v="3"/>
    <n v="0"/>
    <n v="16"/>
    <n v="2"/>
    <x v="1"/>
    <x v="9"/>
    <x v="3"/>
    <n v="95"/>
    <n v="14250"/>
    <n v="4275"/>
    <x v="1"/>
  </r>
  <r>
    <d v="2015-10-05T00:00:00"/>
    <n v="5"/>
    <n v="2.3730000000000002"/>
    <n v="2.2000000000000002"/>
    <n v="70.95"/>
    <n v="11"/>
    <n v="1"/>
    <n v="7"/>
    <n v="5"/>
    <x v="1"/>
    <x v="9"/>
    <x v="4"/>
    <n v="104.523"/>
    <n v="15678.449999999999"/>
    <n v="4703.5349999999999"/>
    <x v="1"/>
  </r>
  <r>
    <d v="2015-10-06T00:00:00"/>
    <n v="5.69"/>
    <n v="3.66"/>
    <n v="5.5"/>
    <n v="42.725000000000001"/>
    <n v="9"/>
    <n v="1"/>
    <n v="5"/>
    <n v="4"/>
    <x v="1"/>
    <x v="9"/>
    <x v="5"/>
    <n v="76.575000000000003"/>
    <n v="11486.25"/>
    <n v="3445.875"/>
    <x v="1"/>
  </r>
  <r>
    <d v="2015-10-07T00:00:00"/>
    <n v="7.33"/>
    <n v="2.66"/>
    <n v="6"/>
    <n v="44.3"/>
    <n v="8"/>
    <n v="0"/>
    <n v="5"/>
    <n v="2"/>
    <x v="1"/>
    <x v="9"/>
    <x v="6"/>
    <n v="75.289999999999992"/>
    <n v="11293.499999999998"/>
    <n v="3388.0499999999993"/>
    <x v="1"/>
  </r>
  <r>
    <d v="2015-10-08T00:00:00"/>
    <n v="8.82"/>
    <n v="4.33"/>
    <n v="3"/>
    <n v="30.7"/>
    <n v="5"/>
    <n v="0"/>
    <n v="20"/>
    <n v="0"/>
    <x v="1"/>
    <x v="9"/>
    <x v="0"/>
    <n v="71.849999999999994"/>
    <n v="10777.5"/>
    <n v="3233.25"/>
    <x v="1"/>
  </r>
  <r>
    <d v="2015-10-09T00:00:00"/>
    <n v="2"/>
    <n v="2.7690000000000001"/>
    <n v="7.6"/>
    <n v="28.062000000000001"/>
    <n v="13"/>
    <n v="2"/>
    <n v="10"/>
    <n v="2"/>
    <x v="1"/>
    <x v="9"/>
    <x v="1"/>
    <n v="67.430999999999997"/>
    <n v="10114.65"/>
    <n v="3034.395"/>
    <x v="1"/>
  </r>
  <r>
    <d v="2015-10-10T00:00:00"/>
    <n v="6.16"/>
    <n v="5.66"/>
    <n v="3"/>
    <n v="46.3"/>
    <n v="19.5"/>
    <n v="0"/>
    <n v="1"/>
    <n v="0"/>
    <x v="1"/>
    <x v="9"/>
    <x v="2"/>
    <n v="81.62"/>
    <n v="12243"/>
    <n v="3672.9"/>
    <x v="1"/>
  </r>
  <r>
    <d v="2015-10-11T00:00:00"/>
    <n v="10.33"/>
    <n v="2.7919999999999998"/>
    <n v="7.1"/>
    <n v="70.3"/>
    <n v="8"/>
    <n v="0"/>
    <n v="3"/>
    <n v="5"/>
    <x v="1"/>
    <x v="9"/>
    <x v="3"/>
    <n v="106.52199999999999"/>
    <n v="15978.3"/>
    <n v="4793.49"/>
    <x v="1"/>
  </r>
  <r>
    <d v="2015-10-12T00:00:00"/>
    <n v="9.66"/>
    <n v="7.33"/>
    <n v="6"/>
    <n v="68.849999999999994"/>
    <n v="12"/>
    <n v="0"/>
    <n v="5"/>
    <n v="3"/>
    <x v="1"/>
    <x v="9"/>
    <x v="4"/>
    <n v="111.84"/>
    <n v="16776"/>
    <n v="5032.8"/>
    <x v="1"/>
  </r>
  <r>
    <d v="2015-10-13T00:00:00"/>
    <n v="3.83"/>
    <n v="7"/>
    <n v="5.2"/>
    <n v="63.8"/>
    <n v="5.5"/>
    <n v="0"/>
    <n v="5"/>
    <n v="1"/>
    <x v="1"/>
    <x v="9"/>
    <x v="5"/>
    <n v="91.33"/>
    <n v="13699.5"/>
    <n v="4109.8499999999995"/>
    <x v="1"/>
  </r>
  <r>
    <d v="2015-10-14T00:00:00"/>
    <n v="4.66"/>
    <n v="7.33"/>
    <n v="3.9"/>
    <n v="38.6"/>
    <n v="7"/>
    <n v="0"/>
    <n v="0"/>
    <n v="1"/>
    <x v="1"/>
    <x v="9"/>
    <x v="6"/>
    <n v="62.49"/>
    <n v="9373.5"/>
    <n v="2812.0499999999997"/>
    <x v="0"/>
  </r>
  <r>
    <d v="2015-10-15T00:00:00"/>
    <n v="5.16"/>
    <n v="5.726"/>
    <n v="7.3"/>
    <n v="64.724000000000004"/>
    <n v="4"/>
    <n v="0"/>
    <n v="9"/>
    <n v="1"/>
    <x v="1"/>
    <x v="9"/>
    <x v="0"/>
    <n v="96.91"/>
    <n v="14536.5"/>
    <n v="4360.95"/>
    <x v="1"/>
  </r>
  <r>
    <d v="2015-10-16T00:00:00"/>
    <n v="1.67"/>
    <n v="3.33"/>
    <n v="5.2"/>
    <n v="57.3"/>
    <n v="2"/>
    <n v="0"/>
    <n v="5"/>
    <n v="1"/>
    <x v="1"/>
    <x v="9"/>
    <x v="1"/>
    <n v="75.5"/>
    <n v="11325"/>
    <n v="3397.5"/>
    <x v="1"/>
  </r>
  <r>
    <d v="2015-10-17T00:00:00"/>
    <n v="10.34"/>
    <n v="2.8370000000000002"/>
    <n v="3.4"/>
    <n v="74.3"/>
    <n v="8"/>
    <n v="0"/>
    <n v="0"/>
    <n v="1"/>
    <x v="1"/>
    <x v="9"/>
    <x v="2"/>
    <n v="99.876999999999995"/>
    <n v="14981.55"/>
    <n v="4494.4649999999992"/>
    <x v="1"/>
  </r>
  <r>
    <d v="2015-10-18T00:00:00"/>
    <n v="7.34"/>
    <n v="6.54"/>
    <n v="4.9000000000000004"/>
    <n v="55.6"/>
    <n v="3"/>
    <n v="1"/>
    <n v="8"/>
    <n v="8"/>
    <x v="1"/>
    <x v="9"/>
    <x v="3"/>
    <n v="94.38"/>
    <n v="14157"/>
    <n v="4247.0999999999995"/>
    <x v="1"/>
  </r>
  <r>
    <d v="2015-10-19T00:00:00"/>
    <n v="12"/>
    <n v="3.802"/>
    <n v="3"/>
    <n v="62.6"/>
    <n v="3"/>
    <n v="0"/>
    <n v="17"/>
    <n v="0"/>
    <x v="1"/>
    <x v="9"/>
    <x v="4"/>
    <n v="101.402"/>
    <n v="15210.3"/>
    <n v="4563.0899999999992"/>
    <x v="1"/>
  </r>
  <r>
    <d v="2015-10-20T00:00:00"/>
    <n v="3.34"/>
    <n v="1.99"/>
    <n v="2.2999999999999998"/>
    <n v="44.7"/>
    <n v="6"/>
    <n v="0"/>
    <n v="10"/>
    <n v="5"/>
    <x v="1"/>
    <x v="9"/>
    <x v="5"/>
    <n v="73.330000000000013"/>
    <n v="10999.500000000002"/>
    <n v="3299.8500000000004"/>
    <x v="1"/>
  </r>
  <r>
    <d v="2015-10-21T00:00:00"/>
    <n v="8.66"/>
    <n v="2.363"/>
    <n v="3.2"/>
    <n v="36.799999999999997"/>
    <n v="9"/>
    <n v="1"/>
    <n v="1"/>
    <n v="4"/>
    <x v="1"/>
    <x v="9"/>
    <x v="6"/>
    <n v="66.022999999999996"/>
    <n v="9903.4499999999989"/>
    <n v="2971.0349999999994"/>
    <x v="0"/>
  </r>
  <r>
    <d v="2015-10-22T00:00:00"/>
    <n v="4.33"/>
    <n v="0.34"/>
    <n v="0"/>
    <n v="35.262"/>
    <n v="9"/>
    <n v="0"/>
    <n v="2"/>
    <n v="2"/>
    <x v="1"/>
    <x v="9"/>
    <x v="0"/>
    <n v="52.932000000000002"/>
    <n v="7939.8"/>
    <n v="2381.94"/>
    <x v="0"/>
  </r>
  <r>
    <d v="2015-10-23T00:00:00"/>
    <n v="7"/>
    <n v="1.66"/>
    <n v="10.199999999999999"/>
    <n v="41.4"/>
    <n v="3"/>
    <n v="0"/>
    <n v="6"/>
    <n v="2"/>
    <x v="1"/>
    <x v="9"/>
    <x v="1"/>
    <n v="71.259999999999991"/>
    <n v="10688.999999999998"/>
    <n v="3206.6999999999994"/>
    <x v="1"/>
  </r>
  <r>
    <d v="2015-10-24T00:00:00"/>
    <n v="9.84"/>
    <n v="8.35"/>
    <n v="9.1"/>
    <n v="67.400000000000006"/>
    <n v="8"/>
    <n v="0"/>
    <n v="4"/>
    <n v="2"/>
    <x v="1"/>
    <x v="9"/>
    <x v="2"/>
    <n v="108.69"/>
    <n v="16303.5"/>
    <n v="4891.05"/>
    <x v="1"/>
  </r>
  <r>
    <d v="2015-10-25T00:00:00"/>
    <n v="3"/>
    <n v="3.33"/>
    <n v="3.1"/>
    <n v="64.599999999999994"/>
    <n v="4"/>
    <n v="0"/>
    <n v="0"/>
    <n v="4"/>
    <x v="1"/>
    <x v="9"/>
    <x v="3"/>
    <n v="82.03"/>
    <n v="12304.5"/>
    <n v="3691.35"/>
    <x v="1"/>
  </r>
  <r>
    <d v="2015-10-26T00:00:00"/>
    <n v="9"/>
    <n v="5.33"/>
    <n v="8"/>
    <n v="53.3"/>
    <n v="8"/>
    <n v="1"/>
    <n v="2"/>
    <n v="2"/>
    <x v="1"/>
    <x v="9"/>
    <x v="4"/>
    <n v="88.63"/>
    <n v="13294.5"/>
    <n v="3988.35"/>
    <x v="1"/>
  </r>
  <r>
    <d v="2015-10-27T00:00:00"/>
    <n v="4.33"/>
    <n v="2"/>
    <n v="8.5"/>
    <n v="64.400000000000006"/>
    <n v="7"/>
    <n v="0"/>
    <n v="8"/>
    <n v="3"/>
    <x v="1"/>
    <x v="9"/>
    <x v="5"/>
    <n v="97.23"/>
    <n v="14584.5"/>
    <n v="4375.3499999999995"/>
    <x v="1"/>
  </r>
  <r>
    <d v="2015-10-28T00:00:00"/>
    <n v="1"/>
    <n v="1.66"/>
    <n v="1"/>
    <n v="33"/>
    <n v="11"/>
    <n v="1"/>
    <n v="6"/>
    <n v="2"/>
    <x v="1"/>
    <x v="9"/>
    <x v="6"/>
    <n v="56.66"/>
    <n v="8499"/>
    <n v="2549.6999999999998"/>
    <x v="0"/>
  </r>
  <r>
    <d v="2015-10-29T00:00:00"/>
    <n v="2.33"/>
    <n v="3.6930000000000001"/>
    <n v="1.3"/>
    <n v="38.299999999999997"/>
    <n v="8"/>
    <n v="0"/>
    <n v="0"/>
    <n v="1"/>
    <x v="1"/>
    <x v="9"/>
    <x v="0"/>
    <n v="54.622999999999998"/>
    <n v="8193.4499999999989"/>
    <n v="2458.0349999999994"/>
    <x v="0"/>
  </r>
  <r>
    <d v="2015-10-30T00:00:00"/>
    <n v="5.33"/>
    <n v="3.67"/>
    <n v="3.2"/>
    <n v="49.6"/>
    <n v="8"/>
    <n v="0"/>
    <n v="5"/>
    <n v="3"/>
    <x v="1"/>
    <x v="9"/>
    <x v="1"/>
    <n v="77.8"/>
    <n v="11670"/>
    <n v="3501"/>
    <x v="1"/>
  </r>
  <r>
    <d v="2015-10-31T00:00:00"/>
    <n v="5.66"/>
    <n v="4.6500000000000004"/>
    <n v="8"/>
    <n v="58.4"/>
    <n v="6"/>
    <n v="0"/>
    <n v="7"/>
    <n v="1"/>
    <x v="1"/>
    <x v="9"/>
    <x v="2"/>
    <n v="90.710000000000008"/>
    <n v="13606.500000000002"/>
    <n v="4081.9500000000003"/>
    <x v="1"/>
  </r>
  <r>
    <d v="2015-11-01T00:00:00"/>
    <n v="2.33"/>
    <n v="7.99"/>
    <n v="5.6"/>
    <n v="80.400000000000006"/>
    <n v="11"/>
    <n v="0"/>
    <n v="5"/>
    <n v="0"/>
    <x v="1"/>
    <x v="10"/>
    <x v="3"/>
    <n v="112.32000000000001"/>
    <n v="16848"/>
    <n v="5054.3999999999996"/>
    <x v="1"/>
  </r>
  <r>
    <d v="2015-11-02T00:00:00"/>
    <n v="4.66"/>
    <n v="4.33"/>
    <n v="4"/>
    <n v="46.3"/>
    <n v="7"/>
    <n v="0"/>
    <n v="7"/>
    <n v="2"/>
    <x v="1"/>
    <x v="10"/>
    <x v="4"/>
    <n v="75.289999999999992"/>
    <n v="11293.499999999998"/>
    <n v="3388.0499999999993"/>
    <x v="1"/>
  </r>
  <r>
    <d v="2015-11-03T00:00:00"/>
    <n v="1.34"/>
    <n v="4.3499999999999996"/>
    <n v="4.3"/>
    <n v="41.8"/>
    <n v="5"/>
    <n v="0"/>
    <n v="3"/>
    <n v="0"/>
    <x v="1"/>
    <x v="10"/>
    <x v="5"/>
    <n v="59.789999999999992"/>
    <n v="8968.4999999999982"/>
    <n v="2690.5499999999993"/>
    <x v="0"/>
  </r>
  <r>
    <d v="2015-11-04T00:00:00"/>
    <n v="8.5"/>
    <n v="2.34"/>
    <n v="3"/>
    <n v="59.8"/>
    <n v="18"/>
    <n v="3"/>
    <n v="3"/>
    <n v="4"/>
    <x v="1"/>
    <x v="10"/>
    <x v="6"/>
    <n v="101.64"/>
    <n v="15246"/>
    <n v="4573.8"/>
    <x v="1"/>
  </r>
  <r>
    <d v="2015-11-05T00:00:00"/>
    <n v="4.33"/>
    <n v="3.5609999999999999"/>
    <n v="7.4"/>
    <n v="45"/>
    <n v="3"/>
    <n v="0"/>
    <n v="0"/>
    <n v="2"/>
    <x v="1"/>
    <x v="10"/>
    <x v="0"/>
    <n v="65.290999999999997"/>
    <n v="9793.65"/>
    <n v="2938.0949999999998"/>
    <x v="0"/>
  </r>
  <r>
    <d v="2015-11-06T00:00:00"/>
    <n v="3.33"/>
    <n v="6.7359999999999998"/>
    <n v="4"/>
    <n v="31.475000000000001"/>
    <n v="5"/>
    <n v="2"/>
    <n v="1"/>
    <n v="0"/>
    <x v="1"/>
    <x v="10"/>
    <x v="1"/>
    <n v="53.540999999999997"/>
    <n v="8031.15"/>
    <n v="2409.3449999999998"/>
    <x v="0"/>
  </r>
  <r>
    <d v="2015-11-07T00:00:00"/>
    <n v="4"/>
    <n v="3.11"/>
    <n v="4.8"/>
    <n v="69.900000000000006"/>
    <n v="15"/>
    <n v="1"/>
    <n v="6"/>
    <n v="1"/>
    <x v="1"/>
    <x v="10"/>
    <x v="2"/>
    <n v="104.81"/>
    <n v="15721.5"/>
    <n v="4716.45"/>
    <x v="1"/>
  </r>
  <r>
    <d v="2015-11-08T00:00:00"/>
    <n v="6.33"/>
    <n v="3.67"/>
    <n v="7.2"/>
    <n v="48.6"/>
    <n v="7"/>
    <n v="0"/>
    <n v="13"/>
    <n v="1"/>
    <x v="1"/>
    <x v="10"/>
    <x v="3"/>
    <n v="86.8"/>
    <n v="13020"/>
    <n v="3906"/>
    <x v="1"/>
  </r>
  <r>
    <d v="2015-11-09T00:00:00"/>
    <n v="3.66"/>
    <n v="6.1980000000000004"/>
    <n v="4.2"/>
    <n v="40.75"/>
    <n v="3"/>
    <n v="1"/>
    <n v="12"/>
    <n v="1"/>
    <x v="1"/>
    <x v="10"/>
    <x v="4"/>
    <n v="71.807999999999993"/>
    <n v="10771.199999999999"/>
    <n v="3231.3599999999997"/>
    <x v="1"/>
  </r>
  <r>
    <d v="2015-11-10T00:00:00"/>
    <n v="6.33"/>
    <n v="7.4820000000000002"/>
    <n v="10"/>
    <n v="41.2"/>
    <n v="8"/>
    <n v="0"/>
    <n v="9"/>
    <n v="2"/>
    <x v="1"/>
    <x v="10"/>
    <x v="5"/>
    <n v="84.012"/>
    <n v="12601.8"/>
    <n v="3780.5399999999995"/>
    <x v="1"/>
  </r>
  <r>
    <d v="2015-11-11T00:00:00"/>
    <n v="9.66"/>
    <n v="5.34"/>
    <n v="7.2"/>
    <n v="60"/>
    <n v="4"/>
    <n v="0"/>
    <n v="12"/>
    <n v="3"/>
    <x v="1"/>
    <x v="10"/>
    <x v="6"/>
    <n v="101.2"/>
    <n v="15180"/>
    <n v="4554"/>
    <x v="1"/>
  </r>
  <r>
    <d v="2015-11-12T00:00:00"/>
    <n v="6"/>
    <n v="4.33"/>
    <n v="6"/>
    <n v="24"/>
    <n v="11"/>
    <n v="0"/>
    <n v="20"/>
    <n v="0"/>
    <x v="1"/>
    <x v="10"/>
    <x v="0"/>
    <n v="71.33"/>
    <n v="10699.5"/>
    <n v="3209.85"/>
    <x v="1"/>
  </r>
  <r>
    <d v="2015-11-13T00:00:00"/>
    <n v="5"/>
    <n v="2.44"/>
    <n v="2"/>
    <n v="22"/>
    <n v="13"/>
    <n v="0"/>
    <n v="0"/>
    <n v="0"/>
    <x v="1"/>
    <x v="10"/>
    <x v="1"/>
    <n v="44.44"/>
    <n v="6666"/>
    <n v="1999.8"/>
    <x v="0"/>
  </r>
  <r>
    <d v="2015-11-14T00:00:00"/>
    <n v="4.99"/>
    <n v="0.33"/>
    <n v="3.7"/>
    <n v="19"/>
    <n v="5"/>
    <n v="1"/>
    <n v="0"/>
    <n v="1"/>
    <x v="1"/>
    <x v="10"/>
    <x v="2"/>
    <n v="35.019999999999996"/>
    <n v="5252.9999999999991"/>
    <n v="1575.8999999999996"/>
    <x v="0"/>
  </r>
  <r>
    <d v="2015-11-15T00:00:00"/>
    <n v="1.33"/>
    <n v="11.99"/>
    <n v="9.3000000000000007"/>
    <n v="42.35"/>
    <n v="8"/>
    <n v="2"/>
    <n v="17"/>
    <n v="0"/>
    <x v="1"/>
    <x v="10"/>
    <x v="3"/>
    <n v="91.97"/>
    <n v="13795.5"/>
    <n v="4138.6499999999996"/>
    <x v="1"/>
  </r>
  <r>
    <d v="2015-11-16T00:00:00"/>
    <n v="5.67"/>
    <n v="3.67"/>
    <n v="6"/>
    <n v="50.3"/>
    <n v="9"/>
    <n v="0"/>
    <n v="3"/>
    <n v="2"/>
    <x v="1"/>
    <x v="10"/>
    <x v="4"/>
    <n v="79.64"/>
    <n v="11946"/>
    <n v="3583.7999999999997"/>
    <x v="1"/>
  </r>
  <r>
    <d v="2015-11-17T00:00:00"/>
    <n v="6.34"/>
    <n v="4.6929999999999996"/>
    <n v="4.7"/>
    <n v="60"/>
    <n v="1"/>
    <n v="0"/>
    <n v="0"/>
    <n v="2"/>
    <x v="1"/>
    <x v="10"/>
    <x v="5"/>
    <n v="78.733000000000004"/>
    <n v="11809.95"/>
    <n v="3542.9850000000001"/>
    <x v="1"/>
  </r>
  <r>
    <d v="2015-11-18T00:00:00"/>
    <n v="6.34"/>
    <n v="5.33"/>
    <n v="5.5"/>
    <n v="24.5"/>
    <n v="11"/>
    <n v="0"/>
    <n v="0"/>
    <n v="2"/>
    <x v="1"/>
    <x v="10"/>
    <x v="6"/>
    <n v="54.67"/>
    <n v="8200.5"/>
    <n v="2460.15"/>
    <x v="0"/>
  </r>
  <r>
    <d v="2015-11-19T00:00:00"/>
    <n v="2"/>
    <n v="2.99"/>
    <n v="2.1"/>
    <n v="26.4"/>
    <n v="22"/>
    <n v="0"/>
    <n v="0"/>
    <n v="0"/>
    <x v="1"/>
    <x v="10"/>
    <x v="0"/>
    <n v="55.489999999999995"/>
    <n v="8323.5"/>
    <n v="2497.0499999999997"/>
    <x v="0"/>
  </r>
  <r>
    <d v="2015-11-20T00:00:00"/>
    <n v="5.66"/>
    <n v="1.66"/>
    <n v="3.8"/>
    <n v="25.6"/>
    <n v="2"/>
    <n v="2"/>
    <n v="10"/>
    <n v="3"/>
    <x v="1"/>
    <x v="10"/>
    <x v="1"/>
    <n v="53.72"/>
    <n v="8058"/>
    <n v="2417.4"/>
    <x v="0"/>
  </r>
  <r>
    <d v="2015-11-21T00:00:00"/>
    <n v="4"/>
    <n v="2.0099999999999998"/>
    <n v="5.2"/>
    <n v="45.5"/>
    <n v="4"/>
    <n v="0"/>
    <n v="17"/>
    <n v="3"/>
    <x v="1"/>
    <x v="10"/>
    <x v="2"/>
    <n v="80.710000000000008"/>
    <n v="12106.500000000002"/>
    <n v="3631.9500000000003"/>
    <x v="1"/>
  </r>
  <r>
    <d v="2015-11-22T00:00:00"/>
    <n v="2"/>
    <n v="3.4390000000000001"/>
    <n v="2.6"/>
    <n v="41.2"/>
    <n v="6"/>
    <n v="2"/>
    <n v="2"/>
    <n v="1"/>
    <x v="1"/>
    <x v="10"/>
    <x v="3"/>
    <n v="60.239000000000004"/>
    <n v="9035.85"/>
    <n v="2710.7550000000001"/>
    <x v="0"/>
  </r>
  <r>
    <d v="2015-11-23T00:00:00"/>
    <n v="3"/>
    <n v="1"/>
    <n v="4.7"/>
    <n v="69"/>
    <n v="3"/>
    <n v="0"/>
    <n v="1"/>
    <n v="2"/>
    <x v="1"/>
    <x v="10"/>
    <x v="4"/>
    <n v="83.7"/>
    <n v="12555"/>
    <n v="3766.5"/>
    <x v="1"/>
  </r>
  <r>
    <d v="2015-11-24T00:00:00"/>
    <n v="5"/>
    <n v="6.33"/>
    <n v="6.4"/>
    <n v="19.8"/>
    <n v="12"/>
    <n v="3"/>
    <n v="1"/>
    <n v="5"/>
    <x v="1"/>
    <x v="10"/>
    <x v="5"/>
    <n v="58.53"/>
    <n v="8779.5"/>
    <n v="2633.85"/>
    <x v="0"/>
  </r>
  <r>
    <d v="2015-11-25T00:00:00"/>
    <n v="5.66"/>
    <n v="5.33"/>
    <n v="3.2"/>
    <n v="29"/>
    <n v="11"/>
    <n v="0"/>
    <n v="3"/>
    <n v="3"/>
    <x v="1"/>
    <x v="10"/>
    <x v="6"/>
    <n v="60.19"/>
    <n v="9028.5"/>
    <n v="2708.5499999999997"/>
    <x v="0"/>
  </r>
  <r>
    <d v="2015-11-26T00:00:00"/>
    <n v="4.33"/>
    <n v="4"/>
    <n v="2"/>
    <n v="25.975000000000001"/>
    <n v="8"/>
    <n v="0"/>
    <n v="0"/>
    <n v="0"/>
    <x v="1"/>
    <x v="10"/>
    <x v="0"/>
    <n v="44.305"/>
    <n v="6645.75"/>
    <n v="1993.7249999999999"/>
    <x v="0"/>
  </r>
  <r>
    <d v="2015-11-27T00:00:00"/>
    <n v="0.67"/>
    <n v="4.3730000000000002"/>
    <n v="2"/>
    <n v="20.8"/>
    <n v="7"/>
    <n v="0"/>
    <n v="0"/>
    <n v="0"/>
    <x v="1"/>
    <x v="10"/>
    <x v="1"/>
    <n v="34.843000000000004"/>
    <n v="5226.4500000000007"/>
    <n v="1567.9350000000002"/>
    <x v="0"/>
  </r>
  <r>
    <d v="2015-11-28T00:00:00"/>
    <n v="6.33"/>
    <n v="3.66"/>
    <n v="4"/>
    <n v="46.825000000000003"/>
    <n v="3"/>
    <n v="0"/>
    <n v="10"/>
    <n v="1"/>
    <x v="1"/>
    <x v="10"/>
    <x v="2"/>
    <n v="74.814999999999998"/>
    <n v="11222.25"/>
    <n v="3366.6749999999997"/>
    <x v="1"/>
  </r>
  <r>
    <d v="2015-11-29T00:00:00"/>
    <n v="6.66"/>
    <n v="3.726"/>
    <n v="6"/>
    <n v="42.2"/>
    <n v="1"/>
    <n v="0"/>
    <n v="4"/>
    <n v="0"/>
    <x v="1"/>
    <x v="10"/>
    <x v="3"/>
    <n v="63.585999999999999"/>
    <n v="9537.9"/>
    <n v="2861.37"/>
    <x v="0"/>
  </r>
  <r>
    <d v="2015-11-30T00:00:00"/>
    <n v="7.33"/>
    <n v="1.825"/>
    <n v="5"/>
    <n v="35.299999999999997"/>
    <n v="5"/>
    <n v="1"/>
    <n v="6"/>
    <n v="3"/>
    <x v="1"/>
    <x v="10"/>
    <x v="4"/>
    <n v="64.454999999999998"/>
    <n v="9668.25"/>
    <n v="2900.4749999999999"/>
    <x v="0"/>
  </r>
  <r>
    <d v="2015-12-01T00:00:00"/>
    <n v="1.99"/>
    <n v="2.0230000000000001"/>
    <n v="6.3"/>
    <n v="23.9"/>
    <n v="4"/>
    <n v="1"/>
    <n v="5"/>
    <n v="1"/>
    <x v="1"/>
    <x v="11"/>
    <x v="5"/>
    <n v="45.212999999999994"/>
    <n v="6781.9499999999989"/>
    <n v="2034.5849999999996"/>
    <x v="0"/>
  </r>
  <r>
    <d v="2015-12-02T00:00:00"/>
    <n v="1"/>
    <n v="3.33"/>
    <n v="2.4"/>
    <n v="42"/>
    <n v="23"/>
    <n v="4"/>
    <n v="0"/>
    <n v="0"/>
    <x v="1"/>
    <x v="11"/>
    <x v="6"/>
    <n v="75.73"/>
    <n v="11359.5"/>
    <n v="3407.85"/>
    <x v="1"/>
  </r>
  <r>
    <d v="2015-12-03T00:00:00"/>
    <n v="4"/>
    <n v="3"/>
    <n v="5.6"/>
    <n v="56"/>
    <n v="6"/>
    <n v="1"/>
    <n v="1"/>
    <n v="1"/>
    <x v="1"/>
    <x v="11"/>
    <x v="0"/>
    <n v="77.599999999999994"/>
    <n v="11640"/>
    <n v="3492"/>
    <x v="1"/>
  </r>
  <r>
    <d v="2015-12-04T00:00:00"/>
    <n v="3.33"/>
    <n v="4.7590000000000003"/>
    <n v="4.7"/>
    <n v="25.6"/>
    <n v="9"/>
    <n v="3"/>
    <n v="3"/>
    <n v="1"/>
    <x v="1"/>
    <x v="11"/>
    <x v="1"/>
    <n v="54.389000000000003"/>
    <n v="8158.35"/>
    <n v="2447.5050000000001"/>
    <x v="0"/>
  </r>
  <r>
    <d v="2015-12-05T00:00:00"/>
    <n v="8"/>
    <n v="3.0329999999999999"/>
    <n v="2"/>
    <n v="35.049999999999997"/>
    <n v="2"/>
    <n v="0"/>
    <n v="7"/>
    <n v="2.33"/>
    <x v="1"/>
    <x v="11"/>
    <x v="2"/>
    <n v="59.412999999999997"/>
    <n v="8911.9499999999989"/>
    <n v="2673.5849999999996"/>
    <x v="0"/>
  </r>
  <r>
    <d v="2015-12-06T00:00:00"/>
    <n v="5.67"/>
    <n v="7"/>
    <n v="3.4"/>
    <n v="60.4"/>
    <n v="5"/>
    <n v="2"/>
    <n v="3"/>
    <n v="1"/>
    <x v="1"/>
    <x v="11"/>
    <x v="3"/>
    <n v="87.47"/>
    <n v="13120.5"/>
    <n v="3936.1499999999996"/>
    <x v="1"/>
  </r>
  <r>
    <d v="2015-12-07T00:00:00"/>
    <n v="3"/>
    <n v="2.0990000000000002"/>
    <n v="2.2000000000000002"/>
    <n v="26.5"/>
    <n v="6"/>
    <n v="1"/>
    <n v="11"/>
    <n v="6"/>
    <x v="1"/>
    <x v="11"/>
    <x v="4"/>
    <n v="57.798999999999999"/>
    <n v="8669.85"/>
    <n v="2600.9549999999999"/>
    <x v="0"/>
  </r>
  <r>
    <d v="2015-12-08T00:00:00"/>
    <n v="2"/>
    <n v="6.34"/>
    <n v="2"/>
    <n v="41.325000000000003"/>
    <n v="8"/>
    <n v="0"/>
    <n v="0"/>
    <n v="0"/>
    <x v="1"/>
    <x v="11"/>
    <x v="5"/>
    <n v="59.665000000000006"/>
    <n v="8949.7500000000018"/>
    <n v="2684.9250000000006"/>
    <x v="0"/>
  </r>
  <r>
    <d v="2015-12-09T00:00:00"/>
    <n v="3.34"/>
    <n v="3.472"/>
    <n v="7"/>
    <n v="41.262"/>
    <n v="16"/>
    <n v="0"/>
    <n v="3"/>
    <n v="1"/>
    <x v="1"/>
    <x v="11"/>
    <x v="6"/>
    <n v="75.073999999999998"/>
    <n v="11261.1"/>
    <n v="3378.33"/>
    <x v="1"/>
  </r>
  <r>
    <d v="2015-12-10T00:00:00"/>
    <n v="11.66"/>
    <n v="10.69"/>
    <n v="16"/>
    <n v="31.9"/>
    <n v="9"/>
    <n v="0"/>
    <n v="9"/>
    <n v="2.1"/>
    <x v="1"/>
    <x v="11"/>
    <x v="0"/>
    <n v="90.35"/>
    <n v="13552.5"/>
    <n v="4065.75"/>
    <x v="1"/>
  </r>
  <r>
    <d v="2015-12-11T00:00:00"/>
    <n v="5.84"/>
    <n v="6.165"/>
    <n v="3"/>
    <n v="22.7"/>
    <n v="9"/>
    <n v="0"/>
    <n v="16"/>
    <n v="1"/>
    <x v="1"/>
    <x v="11"/>
    <x v="1"/>
    <n v="63.704999999999998"/>
    <n v="9555.75"/>
    <n v="2866.7249999999999"/>
    <x v="0"/>
  </r>
  <r>
    <d v="2015-12-12T00:00:00"/>
    <n v="6.34"/>
    <n v="3.2"/>
    <n v="3"/>
    <n v="42.2"/>
    <n v="5"/>
    <n v="2"/>
    <n v="6"/>
    <n v="1"/>
    <x v="1"/>
    <x v="11"/>
    <x v="2"/>
    <n v="68.740000000000009"/>
    <n v="10311.000000000002"/>
    <n v="3093.3000000000006"/>
    <x v="1"/>
  </r>
  <r>
    <d v="2015-12-13T00:00:00"/>
    <n v="9.33"/>
    <n v="4.32"/>
    <n v="7"/>
    <n v="29"/>
    <n v="5"/>
    <n v="0"/>
    <n v="27"/>
    <n v="0"/>
    <x v="1"/>
    <x v="11"/>
    <x v="3"/>
    <n v="81.650000000000006"/>
    <n v="12247.5"/>
    <n v="3674.25"/>
    <x v="1"/>
  </r>
  <r>
    <d v="2015-12-14T00:00:00"/>
    <n v="5"/>
    <n v="3"/>
    <n v="6.6"/>
    <n v="37.4"/>
    <n v="11"/>
    <n v="0"/>
    <n v="21"/>
    <n v="1"/>
    <x v="1"/>
    <x v="11"/>
    <x v="4"/>
    <n v="85"/>
    <n v="12750"/>
    <n v="3825"/>
    <x v="1"/>
  </r>
  <r>
    <d v="2015-12-15T00:00:00"/>
    <n v="4.99"/>
    <n v="2"/>
    <n v="5"/>
    <n v="42"/>
    <n v="3"/>
    <n v="1"/>
    <n v="2"/>
    <n v="1"/>
    <x v="1"/>
    <x v="11"/>
    <x v="5"/>
    <n v="60.99"/>
    <n v="9148.5"/>
    <n v="2744.5499999999997"/>
    <x v="0"/>
  </r>
  <r>
    <d v="2015-12-16T00:00:00"/>
    <n v="6.67"/>
    <n v="4"/>
    <n v="4"/>
    <n v="42"/>
    <n v="11"/>
    <n v="1"/>
    <n v="11"/>
    <n v="0"/>
    <x v="1"/>
    <x v="11"/>
    <x v="6"/>
    <n v="79.67"/>
    <n v="11950.5"/>
    <n v="3585.15"/>
    <x v="1"/>
  </r>
  <r>
    <d v="2015-12-17T00:00:00"/>
    <n v="9"/>
    <n v="3.01"/>
    <n v="3"/>
    <n v="25"/>
    <n v="7"/>
    <n v="0"/>
    <n v="0"/>
    <n v="2"/>
    <x v="1"/>
    <x v="11"/>
    <x v="0"/>
    <n v="49.01"/>
    <n v="7351.5"/>
    <n v="2205.4499999999998"/>
    <x v="0"/>
  </r>
  <r>
    <d v="2015-12-18T00:00:00"/>
    <n v="4.33"/>
    <n v="8.9009999999999998"/>
    <n v="4.3"/>
    <n v="27.2"/>
    <n v="12"/>
    <n v="4"/>
    <n v="2"/>
    <n v="1"/>
    <x v="1"/>
    <x v="11"/>
    <x v="1"/>
    <n v="63.730999999999995"/>
    <n v="9559.65"/>
    <n v="2867.895"/>
    <x v="0"/>
  </r>
  <r>
    <d v="2015-12-19T00:00:00"/>
    <n v="0"/>
    <n v="0"/>
    <n v="0"/>
    <n v="0"/>
    <n v="0"/>
    <n v="0"/>
    <n v="0"/>
    <n v="0"/>
    <x v="1"/>
    <x v="11"/>
    <x v="2"/>
    <n v="0"/>
    <n v="0"/>
    <n v="0"/>
    <x v="0"/>
  </r>
  <r>
    <d v="2015-12-20T00:00:00"/>
    <n v="3"/>
    <n v="3.4740000000000002"/>
    <n v="2.2000000000000002"/>
    <n v="43"/>
    <n v="3"/>
    <n v="0"/>
    <n v="16"/>
    <n v="1"/>
    <x v="1"/>
    <x v="11"/>
    <x v="3"/>
    <n v="71.674000000000007"/>
    <n v="10751.1"/>
    <n v="3225.33"/>
    <x v="1"/>
  </r>
  <r>
    <d v="2015-12-21T00:00:00"/>
    <n v="5"/>
    <n v="6.34"/>
    <n v="2"/>
    <n v="53.6"/>
    <n v="14"/>
    <n v="0"/>
    <n v="6"/>
    <n v="0.4"/>
    <x v="1"/>
    <x v="11"/>
    <x v="4"/>
    <n v="87.34"/>
    <n v="13101"/>
    <n v="3930.2999999999997"/>
    <x v="1"/>
  </r>
  <r>
    <d v="2015-12-22T00:00:00"/>
    <n v="5.66"/>
    <n v="0"/>
    <n v="5"/>
    <n v="48"/>
    <n v="6"/>
    <n v="0"/>
    <n v="13"/>
    <n v="1"/>
    <x v="1"/>
    <x v="11"/>
    <x v="5"/>
    <n v="78.66"/>
    <n v="11799"/>
    <n v="3539.7"/>
    <x v="1"/>
  </r>
  <r>
    <d v="2015-12-23T00:00:00"/>
    <n v="3.33"/>
    <n v="4.01"/>
    <n v="2.2999999999999998"/>
    <n v="28.8"/>
    <n v="3"/>
    <n v="0"/>
    <n v="0"/>
    <n v="0"/>
    <x v="1"/>
    <x v="11"/>
    <x v="6"/>
    <n v="41.44"/>
    <n v="6216"/>
    <n v="1864.8"/>
    <x v="0"/>
  </r>
  <r>
    <d v="2015-12-24T00:00:00"/>
    <n v="7.33"/>
    <n v="3.3959999999999999"/>
    <n v="5"/>
    <n v="28.3"/>
    <n v="5"/>
    <n v="0"/>
    <n v="16"/>
    <n v="0"/>
    <x v="1"/>
    <x v="11"/>
    <x v="0"/>
    <n v="65.025999999999996"/>
    <n v="9753.9"/>
    <n v="2926.1699999999996"/>
    <x v="0"/>
  </r>
  <r>
    <d v="2015-12-25T00:00:00"/>
    <n v="0.66"/>
    <n v="4.66"/>
    <n v="2"/>
    <n v="20.661999999999999"/>
    <n v="28"/>
    <n v="2"/>
    <n v="1"/>
    <n v="1"/>
    <x v="1"/>
    <x v="11"/>
    <x v="1"/>
    <n v="59.981999999999999"/>
    <n v="8997.2999999999993"/>
    <n v="2699.1899999999996"/>
    <x v="0"/>
  </r>
  <r>
    <d v="2015-12-26T00:00:00"/>
    <n v="4.67"/>
    <n v="1.66"/>
    <n v="5"/>
    <n v="87.2"/>
    <n v="15"/>
    <n v="3"/>
    <n v="0"/>
    <n v="4.3"/>
    <x v="1"/>
    <x v="11"/>
    <x v="2"/>
    <n v="120.83"/>
    <n v="18124.5"/>
    <n v="5437.3499999999995"/>
    <x v="1"/>
  </r>
  <r>
    <d v="2015-12-27T00:00:00"/>
    <n v="5.33"/>
    <n v="6.7919999999999998"/>
    <n v="5.2"/>
    <n v="63.5"/>
    <n v="4"/>
    <n v="0"/>
    <n v="14"/>
    <n v="4.5999999999999996"/>
    <x v="1"/>
    <x v="11"/>
    <x v="3"/>
    <n v="103.422"/>
    <n v="15513.3"/>
    <n v="4653.99"/>
    <x v="1"/>
  </r>
  <r>
    <d v="2015-12-28T00:00:00"/>
    <n v="4"/>
    <n v="5.0990000000000002"/>
    <n v="9.1999999999999993"/>
    <n v="61.5"/>
    <n v="18"/>
    <n v="3"/>
    <n v="26"/>
    <n v="1"/>
    <x v="1"/>
    <x v="11"/>
    <x v="4"/>
    <n v="127.79900000000001"/>
    <n v="19169.850000000002"/>
    <n v="5750.9550000000008"/>
    <x v="1"/>
  </r>
  <r>
    <d v="2015-12-29T00:00:00"/>
    <n v="10.67"/>
    <n v="2.33"/>
    <n v="2"/>
    <n v="71.599999999999994"/>
    <n v="9"/>
    <n v="0"/>
    <n v="2"/>
    <n v="3"/>
    <x v="1"/>
    <x v="11"/>
    <x v="5"/>
    <n v="100.6"/>
    <n v="15090"/>
    <n v="4527"/>
    <x v="1"/>
  </r>
  <r>
    <d v="2015-12-30T00:00:00"/>
    <n v="6.66"/>
    <n v="7.0890000000000004"/>
    <n v="2"/>
    <n v="56.4"/>
    <n v="12"/>
    <n v="0"/>
    <n v="4"/>
    <n v="2"/>
    <x v="1"/>
    <x v="11"/>
    <x v="6"/>
    <n v="90.149000000000001"/>
    <n v="13522.35"/>
    <n v="4056.7049999999999"/>
    <x v="1"/>
  </r>
  <r>
    <d v="2015-12-31T00:00:00"/>
    <n v="7.66"/>
    <n v="6.0990000000000002"/>
    <n v="7.6"/>
    <n v="44.35"/>
    <n v="18"/>
    <n v="0"/>
    <n v="6"/>
    <n v="1"/>
    <x v="1"/>
    <x v="11"/>
    <x v="0"/>
    <n v="90.709000000000003"/>
    <n v="13606.35"/>
    <n v="4081.9049999999997"/>
    <x v="1"/>
  </r>
  <r>
    <d v="2016-01-01T00:00:00"/>
    <n v="0"/>
    <n v="0"/>
    <n v="0"/>
    <n v="0"/>
    <n v="0"/>
    <n v="0"/>
    <n v="0"/>
    <n v="0"/>
    <x v="2"/>
    <x v="0"/>
    <x v="1"/>
    <n v="0"/>
    <n v="0"/>
    <n v="0"/>
    <x v="0"/>
  </r>
  <r>
    <d v="2016-01-02T00:00:00"/>
    <n v="0.34"/>
    <n v="1.02"/>
    <n v="1"/>
    <n v="51.2"/>
    <n v="0"/>
    <n v="1"/>
    <n v="5"/>
    <n v="5"/>
    <x v="2"/>
    <x v="0"/>
    <x v="2"/>
    <n v="64.56"/>
    <n v="9684"/>
    <n v="2905.2"/>
    <x v="0"/>
  </r>
  <r>
    <d v="2016-01-03T00:00:00"/>
    <n v="4"/>
    <n v="4"/>
    <n v="2.5"/>
    <n v="56.1"/>
    <n v="1"/>
    <n v="0"/>
    <n v="5"/>
    <n v="1"/>
    <x v="2"/>
    <x v="0"/>
    <x v="3"/>
    <n v="73.599999999999994"/>
    <n v="11040"/>
    <n v="3312"/>
    <x v="1"/>
  </r>
  <r>
    <d v="2016-01-04T00:00:00"/>
    <n v="7.33"/>
    <n v="5.99"/>
    <n v="6"/>
    <n v="46.6"/>
    <n v="6"/>
    <n v="0"/>
    <n v="12"/>
    <n v="1"/>
    <x v="2"/>
    <x v="0"/>
    <x v="4"/>
    <n v="84.92"/>
    <n v="12738"/>
    <n v="3821.3999999999996"/>
    <x v="1"/>
  </r>
  <r>
    <d v="2016-01-05T00:00:00"/>
    <n v="5.33"/>
    <n v="5.99"/>
    <n v="4.5999999999999996"/>
    <n v="38.6"/>
    <n v="15"/>
    <n v="0"/>
    <n v="5"/>
    <n v="1"/>
    <x v="2"/>
    <x v="0"/>
    <x v="5"/>
    <n v="75.52000000000001"/>
    <n v="11328.000000000002"/>
    <n v="3398.4000000000005"/>
    <x v="1"/>
  </r>
  <r>
    <d v="2016-01-06T00:00:00"/>
    <n v="6.66"/>
    <n v="3"/>
    <n v="6"/>
    <n v="61.9"/>
    <n v="2"/>
    <n v="0"/>
    <n v="12"/>
    <n v="2"/>
    <x v="2"/>
    <x v="0"/>
    <x v="6"/>
    <n v="93.56"/>
    <n v="14034"/>
    <n v="4210.2"/>
    <x v="1"/>
  </r>
  <r>
    <d v="2016-01-07T00:00:00"/>
    <n v="0"/>
    <n v="0"/>
    <n v="0"/>
    <n v="0"/>
    <n v="0"/>
    <n v="0"/>
    <n v="0"/>
    <n v="0"/>
    <x v="2"/>
    <x v="0"/>
    <x v="0"/>
    <n v="0"/>
    <n v="0"/>
    <n v="0"/>
    <x v="0"/>
  </r>
  <r>
    <d v="2016-01-08T00:00:00"/>
    <n v="8"/>
    <n v="3.4630000000000001"/>
    <n v="7.7"/>
    <n v="39.200000000000003"/>
    <n v="8"/>
    <n v="3"/>
    <n v="2"/>
    <n v="2"/>
    <x v="2"/>
    <x v="0"/>
    <x v="1"/>
    <n v="73.363"/>
    <n v="11004.45"/>
    <n v="3301.335"/>
    <x v="1"/>
  </r>
  <r>
    <d v="2016-01-09T00:00:00"/>
    <n v="7.33"/>
    <n v="2.66"/>
    <n v="5"/>
    <n v="88.3"/>
    <n v="9"/>
    <n v="0"/>
    <n v="3"/>
    <n v="3"/>
    <x v="2"/>
    <x v="0"/>
    <x v="2"/>
    <n v="118.28999999999999"/>
    <n v="17743.5"/>
    <n v="5323.05"/>
    <x v="1"/>
  </r>
  <r>
    <d v="2016-01-10T00:00:00"/>
    <n v="7"/>
    <n v="4.0330000000000004"/>
    <n v="12"/>
    <n v="67.599999999999994"/>
    <n v="8"/>
    <n v="1"/>
    <n v="1"/>
    <n v="0"/>
    <x v="2"/>
    <x v="0"/>
    <x v="3"/>
    <n v="100.633"/>
    <n v="15094.949999999999"/>
    <n v="4528.4849999999997"/>
    <x v="1"/>
  </r>
  <r>
    <d v="2016-01-11T00:00:00"/>
    <n v="9.34"/>
    <n v="5.66"/>
    <n v="7"/>
    <n v="64.900000000000006"/>
    <n v="18"/>
    <n v="0"/>
    <n v="0"/>
    <n v="4"/>
    <x v="2"/>
    <x v="0"/>
    <x v="4"/>
    <n v="108.9"/>
    <n v="16335"/>
    <n v="4900.5"/>
    <x v="1"/>
  </r>
  <r>
    <d v="2016-01-12T00:00:00"/>
    <n v="12"/>
    <n v="3.1320000000000001"/>
    <n v="12"/>
    <n v="61.35"/>
    <n v="8"/>
    <n v="0"/>
    <n v="0"/>
    <n v="0"/>
    <x v="2"/>
    <x v="0"/>
    <x v="5"/>
    <n v="96.481999999999999"/>
    <n v="14472.3"/>
    <n v="4341.6899999999996"/>
    <x v="1"/>
  </r>
  <r>
    <d v="2016-01-13T00:00:00"/>
    <n v="9"/>
    <n v="1.66"/>
    <n v="5"/>
    <n v="41.7"/>
    <n v="15"/>
    <n v="0"/>
    <n v="1"/>
    <n v="2"/>
    <x v="2"/>
    <x v="0"/>
    <x v="6"/>
    <n v="75.36"/>
    <n v="11304"/>
    <n v="3391.2"/>
    <x v="1"/>
  </r>
  <r>
    <d v="2016-01-14T00:00:00"/>
    <n v="2"/>
    <n v="5.1550000000000002"/>
    <n v="6"/>
    <n v="69"/>
    <n v="18"/>
    <n v="0"/>
    <n v="8"/>
    <n v="2"/>
    <x v="2"/>
    <x v="0"/>
    <x v="0"/>
    <n v="110.155"/>
    <n v="16523.25"/>
    <n v="4956.9749999999995"/>
    <x v="1"/>
  </r>
  <r>
    <d v="2016-01-15T00:00:00"/>
    <n v="8.98"/>
    <n v="4.66"/>
    <n v="10.6"/>
    <n v="18.100000000000001"/>
    <n v="8"/>
    <n v="0"/>
    <n v="10"/>
    <n v="2"/>
    <x v="2"/>
    <x v="0"/>
    <x v="1"/>
    <n v="62.34"/>
    <n v="9351"/>
    <n v="2805.2999999999997"/>
    <x v="0"/>
  </r>
  <r>
    <d v="2016-01-16T00:00:00"/>
    <n v="3.34"/>
    <n v="5.34"/>
    <n v="6"/>
    <n v="63.6"/>
    <n v="11"/>
    <n v="0"/>
    <n v="2"/>
    <n v="1"/>
    <x v="2"/>
    <x v="0"/>
    <x v="2"/>
    <n v="92.28"/>
    <n v="13842"/>
    <n v="4152.5999999999995"/>
    <x v="1"/>
  </r>
  <r>
    <d v="2016-01-17T00:00:00"/>
    <n v="7.01"/>
    <n v="1.6040000000000001"/>
    <n v="3.9"/>
    <n v="46.6"/>
    <n v="4"/>
    <n v="0"/>
    <n v="0"/>
    <n v="1"/>
    <x v="2"/>
    <x v="0"/>
    <x v="3"/>
    <n v="64.114000000000004"/>
    <n v="9617.1"/>
    <n v="2885.13"/>
    <x v="0"/>
  </r>
  <r>
    <d v="2016-01-18T00:00:00"/>
    <n v="3.5"/>
    <n v="2.99"/>
    <n v="4.3"/>
    <n v="62.8"/>
    <n v="3"/>
    <n v="2"/>
    <n v="9"/>
    <n v="2"/>
    <x v="2"/>
    <x v="0"/>
    <x v="4"/>
    <n v="89.59"/>
    <n v="13438.5"/>
    <n v="4031.5499999999997"/>
    <x v="1"/>
  </r>
  <r>
    <d v="2016-01-19T00:00:00"/>
    <n v="6"/>
    <n v="5.66"/>
    <n v="6"/>
    <n v="49.8"/>
    <n v="7"/>
    <n v="0"/>
    <n v="0"/>
    <n v="3"/>
    <x v="2"/>
    <x v="0"/>
    <x v="5"/>
    <n v="77.459999999999994"/>
    <n v="11618.999999999998"/>
    <n v="3485.6999999999994"/>
    <x v="1"/>
  </r>
  <r>
    <d v="2016-01-20T00:00:00"/>
    <n v="2.3199999999999998"/>
    <n v="3.363"/>
    <n v="3"/>
    <n v="15.1"/>
    <n v="29"/>
    <n v="3"/>
    <n v="3"/>
    <n v="2"/>
    <x v="2"/>
    <x v="0"/>
    <x v="6"/>
    <n v="60.783000000000001"/>
    <n v="9117.4500000000007"/>
    <n v="2735.2350000000001"/>
    <x v="0"/>
  </r>
  <r>
    <d v="2016-01-21T00:00:00"/>
    <n v="5"/>
    <n v="1.43"/>
    <n v="1"/>
    <n v="68.400000000000006"/>
    <n v="8"/>
    <n v="4"/>
    <n v="6"/>
    <n v="5"/>
    <x v="2"/>
    <x v="0"/>
    <x v="0"/>
    <n v="98.830000000000013"/>
    <n v="14824.500000000002"/>
    <n v="4447.3500000000004"/>
    <x v="1"/>
  </r>
  <r>
    <d v="2016-01-22T00:00:00"/>
    <n v="0.83"/>
    <n v="7.6779999999999999"/>
    <n v="7"/>
    <n v="39.5"/>
    <n v="11"/>
    <n v="0"/>
    <n v="10"/>
    <n v="0"/>
    <x v="2"/>
    <x v="0"/>
    <x v="1"/>
    <n v="76.007999999999996"/>
    <n v="11401.199999999999"/>
    <n v="3420.3599999999997"/>
    <x v="1"/>
  </r>
  <r>
    <d v="2016-01-23T00:00:00"/>
    <n v="6.33"/>
    <n v="6.1319999999999997"/>
    <n v="7.1"/>
    <n v="36.799999999999997"/>
    <n v="4"/>
    <n v="0"/>
    <n v="6"/>
    <n v="2"/>
    <x v="2"/>
    <x v="0"/>
    <x v="2"/>
    <n v="68.361999999999995"/>
    <n v="10254.299999999999"/>
    <n v="3076.2899999999995"/>
    <x v="1"/>
  </r>
  <r>
    <d v="2016-01-24T00:00:00"/>
    <n v="4"/>
    <n v="6.1219999999999999"/>
    <n v="11.3"/>
    <n v="48.1"/>
    <n v="3"/>
    <n v="0"/>
    <n v="12"/>
    <n v="3"/>
    <x v="2"/>
    <x v="0"/>
    <x v="3"/>
    <n v="87.522000000000006"/>
    <n v="13128.300000000001"/>
    <n v="3938.4900000000002"/>
    <x v="1"/>
  </r>
  <r>
    <d v="2016-01-25T00:00:00"/>
    <n v="10.33"/>
    <n v="4.26"/>
    <n v="4"/>
    <n v="46.95"/>
    <n v="12"/>
    <n v="2"/>
    <n v="10"/>
    <n v="1.5"/>
    <x v="2"/>
    <x v="0"/>
    <x v="4"/>
    <n v="91.04"/>
    <n v="13656.000000000002"/>
    <n v="4096.8"/>
    <x v="1"/>
  </r>
  <r>
    <d v="2016-01-26T00:00:00"/>
    <n v="5.68"/>
    <n v="4.069"/>
    <n v="8"/>
    <n v="30.3"/>
    <n v="9"/>
    <n v="0"/>
    <n v="15"/>
    <n v="0"/>
    <x v="2"/>
    <x v="0"/>
    <x v="5"/>
    <n v="72.049000000000007"/>
    <n v="10807.35"/>
    <n v="3242.2049999999999"/>
    <x v="1"/>
  </r>
  <r>
    <d v="2016-01-27T00:00:00"/>
    <n v="4.34"/>
    <n v="4.4290000000000003"/>
    <n v="3.4"/>
    <n v="30.062000000000001"/>
    <n v="18"/>
    <n v="5"/>
    <n v="5"/>
    <n v="2"/>
    <x v="2"/>
    <x v="0"/>
    <x v="6"/>
    <n v="72.230999999999995"/>
    <n v="10834.65"/>
    <n v="3250.395"/>
    <x v="1"/>
  </r>
  <r>
    <d v="2016-01-28T00:00:00"/>
    <n v="7.33"/>
    <n v="6.66"/>
    <n v="4.4000000000000004"/>
    <n v="33"/>
    <n v="4"/>
    <n v="0"/>
    <n v="4"/>
    <n v="3"/>
    <x v="2"/>
    <x v="0"/>
    <x v="0"/>
    <n v="62.39"/>
    <n v="9358.5"/>
    <n v="2807.5499999999997"/>
    <x v="0"/>
  </r>
  <r>
    <d v="2016-01-29T00:00:00"/>
    <n v="5"/>
    <n v="8.67"/>
    <n v="8.6"/>
    <n v="74.400000000000006"/>
    <n v="3"/>
    <n v="1"/>
    <n v="17"/>
    <n v="2"/>
    <x v="2"/>
    <x v="0"/>
    <x v="1"/>
    <n v="119.67"/>
    <n v="17950.5"/>
    <n v="5385.15"/>
    <x v="1"/>
  </r>
  <r>
    <d v="2016-01-30T00:00:00"/>
    <n v="9"/>
    <n v="4.4290000000000003"/>
    <n v="5.3"/>
    <n v="47.462000000000003"/>
    <n v="3"/>
    <n v="2"/>
    <n v="5"/>
    <n v="2"/>
    <x v="2"/>
    <x v="0"/>
    <x v="2"/>
    <n v="78.191000000000003"/>
    <n v="11728.65"/>
    <n v="3518.5949999999998"/>
    <x v="1"/>
  </r>
  <r>
    <d v="2016-01-31T00:00:00"/>
    <n v="4.33"/>
    <n v="5.1429999999999998"/>
    <n v="3.8"/>
    <n v="78.900000000000006"/>
    <n v="3"/>
    <n v="0"/>
    <n v="6"/>
    <n v="2"/>
    <x v="2"/>
    <x v="0"/>
    <x v="3"/>
    <n v="103.173"/>
    <n v="15475.95"/>
    <n v="4642.7849999999999"/>
    <x v="1"/>
  </r>
  <r>
    <d v="2016-02-01T00:00:00"/>
    <n v="6.34"/>
    <n v="5"/>
    <n v="7.1"/>
    <n v="18"/>
    <n v="7"/>
    <n v="0"/>
    <n v="6"/>
    <n v="1"/>
    <x v="2"/>
    <x v="1"/>
    <x v="4"/>
    <n v="50.44"/>
    <n v="7566"/>
    <n v="2269.7999999999997"/>
    <x v="0"/>
  </r>
  <r>
    <d v="2016-02-02T00:00:00"/>
    <n v="14.33"/>
    <n v="4.8780000000000001"/>
    <n v="1.3"/>
    <n v="39"/>
    <n v="6"/>
    <n v="0"/>
    <n v="0"/>
    <n v="1"/>
    <x v="2"/>
    <x v="1"/>
    <x v="5"/>
    <n v="66.507999999999996"/>
    <n v="9976.1999999999989"/>
    <n v="2992.8599999999997"/>
    <x v="0"/>
  </r>
  <r>
    <d v="2016-02-03T00:00:00"/>
    <n v="8"/>
    <n v="6.6929999999999996"/>
    <n v="11.5"/>
    <n v="39.061999999999998"/>
    <n v="11"/>
    <n v="5"/>
    <n v="0"/>
    <n v="0"/>
    <x v="2"/>
    <x v="1"/>
    <x v="6"/>
    <n v="81.254999999999995"/>
    <n v="12188.25"/>
    <n v="3656.4749999999999"/>
    <x v="1"/>
  </r>
  <r>
    <d v="2016-02-04T00:00:00"/>
    <n v="8.34"/>
    <n v="4"/>
    <n v="4.2"/>
    <n v="28.8"/>
    <n v="5"/>
    <n v="0"/>
    <n v="4"/>
    <n v="4"/>
    <x v="2"/>
    <x v="1"/>
    <x v="0"/>
    <n v="58.34"/>
    <n v="8751"/>
    <n v="2625.2999999999997"/>
    <x v="0"/>
  </r>
  <r>
    <d v="2016-02-05T00:00:00"/>
    <n v="5.66"/>
    <n v="2"/>
    <n v="3"/>
    <n v="51.6"/>
    <n v="7"/>
    <n v="0"/>
    <n v="3"/>
    <n v="1"/>
    <x v="2"/>
    <x v="1"/>
    <x v="1"/>
    <n v="73.260000000000005"/>
    <n v="10989"/>
    <n v="3296.7"/>
    <x v="1"/>
  </r>
  <r>
    <d v="2016-02-06T00:00:00"/>
    <n v="5.33"/>
    <n v="10.33"/>
    <n v="3"/>
    <n v="57.161999999999999"/>
    <n v="1"/>
    <n v="0"/>
    <n v="11"/>
    <n v="2"/>
    <x v="2"/>
    <x v="1"/>
    <x v="2"/>
    <n v="89.822000000000003"/>
    <n v="13473.300000000001"/>
    <n v="4041.9900000000002"/>
    <x v="1"/>
  </r>
  <r>
    <d v="2016-02-07T00:00:00"/>
    <n v="3.66"/>
    <n v="6.056"/>
    <n v="4.5"/>
    <n v="88.2"/>
    <n v="2"/>
    <n v="0"/>
    <n v="13"/>
    <n v="1"/>
    <x v="2"/>
    <x v="1"/>
    <x v="3"/>
    <n v="118.416"/>
    <n v="17762.399999999998"/>
    <n v="5328.7199999999993"/>
    <x v="1"/>
  </r>
  <r>
    <d v="2016-02-08T00:00:00"/>
    <n v="6.33"/>
    <n v="6.99"/>
    <n v="5.5"/>
    <n v="28.038"/>
    <n v="5"/>
    <n v="0"/>
    <n v="23"/>
    <n v="1"/>
    <x v="2"/>
    <x v="1"/>
    <x v="4"/>
    <n v="75.858000000000004"/>
    <n v="11378.7"/>
    <n v="3413.61"/>
    <x v="1"/>
  </r>
  <r>
    <d v="2016-02-09T00:00:00"/>
    <n v="7"/>
    <n v="3.33"/>
    <n v="4.4000000000000004"/>
    <n v="47.7"/>
    <n v="16"/>
    <n v="2"/>
    <n v="1"/>
    <n v="2"/>
    <x v="2"/>
    <x v="1"/>
    <x v="5"/>
    <n v="83.43"/>
    <n v="12514.500000000002"/>
    <n v="3754.3500000000004"/>
    <x v="1"/>
  </r>
  <r>
    <d v="2016-02-10T00:00:00"/>
    <n v="4.34"/>
    <n v="4.7030000000000003"/>
    <n v="7.2"/>
    <n v="34.1"/>
    <n v="29"/>
    <n v="0"/>
    <n v="4"/>
    <n v="2"/>
    <x v="2"/>
    <x v="1"/>
    <x v="6"/>
    <n v="85.343000000000004"/>
    <n v="12801.45"/>
    <n v="3840.4349999999999"/>
    <x v="1"/>
  </r>
  <r>
    <d v="2016-02-11T00:00:00"/>
    <n v="1.66"/>
    <n v="4.1559999999999997"/>
    <n v="2.7"/>
    <n v="38.1"/>
    <n v="10"/>
    <n v="1"/>
    <n v="13"/>
    <n v="4"/>
    <x v="2"/>
    <x v="1"/>
    <x v="0"/>
    <n v="74.616"/>
    <n v="11192.4"/>
    <n v="3357.72"/>
    <x v="1"/>
  </r>
  <r>
    <d v="2016-02-12T00:00:00"/>
    <n v="5.99"/>
    <n v="6.4290000000000003"/>
    <n v="8.5"/>
    <n v="60.674999999999997"/>
    <n v="4"/>
    <n v="0"/>
    <n v="20"/>
    <n v="1"/>
    <x v="2"/>
    <x v="1"/>
    <x v="1"/>
    <n v="106.59399999999999"/>
    <n v="15989.099999999999"/>
    <n v="4796.7299999999996"/>
    <x v="1"/>
  </r>
  <r>
    <d v="2016-02-13T00:00:00"/>
    <n v="2.67"/>
    <n v="3.67"/>
    <n v="5"/>
    <n v="42.4"/>
    <n v="2"/>
    <n v="0"/>
    <n v="10"/>
    <n v="2"/>
    <x v="2"/>
    <x v="1"/>
    <x v="2"/>
    <n v="67.739999999999995"/>
    <n v="10161"/>
    <n v="3048.2999999999997"/>
    <x v="1"/>
  </r>
  <r>
    <d v="2016-02-14T00:00:00"/>
    <n v="5.84"/>
    <n v="7.34"/>
    <n v="3.8"/>
    <n v="43.6"/>
    <n v="5"/>
    <n v="0"/>
    <n v="7"/>
    <n v="4"/>
    <x v="2"/>
    <x v="1"/>
    <x v="3"/>
    <n v="76.58"/>
    <n v="11487"/>
    <n v="3446.1"/>
    <x v="1"/>
  </r>
  <r>
    <d v="2016-02-15T00:00:00"/>
    <n v="5.33"/>
    <n v="5.33"/>
    <n v="5.3"/>
    <n v="52.2"/>
    <n v="6"/>
    <n v="0"/>
    <n v="0"/>
    <n v="0"/>
    <x v="2"/>
    <x v="1"/>
    <x v="4"/>
    <n v="74.16"/>
    <n v="11124"/>
    <n v="3337.2"/>
    <x v="1"/>
  </r>
  <r>
    <d v="2016-02-16T00:00:00"/>
    <n v="7.33"/>
    <n v="2.3199999999999998"/>
    <n v="3"/>
    <n v="29"/>
    <n v="3"/>
    <n v="2"/>
    <n v="9"/>
    <n v="3"/>
    <x v="2"/>
    <x v="1"/>
    <x v="5"/>
    <n v="58.65"/>
    <n v="8797.5"/>
    <n v="2639.25"/>
    <x v="0"/>
  </r>
  <r>
    <d v="2016-02-17T00:00:00"/>
    <n v="3"/>
    <n v="5"/>
    <n v="4"/>
    <n v="26.6"/>
    <n v="12"/>
    <n v="1"/>
    <n v="1"/>
    <n v="0"/>
    <x v="2"/>
    <x v="1"/>
    <x v="6"/>
    <n v="52.6"/>
    <n v="7890"/>
    <n v="2367"/>
    <x v="0"/>
  </r>
  <r>
    <d v="2016-02-18T00:00:00"/>
    <n v="2.34"/>
    <n v="1"/>
    <n v="4.3"/>
    <n v="43.85"/>
    <n v="3"/>
    <n v="0"/>
    <n v="9"/>
    <n v="1"/>
    <x v="2"/>
    <x v="1"/>
    <x v="0"/>
    <n v="64.490000000000009"/>
    <n v="9673.5000000000018"/>
    <n v="2902.0500000000006"/>
    <x v="0"/>
  </r>
  <r>
    <d v="2016-02-19T00:00:00"/>
    <n v="4"/>
    <n v="1.67"/>
    <n v="4"/>
    <n v="28.7"/>
    <n v="18"/>
    <n v="2"/>
    <n v="26"/>
    <n v="1"/>
    <x v="2"/>
    <x v="1"/>
    <x v="1"/>
    <n v="85.37"/>
    <n v="12805.5"/>
    <n v="3841.6499999999996"/>
    <x v="1"/>
  </r>
  <r>
    <d v="2016-02-20T00:00:00"/>
    <n v="10.33"/>
    <n v="4.1219999999999999"/>
    <n v="4"/>
    <n v="36.9"/>
    <n v="5"/>
    <n v="0"/>
    <n v="8"/>
    <n v="3"/>
    <x v="2"/>
    <x v="1"/>
    <x v="2"/>
    <n v="71.352000000000004"/>
    <n v="10702.800000000001"/>
    <n v="3210.84"/>
    <x v="1"/>
  </r>
  <r>
    <d v="2016-02-21T00:00:00"/>
    <n v="6.34"/>
    <n v="4"/>
    <n v="0"/>
    <n v="55.7"/>
    <n v="5"/>
    <n v="2"/>
    <n v="7"/>
    <n v="4"/>
    <x v="2"/>
    <x v="1"/>
    <x v="3"/>
    <n v="84.04"/>
    <n v="12606.000000000002"/>
    <n v="3781.8"/>
    <x v="1"/>
  </r>
  <r>
    <d v="2016-02-22T00:00:00"/>
    <n v="3"/>
    <n v="5.32"/>
    <n v="3"/>
    <n v="51.125"/>
    <n v="10"/>
    <n v="0"/>
    <n v="12"/>
    <n v="4"/>
    <x v="2"/>
    <x v="1"/>
    <x v="4"/>
    <n v="88.444999999999993"/>
    <n v="13266.749999999998"/>
    <n v="3980.0249999999992"/>
    <x v="1"/>
  </r>
  <r>
    <d v="2016-02-23T00:00:00"/>
    <n v="3"/>
    <n v="2.33"/>
    <n v="2.6"/>
    <n v="41.3"/>
    <n v="11"/>
    <n v="0"/>
    <n v="15"/>
    <n v="3"/>
    <x v="2"/>
    <x v="1"/>
    <x v="5"/>
    <n v="78.22999999999999"/>
    <n v="11734.499999999998"/>
    <n v="3520.3499999999995"/>
    <x v="1"/>
  </r>
  <r>
    <d v="2016-02-24T00:00:00"/>
    <n v="7.66"/>
    <n v="2.33"/>
    <n v="2.1"/>
    <n v="35"/>
    <n v="6"/>
    <n v="2"/>
    <n v="5"/>
    <n v="1"/>
    <x v="2"/>
    <x v="1"/>
    <x v="6"/>
    <n v="61.09"/>
    <n v="9163.5"/>
    <n v="2749.0499999999997"/>
    <x v="0"/>
  </r>
  <r>
    <d v="2016-02-25T00:00:00"/>
    <n v="7.99"/>
    <n v="3.99"/>
    <n v="5"/>
    <n v="41"/>
    <n v="22"/>
    <n v="1"/>
    <n v="4"/>
    <n v="3"/>
    <x v="2"/>
    <x v="1"/>
    <x v="0"/>
    <n v="87.98"/>
    <n v="13197"/>
    <n v="3959.1"/>
    <x v="1"/>
  </r>
  <r>
    <d v="2016-02-26T00:00:00"/>
    <n v="5"/>
    <n v="5.8479999999999999"/>
    <n v="4.5"/>
    <n v="28.55"/>
    <n v="6"/>
    <n v="2"/>
    <n v="0"/>
    <n v="1"/>
    <x v="2"/>
    <x v="1"/>
    <x v="1"/>
    <n v="52.897999999999996"/>
    <n v="7934.7"/>
    <n v="2380.41"/>
    <x v="0"/>
  </r>
  <r>
    <d v="2016-02-27T00:00:00"/>
    <n v="8"/>
    <n v="7"/>
    <n v="6.6"/>
    <n v="25.8"/>
    <n v="3"/>
    <n v="0"/>
    <n v="5"/>
    <n v="2"/>
    <x v="2"/>
    <x v="1"/>
    <x v="2"/>
    <n v="57.400000000000006"/>
    <n v="8610"/>
    <n v="2583"/>
    <x v="0"/>
  </r>
  <r>
    <d v="2016-02-28T00:00:00"/>
    <n v="8"/>
    <n v="4.0330000000000004"/>
    <n v="10.1"/>
    <n v="66.5"/>
    <n v="6"/>
    <n v="0"/>
    <n v="26"/>
    <n v="5"/>
    <x v="2"/>
    <x v="1"/>
    <x v="3"/>
    <n v="125.63300000000001"/>
    <n v="18844.95"/>
    <n v="5653.4849999999997"/>
    <x v="1"/>
  </r>
  <r>
    <d v="2016-02-29T00:00:00"/>
    <n v="7"/>
    <n v="7.66"/>
    <n v="4"/>
    <n v="46.2"/>
    <n v="13"/>
    <n v="0"/>
    <n v="3"/>
    <n v="1"/>
    <x v="2"/>
    <x v="1"/>
    <x v="4"/>
    <n v="81.86"/>
    <n v="12279"/>
    <n v="3683.7"/>
    <x v="1"/>
  </r>
  <r>
    <d v="2016-03-01T00:00:00"/>
    <n v="10"/>
    <n v="4"/>
    <n v="2.2000000000000002"/>
    <n v="31"/>
    <n v="11"/>
    <n v="2"/>
    <n v="0"/>
    <n v="2"/>
    <x v="2"/>
    <x v="2"/>
    <x v="5"/>
    <n v="62.2"/>
    <n v="9330"/>
    <n v="2799"/>
    <x v="0"/>
  </r>
  <r>
    <d v="2016-03-02T00:00:00"/>
    <n v="3.33"/>
    <n v="10.396000000000001"/>
    <n v="5.3"/>
    <n v="21.3"/>
    <n v="15"/>
    <n v="2"/>
    <n v="1"/>
    <n v="0"/>
    <x v="2"/>
    <x v="2"/>
    <x v="6"/>
    <n v="58.326000000000001"/>
    <n v="8748.9"/>
    <n v="2624.6699999999996"/>
    <x v="0"/>
  </r>
  <r>
    <d v="2016-03-03T00:00:00"/>
    <n v="2.83"/>
    <n v="2"/>
    <n v="5"/>
    <n v="55.8"/>
    <n v="2"/>
    <n v="0"/>
    <n v="9"/>
    <n v="4"/>
    <x v="2"/>
    <x v="2"/>
    <x v="0"/>
    <n v="80.63"/>
    <n v="12094.5"/>
    <n v="3628.35"/>
    <x v="1"/>
  </r>
  <r>
    <d v="2016-03-04T00:00:00"/>
    <n v="5"/>
    <n v="0.99"/>
    <n v="4.4000000000000004"/>
    <n v="26.6"/>
    <n v="3"/>
    <n v="0"/>
    <n v="0"/>
    <n v="0"/>
    <x v="2"/>
    <x v="2"/>
    <x v="1"/>
    <n v="39.99"/>
    <n v="5998.5"/>
    <n v="1799.55"/>
    <x v="0"/>
  </r>
  <r>
    <d v="2016-03-05T00:00:00"/>
    <n v="5"/>
    <n v="4.891"/>
    <n v="8"/>
    <n v="38"/>
    <n v="9"/>
    <n v="0"/>
    <n v="10"/>
    <n v="5"/>
    <x v="2"/>
    <x v="2"/>
    <x v="2"/>
    <n v="79.890999999999991"/>
    <n v="11983.649999999998"/>
    <n v="3595.0949999999993"/>
    <x v="1"/>
  </r>
  <r>
    <d v="2016-03-06T00:00:00"/>
    <n v="5"/>
    <n v="8.1449999999999996"/>
    <n v="4.9000000000000004"/>
    <n v="79.900000000000006"/>
    <n v="2"/>
    <n v="0"/>
    <n v="5"/>
    <n v="7"/>
    <x v="2"/>
    <x v="2"/>
    <x v="3"/>
    <n v="111.94500000000001"/>
    <n v="16791.75"/>
    <n v="5037.5249999999996"/>
    <x v="1"/>
  </r>
  <r>
    <d v="2016-03-07T00:00:00"/>
    <n v="5.33"/>
    <n v="7.34"/>
    <n v="4"/>
    <n v="43.5"/>
    <n v="3"/>
    <n v="1"/>
    <n v="6"/>
    <n v="1"/>
    <x v="2"/>
    <x v="2"/>
    <x v="4"/>
    <n v="71.17"/>
    <n v="10675.5"/>
    <n v="3202.65"/>
    <x v="1"/>
  </r>
  <r>
    <d v="2016-03-08T00:00:00"/>
    <n v="4"/>
    <n v="6.66"/>
    <n v="3"/>
    <n v="44"/>
    <n v="7"/>
    <n v="0"/>
    <n v="3"/>
    <n v="3"/>
    <x v="2"/>
    <x v="2"/>
    <x v="5"/>
    <n v="70.66"/>
    <n v="10599"/>
    <n v="3179.7"/>
    <x v="1"/>
  </r>
  <r>
    <d v="2016-03-09T00:00:00"/>
    <n v="4.34"/>
    <n v="5.67"/>
    <n v="7"/>
    <n v="21.8"/>
    <n v="7"/>
    <n v="1"/>
    <n v="6"/>
    <n v="4"/>
    <x v="2"/>
    <x v="2"/>
    <x v="6"/>
    <n v="56.81"/>
    <n v="8521.5"/>
    <n v="2556.4499999999998"/>
    <x v="0"/>
  </r>
  <r>
    <d v="2016-03-10T00:00:00"/>
    <n v="6.33"/>
    <n v="10.33"/>
    <n v="2"/>
    <n v="23.4"/>
    <n v="8"/>
    <n v="0"/>
    <n v="2"/>
    <n v="2"/>
    <x v="2"/>
    <x v="2"/>
    <x v="0"/>
    <n v="54.06"/>
    <n v="8109"/>
    <n v="2432.6999999999998"/>
    <x v="0"/>
  </r>
  <r>
    <d v="2016-03-11T00:00:00"/>
    <n v="3.33"/>
    <n v="4.3630000000000004"/>
    <n v="6.2"/>
    <n v="22"/>
    <n v="8"/>
    <n v="0"/>
    <n v="18"/>
    <n v="1"/>
    <x v="2"/>
    <x v="2"/>
    <x v="1"/>
    <n v="62.893000000000001"/>
    <n v="9433.9500000000007"/>
    <n v="2830.1849999999999"/>
    <x v="0"/>
  </r>
  <r>
    <d v="2016-03-12T00:00:00"/>
    <n v="3"/>
    <n v="6.3730000000000002"/>
    <n v="1.4"/>
    <n v="41.8"/>
    <n v="4"/>
    <n v="0"/>
    <n v="23"/>
    <n v="1"/>
    <x v="2"/>
    <x v="2"/>
    <x v="2"/>
    <n v="80.573000000000008"/>
    <n v="12085.95"/>
    <n v="3625.7850000000003"/>
    <x v="1"/>
  </r>
  <r>
    <d v="2016-03-13T00:00:00"/>
    <n v="2.5"/>
    <n v="4.1340000000000003"/>
    <n v="1.5"/>
    <n v="59.2"/>
    <n v="4"/>
    <n v="0"/>
    <n v="4"/>
    <n v="0.34"/>
    <x v="2"/>
    <x v="2"/>
    <x v="3"/>
    <n v="75.674000000000007"/>
    <n v="11351.1"/>
    <n v="3405.33"/>
    <x v="1"/>
  </r>
  <r>
    <d v="2016-03-14T00:00:00"/>
    <n v="4.33"/>
    <n v="3.32"/>
    <n v="10"/>
    <n v="35.9"/>
    <n v="12"/>
    <n v="0"/>
    <n v="23"/>
    <n v="1"/>
    <x v="2"/>
    <x v="2"/>
    <x v="4"/>
    <n v="89.55"/>
    <n v="13432.5"/>
    <n v="4029.75"/>
    <x v="1"/>
  </r>
  <r>
    <d v="2016-03-15T00:00:00"/>
    <n v="5.33"/>
    <n v="3.32"/>
    <n v="2"/>
    <n v="24"/>
    <n v="7"/>
    <n v="0"/>
    <n v="18"/>
    <n v="3"/>
    <x v="2"/>
    <x v="2"/>
    <x v="5"/>
    <n v="62.65"/>
    <n v="9397.5"/>
    <n v="2819.25"/>
    <x v="0"/>
  </r>
  <r>
    <d v="2016-03-16T00:00:00"/>
    <n v="5.33"/>
    <n v="13.34"/>
    <n v="5.7"/>
    <n v="37.4"/>
    <n v="16"/>
    <n v="0"/>
    <n v="4"/>
    <n v="4"/>
    <x v="2"/>
    <x v="2"/>
    <x v="6"/>
    <n v="85.77"/>
    <n v="12865.5"/>
    <n v="3859.6499999999996"/>
    <x v="1"/>
  </r>
  <r>
    <d v="2016-03-17T00:00:00"/>
    <n v="5.66"/>
    <n v="5.3959999999999999"/>
    <n v="5"/>
    <n v="60.2"/>
    <n v="10"/>
    <n v="0"/>
    <n v="8"/>
    <n v="5"/>
    <x v="2"/>
    <x v="2"/>
    <x v="0"/>
    <n v="99.256"/>
    <n v="14888.4"/>
    <n v="4466.5199999999995"/>
    <x v="1"/>
  </r>
  <r>
    <d v="2016-03-18T00:00:00"/>
    <n v="3.34"/>
    <n v="5.3529999999999998"/>
    <n v="5.2"/>
    <n v="25.462"/>
    <n v="15"/>
    <n v="2"/>
    <n v="8"/>
    <n v="3"/>
    <x v="2"/>
    <x v="2"/>
    <x v="1"/>
    <n v="67.355000000000004"/>
    <n v="10103.25"/>
    <n v="3030.9749999999999"/>
    <x v="1"/>
  </r>
  <r>
    <d v="2016-03-19T00:00:00"/>
    <n v="10.66"/>
    <n v="8.33"/>
    <n v="2.8"/>
    <n v="19.5"/>
    <n v="6"/>
    <n v="1"/>
    <n v="5"/>
    <n v="5"/>
    <x v="2"/>
    <x v="2"/>
    <x v="2"/>
    <n v="58.290000000000006"/>
    <n v="8743.5000000000018"/>
    <n v="2623.0500000000006"/>
    <x v="0"/>
  </r>
  <r>
    <d v="2016-03-20T00:00:00"/>
    <n v="7.99"/>
    <n v="9.6929999999999996"/>
    <n v="2.2000000000000002"/>
    <n v="42.2"/>
    <n v="1"/>
    <n v="0"/>
    <n v="15"/>
    <n v="5"/>
    <x v="2"/>
    <x v="2"/>
    <x v="3"/>
    <n v="83.082999999999998"/>
    <n v="12462.449999999999"/>
    <n v="3738.7349999999997"/>
    <x v="1"/>
  </r>
  <r>
    <d v="2016-03-21T00:00:00"/>
    <n v="5"/>
    <n v="8.0559999999999992"/>
    <n v="6"/>
    <n v="45.7"/>
    <n v="11"/>
    <n v="0"/>
    <n v="36"/>
    <n v="7"/>
    <x v="2"/>
    <x v="2"/>
    <x v="4"/>
    <n v="118.756"/>
    <n v="17813.400000000001"/>
    <n v="5344.02"/>
    <x v="1"/>
  </r>
  <r>
    <d v="2016-03-22T00:00:00"/>
    <n v="2.33"/>
    <n v="0"/>
    <n v="5"/>
    <n v="42.188000000000002"/>
    <n v="12"/>
    <n v="2"/>
    <n v="4"/>
    <n v="2"/>
    <x v="2"/>
    <x v="2"/>
    <x v="5"/>
    <n v="69.518000000000001"/>
    <n v="10427.700000000001"/>
    <n v="3128.31"/>
    <x v="1"/>
  </r>
  <r>
    <d v="2016-03-23T00:00:00"/>
    <n v="4"/>
    <n v="3"/>
    <n v="6"/>
    <n v="24.25"/>
    <n v="22"/>
    <n v="1"/>
    <n v="0"/>
    <n v="3"/>
    <x v="2"/>
    <x v="2"/>
    <x v="6"/>
    <n v="63.25"/>
    <n v="9487.5"/>
    <n v="2846.25"/>
    <x v="0"/>
  </r>
  <r>
    <d v="2016-03-24T00:00:00"/>
    <n v="6.84"/>
    <n v="2"/>
    <n v="3"/>
    <n v="32"/>
    <n v="4"/>
    <n v="0"/>
    <n v="8"/>
    <n v="2"/>
    <x v="2"/>
    <x v="2"/>
    <x v="0"/>
    <n v="57.84"/>
    <n v="8676"/>
    <n v="2602.7999999999997"/>
    <x v="0"/>
  </r>
  <r>
    <d v="2016-03-25T00:00:00"/>
    <n v="7"/>
    <n v="7.35"/>
    <n v="4.2"/>
    <n v="42.8"/>
    <n v="8"/>
    <n v="0"/>
    <n v="3"/>
    <n v="3"/>
    <x v="2"/>
    <x v="2"/>
    <x v="1"/>
    <n v="75.349999999999994"/>
    <n v="11302.5"/>
    <n v="3390.75"/>
    <x v="1"/>
  </r>
  <r>
    <d v="2016-03-26T00:00:00"/>
    <n v="2.5"/>
    <n v="0.66"/>
    <n v="7.5"/>
    <n v="33.25"/>
    <n v="4"/>
    <n v="0"/>
    <n v="0"/>
    <n v="5"/>
    <x v="2"/>
    <x v="2"/>
    <x v="2"/>
    <n v="52.91"/>
    <n v="7936.4999999999991"/>
    <n v="2380.9499999999998"/>
    <x v="0"/>
  </r>
  <r>
    <d v="2016-03-27T00:00:00"/>
    <n v="7.83"/>
    <n v="5.4489999999999998"/>
    <n v="13.7"/>
    <n v="63.3"/>
    <n v="11"/>
    <n v="1"/>
    <n v="1"/>
    <n v="4"/>
    <x v="2"/>
    <x v="2"/>
    <x v="3"/>
    <n v="107.279"/>
    <n v="16091.849999999999"/>
    <n v="4827.5549999999994"/>
    <x v="1"/>
  </r>
  <r>
    <d v="2016-03-28T00:00:00"/>
    <n v="3.34"/>
    <n v="2.34"/>
    <n v="1.7"/>
    <n v="24.6"/>
    <n v="20"/>
    <n v="0"/>
    <n v="4"/>
    <n v="4.5"/>
    <x v="2"/>
    <x v="2"/>
    <x v="4"/>
    <n v="60.480000000000004"/>
    <n v="9072"/>
    <n v="2721.6"/>
    <x v="0"/>
  </r>
  <r>
    <d v="2016-03-29T00:00:00"/>
    <n v="5.68"/>
    <n v="1.33"/>
    <n v="3.2"/>
    <n v="36.200000000000003"/>
    <n v="4"/>
    <n v="0"/>
    <n v="12"/>
    <n v="1"/>
    <x v="2"/>
    <x v="2"/>
    <x v="5"/>
    <n v="63.410000000000004"/>
    <n v="9511.5"/>
    <n v="2853.45"/>
    <x v="0"/>
  </r>
  <r>
    <d v="2016-03-30T00:00:00"/>
    <n v="7.16"/>
    <n v="2.68"/>
    <n v="7.4"/>
    <n v="22.2"/>
    <n v="3"/>
    <n v="0"/>
    <n v="12"/>
    <n v="5"/>
    <x v="2"/>
    <x v="2"/>
    <x v="6"/>
    <n v="59.44"/>
    <n v="8916"/>
    <n v="2674.7999999999997"/>
    <x v="0"/>
  </r>
  <r>
    <d v="2016-03-31T00:00:00"/>
    <n v="2.33"/>
    <n v="8.68"/>
    <n v="2.9"/>
    <n v="31.25"/>
    <n v="1"/>
    <n v="0"/>
    <n v="5"/>
    <n v="5"/>
    <x v="2"/>
    <x v="2"/>
    <x v="0"/>
    <n v="56.16"/>
    <n v="8424"/>
    <n v="2527.1999999999998"/>
    <x v="0"/>
  </r>
  <r>
    <d v="2016-04-01T00:00:00"/>
    <n v="6.33"/>
    <n v="3.01"/>
    <n v="2.7"/>
    <n v="50.4"/>
    <n v="4"/>
    <n v="0"/>
    <n v="16"/>
    <n v="10.5"/>
    <x v="2"/>
    <x v="3"/>
    <x v="1"/>
    <n v="92.94"/>
    <n v="13941"/>
    <n v="4182.3"/>
    <x v="1"/>
  </r>
  <r>
    <d v="2016-04-02T00:00:00"/>
    <n v="3.67"/>
    <n v="2"/>
    <n v="7"/>
    <n v="32.299999999999997"/>
    <n v="4"/>
    <n v="0"/>
    <n v="19"/>
    <n v="7.4"/>
    <x v="2"/>
    <x v="3"/>
    <x v="2"/>
    <n v="75.37"/>
    <n v="11305.5"/>
    <n v="3391.65"/>
    <x v="1"/>
  </r>
  <r>
    <d v="2016-04-03T00:00:00"/>
    <n v="9.67"/>
    <n v="7.3959999999999999"/>
    <n v="5.3"/>
    <n v="73.5"/>
    <n v="5"/>
    <n v="0"/>
    <n v="6"/>
    <n v="11"/>
    <x v="2"/>
    <x v="3"/>
    <x v="3"/>
    <n v="117.866"/>
    <n v="17679.900000000001"/>
    <n v="5303.97"/>
    <x v="1"/>
  </r>
  <r>
    <d v="2016-04-04T00:00:00"/>
    <n v="7"/>
    <n v="5.2309999999999999"/>
    <n v="5"/>
    <n v="21.6"/>
    <n v="3"/>
    <n v="1"/>
    <n v="11"/>
    <n v="2"/>
    <x v="2"/>
    <x v="3"/>
    <x v="4"/>
    <n v="55.831000000000003"/>
    <n v="8374.65"/>
    <n v="2512.395"/>
    <x v="0"/>
  </r>
  <r>
    <d v="2016-04-05T00:00:00"/>
    <n v="6"/>
    <n v="5.33"/>
    <n v="4"/>
    <n v="40.299999999999997"/>
    <n v="5"/>
    <n v="1"/>
    <n v="11"/>
    <n v="12"/>
    <x v="2"/>
    <x v="3"/>
    <x v="5"/>
    <n v="84.63"/>
    <n v="12694.5"/>
    <n v="3808.35"/>
    <x v="1"/>
  </r>
  <r>
    <d v="2016-04-06T00:00:00"/>
    <n v="6.66"/>
    <n v="5.3630000000000004"/>
    <n v="2"/>
    <n v="15.25"/>
    <n v="7"/>
    <n v="0"/>
    <n v="6"/>
    <n v="3"/>
    <x v="2"/>
    <x v="3"/>
    <x v="6"/>
    <n v="45.272999999999996"/>
    <n v="6790.95"/>
    <n v="2037.2849999999999"/>
    <x v="0"/>
  </r>
  <r>
    <d v="2016-04-07T00:00:00"/>
    <n v="6.33"/>
    <n v="5.98"/>
    <n v="4"/>
    <n v="21"/>
    <n v="7"/>
    <n v="2"/>
    <n v="4"/>
    <n v="8.1999999999999993"/>
    <x v="2"/>
    <x v="3"/>
    <x v="0"/>
    <n v="58.510000000000005"/>
    <n v="8776.5"/>
    <n v="2632.95"/>
    <x v="0"/>
  </r>
  <r>
    <d v="2016-04-08T00:00:00"/>
    <n v="7.67"/>
    <n v="3.66"/>
    <n v="5"/>
    <n v="42.3"/>
    <n v="2"/>
    <n v="1"/>
    <n v="3"/>
    <n v="4.4000000000000004"/>
    <x v="2"/>
    <x v="3"/>
    <x v="1"/>
    <n v="69.03"/>
    <n v="10354.5"/>
    <n v="3106.35"/>
    <x v="1"/>
  </r>
  <r>
    <d v="2016-04-09T00:00:00"/>
    <n v="9"/>
    <n v="9.01"/>
    <n v="3.1"/>
    <n v="38.799999999999997"/>
    <n v="7"/>
    <n v="0"/>
    <n v="14"/>
    <n v="3"/>
    <x v="2"/>
    <x v="3"/>
    <x v="2"/>
    <n v="83.91"/>
    <n v="12586.5"/>
    <n v="3775.95"/>
    <x v="1"/>
  </r>
  <r>
    <d v="2016-04-10T00:00:00"/>
    <n v="5"/>
    <n v="6.67"/>
    <n v="5.15"/>
    <n v="21.4"/>
    <n v="4"/>
    <n v="1"/>
    <n v="11"/>
    <n v="8"/>
    <x v="2"/>
    <x v="3"/>
    <x v="3"/>
    <n v="62.22"/>
    <n v="9333"/>
    <n v="2799.9"/>
    <x v="0"/>
  </r>
  <r>
    <d v="2016-04-11T00:00:00"/>
    <n v="0.33"/>
    <n v="4.99"/>
    <n v="3"/>
    <n v="26"/>
    <n v="11"/>
    <n v="2"/>
    <n v="17"/>
    <n v="6"/>
    <x v="2"/>
    <x v="3"/>
    <x v="4"/>
    <n v="70.319999999999993"/>
    <n v="10547.999999999998"/>
    <n v="3164.3999999999992"/>
    <x v="1"/>
  </r>
  <r>
    <d v="2016-04-12T00:00:00"/>
    <n v="4.34"/>
    <n v="4.6500000000000004"/>
    <n v="6"/>
    <n v="41.6"/>
    <n v="19"/>
    <n v="1"/>
    <n v="2"/>
    <n v="5"/>
    <x v="2"/>
    <x v="3"/>
    <x v="5"/>
    <n v="83.59"/>
    <n v="12538.5"/>
    <n v="3761.5499999999997"/>
    <x v="1"/>
  </r>
  <r>
    <d v="2016-04-13T00:00:00"/>
    <n v="6.33"/>
    <n v="3.0659999999999998"/>
    <n v="3"/>
    <n v="34"/>
    <n v="22.333333329999999"/>
    <n v="0"/>
    <n v="2"/>
    <n v="3"/>
    <x v="2"/>
    <x v="3"/>
    <x v="6"/>
    <n v="73.729333330000003"/>
    <n v="11059.399999500001"/>
    <n v="3317.8199998500004"/>
    <x v="1"/>
  </r>
  <r>
    <d v="2016-04-14T00:00:00"/>
    <n v="2.66"/>
    <n v="2.3199999999999998"/>
    <n v="8.5"/>
    <n v="44.225000000000001"/>
    <n v="9"/>
    <n v="0"/>
    <n v="4"/>
    <n v="6"/>
    <x v="2"/>
    <x v="3"/>
    <x v="0"/>
    <n v="76.704999999999998"/>
    <n v="11505.75"/>
    <n v="3451.7249999999999"/>
    <x v="1"/>
  </r>
  <r>
    <d v="2016-04-15T00:00:00"/>
    <n v="4.33"/>
    <n v="3.056"/>
    <n v="2.7"/>
    <n v="23.6"/>
    <n v="6"/>
    <n v="0"/>
    <n v="10"/>
    <n v="4.2"/>
    <x v="2"/>
    <x v="3"/>
    <x v="1"/>
    <n v="53.886000000000003"/>
    <n v="8082.9000000000005"/>
    <n v="2424.87"/>
    <x v="0"/>
  </r>
  <r>
    <d v="2016-04-16T00:00:00"/>
    <n v="5.34"/>
    <n v="6.66"/>
    <n v="5.3"/>
    <n v="33"/>
    <n v="11"/>
    <n v="0"/>
    <n v="8"/>
    <n v="8.5"/>
    <x v="2"/>
    <x v="3"/>
    <x v="2"/>
    <n v="77.8"/>
    <n v="11670"/>
    <n v="3501"/>
    <x v="1"/>
  </r>
  <r>
    <d v="2016-04-17T00:00:00"/>
    <n v="4.33"/>
    <n v="8.1750000000000007"/>
    <n v="3"/>
    <n v="52.8"/>
    <n v="2"/>
    <n v="0"/>
    <n v="7"/>
    <n v="7.2"/>
    <x v="2"/>
    <x v="3"/>
    <x v="3"/>
    <n v="84.504999999999995"/>
    <n v="12675.75"/>
    <n v="3802.7249999999999"/>
    <x v="1"/>
  </r>
  <r>
    <d v="2016-04-18T00:00:00"/>
    <n v="3.66"/>
    <n v="2"/>
    <n v="5"/>
    <n v="22.1"/>
    <n v="15"/>
    <n v="3"/>
    <n v="7"/>
    <n v="7"/>
    <x v="2"/>
    <x v="3"/>
    <x v="4"/>
    <n v="64.760000000000005"/>
    <n v="9714"/>
    <n v="2914.2"/>
    <x v="0"/>
  </r>
  <r>
    <d v="2016-04-19T00:00:00"/>
    <n v="3"/>
    <n v="1.34"/>
    <n v="8.3000000000000007"/>
    <n v="24.3"/>
    <n v="7"/>
    <n v="0"/>
    <n v="6"/>
    <n v="4"/>
    <x v="2"/>
    <x v="3"/>
    <x v="5"/>
    <n v="53.94"/>
    <n v="8091"/>
    <n v="2427.2999999999997"/>
    <x v="0"/>
  </r>
  <r>
    <d v="2016-04-20T00:00:00"/>
    <n v="2.66"/>
    <n v="3.33"/>
    <n v="2.4"/>
    <n v="17.100000000000001"/>
    <n v="11"/>
    <n v="5"/>
    <n v="15"/>
    <n v="3"/>
    <x v="2"/>
    <x v="3"/>
    <x v="6"/>
    <n v="59.49"/>
    <n v="8923.5"/>
    <n v="2677.0499999999997"/>
    <x v="0"/>
  </r>
  <r>
    <d v="2016-04-21T00:00:00"/>
    <n v="3"/>
    <n v="3.464"/>
    <n v="3"/>
    <n v="21.6"/>
    <n v="6"/>
    <n v="0"/>
    <n v="0"/>
    <n v="2.2999999999999998"/>
    <x v="2"/>
    <x v="3"/>
    <x v="0"/>
    <n v="39.363999999999997"/>
    <n v="5904.5999999999995"/>
    <n v="1771.3799999999999"/>
    <x v="0"/>
  </r>
  <r>
    <d v="2016-04-22T00:00:00"/>
    <n v="6"/>
    <n v="5.67"/>
    <n v="4"/>
    <n v="21.9"/>
    <n v="4"/>
    <n v="0"/>
    <n v="6"/>
    <n v="1"/>
    <x v="2"/>
    <x v="3"/>
    <x v="1"/>
    <n v="48.57"/>
    <n v="7285.5"/>
    <n v="2185.65"/>
    <x v="0"/>
  </r>
  <r>
    <d v="2016-04-23T00:00:00"/>
    <n v="13.66"/>
    <n v="3.69"/>
    <n v="8"/>
    <n v="33.200000000000003"/>
    <n v="8"/>
    <n v="0"/>
    <n v="0"/>
    <n v="4.5"/>
    <x v="2"/>
    <x v="3"/>
    <x v="2"/>
    <n v="71.050000000000011"/>
    <n v="10657.500000000002"/>
    <n v="3197.2500000000005"/>
    <x v="1"/>
  </r>
  <r>
    <d v="2016-04-24T00:00:00"/>
    <n v="1"/>
    <n v="6.66"/>
    <n v="5.5"/>
    <n v="36.950000000000003"/>
    <n v="3"/>
    <n v="0"/>
    <n v="6"/>
    <n v="5"/>
    <x v="2"/>
    <x v="3"/>
    <x v="3"/>
    <n v="64.11"/>
    <n v="9616.5"/>
    <n v="2884.95"/>
    <x v="0"/>
  </r>
  <r>
    <d v="2016-04-25T00:00:00"/>
    <n v="6.67"/>
    <n v="1.66"/>
    <n v="7.25"/>
    <n v="21.7"/>
    <n v="20"/>
    <n v="1"/>
    <n v="3"/>
    <n v="2.5"/>
    <x v="2"/>
    <x v="3"/>
    <x v="4"/>
    <n v="63.78"/>
    <n v="9567"/>
    <n v="2870.1"/>
    <x v="0"/>
  </r>
  <r>
    <d v="2016-04-26T00:00:00"/>
    <n v="5.33"/>
    <n v="4.99"/>
    <n v="7"/>
    <n v="27.2"/>
    <n v="19"/>
    <n v="0"/>
    <n v="7"/>
    <n v="2"/>
    <x v="2"/>
    <x v="3"/>
    <x v="5"/>
    <n v="72.52"/>
    <n v="10878"/>
    <n v="3263.4"/>
    <x v="1"/>
  </r>
  <r>
    <d v="2016-04-27T00:00:00"/>
    <n v="5.66"/>
    <n v="7.4950000000000001"/>
    <n v="7"/>
    <n v="47.4"/>
    <n v="27"/>
    <n v="0"/>
    <n v="1"/>
    <n v="2"/>
    <x v="2"/>
    <x v="3"/>
    <x v="6"/>
    <n v="97.555000000000007"/>
    <n v="14633.250000000002"/>
    <n v="4389.9750000000004"/>
    <x v="1"/>
  </r>
  <r>
    <d v="2016-04-28T00:00:00"/>
    <n v="4.66"/>
    <n v="6.34"/>
    <n v="6"/>
    <n v="28"/>
    <n v="17.666666670000001"/>
    <n v="0"/>
    <n v="12"/>
    <n v="12"/>
    <x v="2"/>
    <x v="3"/>
    <x v="0"/>
    <n v="86.666666669999998"/>
    <n v="13000.0000005"/>
    <n v="3900.0000001499998"/>
    <x v="1"/>
  </r>
  <r>
    <d v="2016-04-29T00:00:00"/>
    <n v="6.66"/>
    <n v="3"/>
    <n v="2.5"/>
    <n v="37"/>
    <n v="15"/>
    <n v="0"/>
    <n v="1"/>
    <n v="3.2"/>
    <x v="2"/>
    <x v="3"/>
    <x v="1"/>
    <n v="68.36"/>
    <n v="10254"/>
    <n v="3076.2"/>
    <x v="1"/>
  </r>
  <r>
    <d v="2016-04-30T00:00:00"/>
    <n v="9.66"/>
    <n v="10.32"/>
    <n v="7"/>
    <n v="47.811999999999998"/>
    <n v="11"/>
    <n v="0"/>
    <n v="1"/>
    <n v="4.5"/>
    <x v="2"/>
    <x v="3"/>
    <x v="2"/>
    <n v="91.292000000000002"/>
    <n v="13693.800000000001"/>
    <n v="4108.1400000000003"/>
    <x v="1"/>
  </r>
  <r>
    <d v="2016-05-01T00:00:00"/>
    <n v="0"/>
    <n v="0"/>
    <n v="0"/>
    <n v="0"/>
    <n v="0"/>
    <n v="0"/>
    <n v="0"/>
    <n v="0"/>
    <x v="2"/>
    <x v="4"/>
    <x v="3"/>
    <n v="0"/>
    <n v="0"/>
    <n v="0"/>
    <x v="0"/>
  </r>
  <r>
    <d v="2016-05-02T00:00:00"/>
    <n v="4"/>
    <n v="1.02"/>
    <n v="1"/>
    <n v="39.200000000000003"/>
    <n v="7"/>
    <n v="0"/>
    <n v="5"/>
    <n v="2"/>
    <x v="2"/>
    <x v="4"/>
    <x v="4"/>
    <n v="59.22"/>
    <n v="8883"/>
    <n v="2664.9"/>
    <x v="0"/>
  </r>
  <r>
    <d v="2016-05-03T00:00:00"/>
    <n v="6.33"/>
    <n v="5.99"/>
    <n v="3"/>
    <n v="23.9"/>
    <n v="3"/>
    <n v="0"/>
    <n v="0"/>
    <n v="2"/>
    <x v="2"/>
    <x v="4"/>
    <x v="5"/>
    <n v="44.22"/>
    <n v="6633"/>
    <n v="1989.8999999999999"/>
    <x v="0"/>
  </r>
  <r>
    <d v="2016-05-04T00:00:00"/>
    <n v="7.34"/>
    <n v="3"/>
    <n v="5"/>
    <n v="32.200000000000003"/>
    <n v="4"/>
    <n v="0"/>
    <n v="1"/>
    <n v="2"/>
    <x v="2"/>
    <x v="4"/>
    <x v="6"/>
    <n v="54.540000000000006"/>
    <n v="8181.0000000000009"/>
    <n v="2454.3000000000002"/>
    <x v="0"/>
  </r>
  <r>
    <d v="2016-05-05T00:00:00"/>
    <n v="4.66"/>
    <n v="3"/>
    <n v="6"/>
    <n v="41"/>
    <n v="16"/>
    <n v="3"/>
    <n v="1"/>
    <n v="2"/>
    <x v="2"/>
    <x v="4"/>
    <x v="0"/>
    <n v="76.66"/>
    <n v="11499"/>
    <n v="3449.7"/>
    <x v="1"/>
  </r>
  <r>
    <d v="2016-05-06T00:00:00"/>
    <n v="4"/>
    <n v="2.99"/>
    <n v="1"/>
    <n v="33.6"/>
    <n v="7"/>
    <n v="0"/>
    <n v="1"/>
    <n v="3"/>
    <x v="2"/>
    <x v="4"/>
    <x v="1"/>
    <n v="52.59"/>
    <n v="7888.5000000000009"/>
    <n v="2366.5500000000002"/>
    <x v="0"/>
  </r>
  <r>
    <d v="2016-05-07T00:00:00"/>
    <n v="3.99"/>
    <n v="8.34"/>
    <n v="4"/>
    <n v="47.2"/>
    <n v="5"/>
    <n v="1"/>
    <n v="0"/>
    <n v="10"/>
    <x v="2"/>
    <x v="4"/>
    <x v="2"/>
    <n v="79.53"/>
    <n v="11929.5"/>
    <n v="3578.85"/>
    <x v="1"/>
  </r>
  <r>
    <d v="2016-05-08T00:00:00"/>
    <n v="5"/>
    <n v="10.66"/>
    <n v="1"/>
    <n v="40.4"/>
    <n v="12"/>
    <n v="0"/>
    <n v="1"/>
    <n v="11"/>
    <x v="2"/>
    <x v="4"/>
    <x v="3"/>
    <n v="81.06"/>
    <n v="12159"/>
    <n v="3647.7"/>
    <x v="1"/>
  </r>
  <r>
    <d v="2016-05-09T00:00:00"/>
    <n v="5.67"/>
    <n v="6.3630000000000004"/>
    <n v="5"/>
    <n v="29.2"/>
    <n v="3"/>
    <n v="0"/>
    <n v="2"/>
    <n v="5"/>
    <x v="2"/>
    <x v="4"/>
    <x v="4"/>
    <n v="56.233000000000004"/>
    <n v="8434.9500000000007"/>
    <n v="2530.4850000000001"/>
    <x v="0"/>
  </r>
  <r>
    <d v="2016-05-10T00:00:00"/>
    <n v="7.33"/>
    <n v="3.67"/>
    <n v="7"/>
    <n v="28.25"/>
    <n v="4"/>
    <n v="0"/>
    <n v="2"/>
    <n v="3.5"/>
    <x v="2"/>
    <x v="4"/>
    <x v="5"/>
    <n v="55.75"/>
    <n v="8362.5"/>
    <n v="2508.75"/>
    <x v="0"/>
  </r>
  <r>
    <d v="2016-05-11T00:00:00"/>
    <n v="5.33"/>
    <n v="4.66"/>
    <n v="4"/>
    <n v="23"/>
    <n v="13"/>
    <n v="0"/>
    <n v="3"/>
    <n v="2"/>
    <x v="2"/>
    <x v="4"/>
    <x v="6"/>
    <n v="54.99"/>
    <n v="8248.5"/>
    <n v="2474.5499999999997"/>
    <x v="0"/>
  </r>
  <r>
    <d v="2016-05-12T00:00:00"/>
    <n v="3.01"/>
    <n v="1.7589999999999999"/>
    <n v="8"/>
    <n v="28.1"/>
    <n v="8"/>
    <n v="1"/>
    <n v="2"/>
    <n v="0"/>
    <x v="2"/>
    <x v="4"/>
    <x v="0"/>
    <n v="51.869"/>
    <n v="7780.35"/>
    <n v="2334.105"/>
    <x v="0"/>
  </r>
  <r>
    <d v="2016-05-13T00:00:00"/>
    <n v="2.33"/>
    <n v="2.33"/>
    <n v="3"/>
    <n v="37"/>
    <n v="9"/>
    <n v="0"/>
    <n v="0"/>
    <n v="5"/>
    <x v="2"/>
    <x v="4"/>
    <x v="1"/>
    <n v="58.66"/>
    <n v="8799"/>
    <n v="2639.7"/>
    <x v="0"/>
  </r>
  <r>
    <d v="2016-05-14T00:00:00"/>
    <n v="5.34"/>
    <n v="4.67"/>
    <n v="5.55"/>
    <n v="31.25"/>
    <n v="13"/>
    <n v="0"/>
    <n v="21"/>
    <n v="1"/>
    <x v="2"/>
    <x v="4"/>
    <x v="2"/>
    <n v="81.81"/>
    <n v="12271.5"/>
    <n v="3681.45"/>
    <x v="1"/>
  </r>
  <r>
    <d v="2016-05-15T00:00:00"/>
    <n v="5.33"/>
    <n v="8.1880000000000006"/>
    <n v="1.2"/>
    <n v="44.1"/>
    <n v="6"/>
    <n v="0"/>
    <n v="5"/>
    <n v="4"/>
    <x v="2"/>
    <x v="4"/>
    <x v="3"/>
    <n v="73.817999999999998"/>
    <n v="11072.699999999999"/>
    <n v="3321.8099999999995"/>
    <x v="1"/>
  </r>
  <r>
    <d v="2016-05-16T00:00:00"/>
    <n v="5"/>
    <n v="3.66"/>
    <n v="2"/>
    <n v="24"/>
    <n v="17"/>
    <n v="0"/>
    <n v="2"/>
    <n v="3"/>
    <x v="2"/>
    <x v="4"/>
    <x v="4"/>
    <n v="56.66"/>
    <n v="8499"/>
    <n v="2549.6999999999998"/>
    <x v="0"/>
  </r>
  <r>
    <d v="2016-05-17T00:00:00"/>
    <n v="4"/>
    <n v="2.33"/>
    <n v="7.1"/>
    <n v="38.4"/>
    <n v="4"/>
    <n v="0"/>
    <n v="1"/>
    <n v="3.2"/>
    <x v="2"/>
    <x v="4"/>
    <x v="5"/>
    <n v="60.03"/>
    <n v="9004.5"/>
    <n v="2701.35"/>
    <x v="0"/>
  </r>
  <r>
    <d v="2016-05-18T00:00:00"/>
    <n v="4"/>
    <n v="5.33"/>
    <n v="5.25"/>
    <n v="35"/>
    <n v="7"/>
    <n v="0"/>
    <n v="1"/>
    <n v="5"/>
    <x v="2"/>
    <x v="4"/>
    <x v="6"/>
    <n v="62.58"/>
    <n v="9387"/>
    <n v="2816.1"/>
    <x v="0"/>
  </r>
  <r>
    <d v="2016-05-19T00:00:00"/>
    <n v="6.34"/>
    <n v="5.66"/>
    <n v="2"/>
    <n v="30.5"/>
    <n v="10"/>
    <n v="0"/>
    <n v="16"/>
    <n v="3"/>
    <x v="2"/>
    <x v="4"/>
    <x v="0"/>
    <n v="73.5"/>
    <n v="11025"/>
    <n v="3307.5"/>
    <x v="1"/>
  </r>
  <r>
    <d v="2016-05-20T00:00:00"/>
    <n v="3"/>
    <n v="1.1319999999999999"/>
    <n v="3"/>
    <n v="14"/>
    <n v="14"/>
    <n v="2"/>
    <n v="9"/>
    <n v="5"/>
    <x v="2"/>
    <x v="4"/>
    <x v="1"/>
    <n v="51.131999999999998"/>
    <n v="7669.7999999999993"/>
    <n v="2300.9399999999996"/>
    <x v="0"/>
  </r>
  <r>
    <d v="2016-05-21T00:00:00"/>
    <n v="2"/>
    <n v="5.34"/>
    <n v="5.2"/>
    <n v="42.5"/>
    <n v="3"/>
    <n v="0"/>
    <n v="17"/>
    <n v="5"/>
    <x v="2"/>
    <x v="4"/>
    <x v="2"/>
    <n v="80.039999999999992"/>
    <n v="12005.999999999998"/>
    <n v="3601.7999999999993"/>
    <x v="1"/>
  </r>
  <r>
    <d v="2016-05-22T00:00:00"/>
    <n v="4.34"/>
    <n v="4.51"/>
    <n v="9.0500000000000007"/>
    <n v="55.6"/>
    <n v="6"/>
    <n v="1"/>
    <n v="0"/>
    <n v="10"/>
    <x v="2"/>
    <x v="4"/>
    <x v="3"/>
    <n v="90.5"/>
    <n v="13575"/>
    <n v="4072.5"/>
    <x v="1"/>
  </r>
  <r>
    <d v="2016-05-23T00:00:00"/>
    <n v="5"/>
    <n v="2.363"/>
    <n v="5"/>
    <n v="54.7"/>
    <n v="19"/>
    <n v="0"/>
    <n v="7"/>
    <n v="4"/>
    <x v="2"/>
    <x v="4"/>
    <x v="4"/>
    <n v="97.063000000000002"/>
    <n v="14559.45"/>
    <n v="4367.835"/>
    <x v="1"/>
  </r>
  <r>
    <d v="2016-05-24T00:00:00"/>
    <n v="12"/>
    <n v="3.1669999999999998"/>
    <n v="4"/>
    <n v="32"/>
    <n v="3"/>
    <n v="0"/>
    <n v="3"/>
    <n v="2"/>
    <x v="2"/>
    <x v="4"/>
    <x v="5"/>
    <n v="59.167000000000002"/>
    <n v="8875.0500000000011"/>
    <n v="2662.5150000000003"/>
    <x v="0"/>
  </r>
  <r>
    <d v="2016-05-25T00:00:00"/>
    <n v="8.34"/>
    <n v="1.67"/>
    <n v="6"/>
    <n v="25.05"/>
    <n v="16"/>
    <n v="1"/>
    <n v="0"/>
    <n v="1.2"/>
    <x v="2"/>
    <x v="4"/>
    <x v="6"/>
    <n v="59.260000000000005"/>
    <n v="8889"/>
    <n v="2666.7"/>
    <x v="0"/>
  </r>
  <r>
    <d v="2016-05-26T00:00:00"/>
    <n v="4.67"/>
    <n v="5.33"/>
    <n v="5.35"/>
    <n v="24.8"/>
    <n v="20"/>
    <n v="1"/>
    <n v="0"/>
    <n v="9"/>
    <x v="2"/>
    <x v="4"/>
    <x v="0"/>
    <n v="70.150000000000006"/>
    <n v="10522.5"/>
    <n v="3156.75"/>
    <x v="1"/>
  </r>
  <r>
    <d v="2016-05-27T00:00:00"/>
    <n v="8.67"/>
    <n v="2.6829999999999998"/>
    <n v="5.25"/>
    <n v="17"/>
    <n v="14"/>
    <n v="7"/>
    <n v="2"/>
    <n v="6"/>
    <x v="2"/>
    <x v="4"/>
    <x v="1"/>
    <n v="62.603000000000002"/>
    <n v="9390.4500000000007"/>
    <n v="2817.1350000000002"/>
    <x v="0"/>
  </r>
  <r>
    <d v="2016-05-28T00:00:00"/>
    <n v="12.33"/>
    <n v="0.36299999999999999"/>
    <n v="3"/>
    <n v="43"/>
    <n v="4"/>
    <n v="0"/>
    <n v="4"/>
    <n v="9"/>
    <x v="2"/>
    <x v="4"/>
    <x v="2"/>
    <n v="75.692999999999998"/>
    <n v="11353.949999999999"/>
    <n v="3406.1849999999995"/>
    <x v="1"/>
  </r>
  <r>
    <d v="2016-05-29T00:00:00"/>
    <n v="8.67"/>
    <n v="4.33"/>
    <n v="6"/>
    <n v="31.8"/>
    <n v="2"/>
    <n v="1"/>
    <n v="5"/>
    <n v="9.1999999999999993"/>
    <x v="2"/>
    <x v="4"/>
    <x v="3"/>
    <n v="68"/>
    <n v="10200"/>
    <n v="3060"/>
    <x v="1"/>
  </r>
  <r>
    <d v="2016-05-30T00:00:00"/>
    <n v="3.34"/>
    <n v="3.0230000000000001"/>
    <n v="4.0999999999999996"/>
    <n v="29.4"/>
    <n v="3"/>
    <n v="0"/>
    <n v="7"/>
    <n v="8"/>
    <x v="2"/>
    <x v="4"/>
    <x v="4"/>
    <n v="57.863"/>
    <n v="8679.4500000000007"/>
    <n v="2603.835"/>
    <x v="0"/>
  </r>
  <r>
    <d v="2016-05-31T00:00:00"/>
    <n v="6"/>
    <n v="3.33"/>
    <n v="3.5"/>
    <n v="21"/>
    <n v="3"/>
    <n v="0"/>
    <n v="13"/>
    <n v="2"/>
    <x v="2"/>
    <x v="4"/>
    <x v="5"/>
    <n v="51.83"/>
    <n v="7774.5"/>
    <n v="2332.35"/>
    <x v="0"/>
  </r>
  <r>
    <d v="2016-06-01T00:00:00"/>
    <n v="9"/>
    <n v="1.1000000000000001"/>
    <n v="2"/>
    <n v="20"/>
    <n v="11"/>
    <n v="0"/>
    <n v="7"/>
    <n v="5"/>
    <x v="2"/>
    <x v="5"/>
    <x v="6"/>
    <n v="55.1"/>
    <n v="8265"/>
    <n v="2479.5"/>
    <x v="0"/>
  </r>
  <r>
    <d v="2016-06-02T00:00:00"/>
    <n v="2.33"/>
    <n v="6"/>
    <n v="1.05"/>
    <n v="21.25"/>
    <n v="18"/>
    <n v="3"/>
    <n v="4"/>
    <n v="1"/>
    <x v="2"/>
    <x v="5"/>
    <x v="0"/>
    <n v="56.63"/>
    <n v="8494.5"/>
    <n v="2548.35"/>
    <x v="0"/>
  </r>
  <r>
    <d v="2016-06-03T00:00:00"/>
    <n v="7.33"/>
    <n v="3"/>
    <n v="4"/>
    <n v="18"/>
    <n v="8"/>
    <n v="0"/>
    <n v="1"/>
    <n v="7"/>
    <x v="2"/>
    <x v="5"/>
    <x v="1"/>
    <n v="48.33"/>
    <n v="7249.5"/>
    <n v="2174.85"/>
    <x v="0"/>
  </r>
  <r>
    <d v="2016-06-04T00:00:00"/>
    <n v="3.33"/>
    <n v="3.34"/>
    <n v="3.3"/>
    <n v="21"/>
    <n v="2"/>
    <n v="0"/>
    <n v="0"/>
    <n v="4"/>
    <x v="2"/>
    <x v="5"/>
    <x v="2"/>
    <n v="36.97"/>
    <n v="5545.5"/>
    <n v="1663.6499999999999"/>
    <x v="0"/>
  </r>
  <r>
    <d v="2016-06-05T00:00:00"/>
    <n v="10.34"/>
    <n v="3.0659999999999998"/>
    <n v="4.3"/>
    <n v="23.4"/>
    <n v="5"/>
    <n v="0"/>
    <n v="3"/>
    <n v="4"/>
    <x v="2"/>
    <x v="5"/>
    <x v="3"/>
    <n v="53.105999999999995"/>
    <n v="7965.9"/>
    <n v="2389.77"/>
    <x v="0"/>
  </r>
  <r>
    <d v="2016-06-06T00:00:00"/>
    <n v="5.33"/>
    <n v="2.802"/>
    <n v="4"/>
    <n v="26.2"/>
    <n v="5"/>
    <n v="0"/>
    <n v="6"/>
    <n v="6"/>
    <x v="2"/>
    <x v="5"/>
    <x v="4"/>
    <n v="55.332000000000001"/>
    <n v="8299.7999999999993"/>
    <n v="2489.9399999999996"/>
    <x v="0"/>
  </r>
  <r>
    <d v="2016-06-07T00:00:00"/>
    <n v="6"/>
    <n v="3.363"/>
    <n v="4.0999999999999996"/>
    <n v="28.5"/>
    <n v="13"/>
    <n v="0"/>
    <n v="10"/>
    <n v="3"/>
    <x v="2"/>
    <x v="5"/>
    <x v="5"/>
    <n v="67.962999999999994"/>
    <n v="10194.449999999999"/>
    <n v="3058.3349999999996"/>
    <x v="1"/>
  </r>
  <r>
    <d v="2016-06-08T00:00:00"/>
    <n v="8.66"/>
    <n v="1.33"/>
    <n v="5.5"/>
    <n v="45.061999999999998"/>
    <n v="10"/>
    <n v="0"/>
    <n v="5"/>
    <n v="6"/>
    <x v="2"/>
    <x v="5"/>
    <x v="6"/>
    <n v="81.551999999999992"/>
    <n v="12232.8"/>
    <n v="3669.8399999999997"/>
    <x v="1"/>
  </r>
  <r>
    <d v="2016-06-09T00:00:00"/>
    <n v="8.67"/>
    <n v="4.33"/>
    <n v="2"/>
    <n v="20.6"/>
    <n v="7"/>
    <n v="0"/>
    <n v="1"/>
    <n v="4.2"/>
    <x v="2"/>
    <x v="5"/>
    <x v="0"/>
    <n v="47.800000000000004"/>
    <n v="7170.0000000000009"/>
    <n v="2151"/>
    <x v="0"/>
  </r>
  <r>
    <d v="2016-06-10T00:00:00"/>
    <n v="8.33"/>
    <n v="4"/>
    <n v="4"/>
    <n v="26"/>
    <n v="11"/>
    <n v="2"/>
    <n v="0"/>
    <n v="5"/>
    <x v="2"/>
    <x v="5"/>
    <x v="1"/>
    <n v="60.33"/>
    <n v="9049.5"/>
    <n v="2714.85"/>
    <x v="0"/>
  </r>
  <r>
    <d v="2016-06-11T00:00:00"/>
    <n v="10.66"/>
    <n v="2.8250000000000002"/>
    <n v="2"/>
    <n v="35.6"/>
    <n v="4"/>
    <n v="1"/>
    <n v="10"/>
    <n v="8"/>
    <x v="2"/>
    <x v="5"/>
    <x v="2"/>
    <n v="74.085000000000008"/>
    <n v="11112.750000000002"/>
    <n v="3333.8250000000003"/>
    <x v="1"/>
  </r>
  <r>
    <d v="2016-06-12T00:00:00"/>
    <n v="8.34"/>
    <n v="7.3529999999999998"/>
    <n v="3.4"/>
    <n v="47"/>
    <n v="8"/>
    <n v="0"/>
    <n v="4"/>
    <n v="6"/>
    <x v="2"/>
    <x v="5"/>
    <x v="3"/>
    <n v="84.093000000000004"/>
    <n v="12613.95"/>
    <n v="3784.1849999999999"/>
    <x v="1"/>
  </r>
  <r>
    <d v="2016-06-13T00:00:00"/>
    <n v="5.66"/>
    <n v="4.7359999999999998"/>
    <n v="1"/>
    <n v="15"/>
    <n v="7"/>
    <n v="0"/>
    <n v="1"/>
    <n v="2"/>
    <x v="2"/>
    <x v="5"/>
    <x v="4"/>
    <n v="36.396000000000001"/>
    <n v="5459.4000000000005"/>
    <n v="1637.8200000000002"/>
    <x v="0"/>
  </r>
  <r>
    <d v="2016-06-14T00:00:00"/>
    <n v="2.33"/>
    <n v="6"/>
    <n v="6.1"/>
    <n v="17.399999999999999"/>
    <n v="17"/>
    <n v="1"/>
    <n v="2"/>
    <n v="3"/>
    <x v="2"/>
    <x v="5"/>
    <x v="5"/>
    <n v="54.83"/>
    <n v="8224.5"/>
    <n v="2467.35"/>
    <x v="0"/>
  </r>
  <r>
    <d v="2016-06-15T00:00:00"/>
    <n v="5"/>
    <n v="5.4950000000000001"/>
    <n v="7"/>
    <n v="35"/>
    <n v="22"/>
    <n v="1"/>
    <n v="1"/>
    <n v="6"/>
    <x v="2"/>
    <x v="5"/>
    <x v="6"/>
    <n v="82.495000000000005"/>
    <n v="12374.25"/>
    <n v="3712.2749999999996"/>
    <x v="1"/>
  </r>
  <r>
    <d v="2016-06-16T00:00:00"/>
    <n v="4"/>
    <n v="0.33"/>
    <n v="1"/>
    <n v="20.5"/>
    <n v="4"/>
    <n v="0"/>
    <n v="22"/>
    <n v="3"/>
    <x v="2"/>
    <x v="5"/>
    <x v="0"/>
    <n v="54.83"/>
    <n v="8224.5"/>
    <n v="2467.35"/>
    <x v="0"/>
  </r>
  <r>
    <d v="2016-06-17T00:00:00"/>
    <n v="3.34"/>
    <n v="3.67"/>
    <n v="3.65"/>
    <n v="20"/>
    <n v="8"/>
    <n v="0"/>
    <n v="4"/>
    <n v="4"/>
    <x v="2"/>
    <x v="5"/>
    <x v="1"/>
    <n v="46.66"/>
    <n v="6998.9999999999991"/>
    <n v="2099.6999999999998"/>
    <x v="0"/>
  </r>
  <r>
    <d v="2016-06-18T00:00:00"/>
    <n v="2"/>
    <n v="4.33"/>
    <n v="6.5"/>
    <n v="37.5"/>
    <n v="1"/>
    <n v="0"/>
    <n v="5"/>
    <n v="4"/>
    <x v="2"/>
    <x v="5"/>
    <x v="2"/>
    <n v="60.33"/>
    <n v="9049.5"/>
    <n v="2714.85"/>
    <x v="0"/>
  </r>
  <r>
    <d v="2016-06-19T00:00:00"/>
    <n v="6.34"/>
    <n v="6.01"/>
    <n v="3"/>
    <n v="40"/>
    <n v="1"/>
    <n v="0"/>
    <n v="7"/>
    <n v="15"/>
    <x v="2"/>
    <x v="5"/>
    <x v="3"/>
    <n v="78.349999999999994"/>
    <n v="11752.5"/>
    <n v="3525.75"/>
    <x v="1"/>
  </r>
  <r>
    <d v="2016-06-20T00:00:00"/>
    <n v="7.34"/>
    <n v="3.34"/>
    <n v="6"/>
    <n v="22.388000000000002"/>
    <n v="5"/>
    <n v="0"/>
    <n v="8"/>
    <n v="6"/>
    <x v="2"/>
    <x v="5"/>
    <x v="4"/>
    <n v="58.067999999999998"/>
    <n v="8710.1999999999989"/>
    <n v="2613.0599999999995"/>
    <x v="0"/>
  </r>
  <r>
    <d v="2016-06-21T00:00:00"/>
    <n v="7.33"/>
    <n v="4.66"/>
    <n v="9"/>
    <n v="23"/>
    <n v="15"/>
    <n v="0"/>
    <n v="7"/>
    <n v="5.6"/>
    <x v="2"/>
    <x v="5"/>
    <x v="5"/>
    <n v="71.59"/>
    <n v="10738.5"/>
    <n v="3221.5499999999997"/>
    <x v="1"/>
  </r>
  <r>
    <d v="2016-06-22T00:00:00"/>
    <n v="2"/>
    <n v="6.0670000000000002"/>
    <n v="2.2999999999999998"/>
    <n v="42"/>
    <n v="6"/>
    <n v="0"/>
    <n v="2"/>
    <n v="2"/>
    <x v="2"/>
    <x v="5"/>
    <x v="6"/>
    <n v="62.367000000000004"/>
    <n v="9355.0500000000011"/>
    <n v="2806.5150000000003"/>
    <x v="0"/>
  </r>
  <r>
    <d v="2016-06-23T00:00:00"/>
    <n v="3"/>
    <n v="0.33"/>
    <n v="2.2999999999999998"/>
    <n v="19"/>
    <n v="5"/>
    <n v="0"/>
    <n v="1"/>
    <n v="3"/>
    <x v="2"/>
    <x v="5"/>
    <x v="0"/>
    <n v="33.629999999999995"/>
    <n v="5044.4999999999991"/>
    <n v="1513.3499999999997"/>
    <x v="0"/>
  </r>
  <r>
    <d v="2016-06-24T00:00:00"/>
    <n v="6"/>
    <n v="2.34"/>
    <n v="3.05"/>
    <n v="19"/>
    <n v="15"/>
    <n v="0"/>
    <n v="1"/>
    <n v="2"/>
    <x v="2"/>
    <x v="5"/>
    <x v="1"/>
    <n v="48.39"/>
    <n v="7258.5"/>
    <n v="2177.5499999999997"/>
    <x v="0"/>
  </r>
  <r>
    <d v="2016-06-25T00:00:00"/>
    <n v="5.68"/>
    <n v="4.99"/>
    <n v="8"/>
    <n v="20.25"/>
    <n v="5"/>
    <n v="0"/>
    <n v="1"/>
    <n v="4"/>
    <x v="2"/>
    <x v="5"/>
    <x v="2"/>
    <n v="48.92"/>
    <n v="7338"/>
    <n v="2201.4"/>
    <x v="0"/>
  </r>
  <r>
    <d v="2016-06-26T00:00:00"/>
    <n v="3"/>
    <n v="3.8450000000000002"/>
    <n v="2"/>
    <n v="17.399999999999999"/>
    <n v="20"/>
    <n v="0"/>
    <n v="2"/>
    <n v="3"/>
    <x v="2"/>
    <x v="5"/>
    <x v="3"/>
    <n v="51.244999999999997"/>
    <n v="7686.75"/>
    <n v="2306.0250000000001"/>
    <x v="0"/>
  </r>
  <r>
    <d v="2016-06-27T00:00:00"/>
    <n v="6"/>
    <n v="3.0670000000000002"/>
    <n v="5.25"/>
    <n v="24"/>
    <n v="9"/>
    <n v="0"/>
    <n v="9"/>
    <n v="2"/>
    <x v="2"/>
    <x v="5"/>
    <x v="4"/>
    <n v="58.317"/>
    <n v="8747.5499999999993"/>
    <n v="2624.2649999999999"/>
    <x v="0"/>
  </r>
  <r>
    <d v="2016-06-28T00:00:00"/>
    <n v="1.33"/>
    <n v="1.429"/>
    <n v="2.25"/>
    <n v="24"/>
    <n v="20"/>
    <n v="5"/>
    <n v="2"/>
    <n v="7"/>
    <x v="2"/>
    <x v="5"/>
    <x v="5"/>
    <n v="63.009"/>
    <n v="9451.35"/>
    <n v="2835.4050000000002"/>
    <x v="0"/>
  </r>
  <r>
    <d v="2016-06-29T00:00:00"/>
    <n v="7"/>
    <n v="8.01"/>
    <n v="6.5"/>
    <n v="22"/>
    <n v="12.5"/>
    <n v="7"/>
    <n v="1"/>
    <n v="2"/>
    <x v="2"/>
    <x v="5"/>
    <x v="6"/>
    <n v="66.009999999999991"/>
    <n v="9901.4999999999982"/>
    <n v="2970.4499999999994"/>
    <x v="0"/>
  </r>
  <r>
    <d v="2016-06-30T00:00:00"/>
    <n v="4"/>
    <n v="3.8029999999999999"/>
    <n v="3.2"/>
    <n v="9"/>
    <n v="6"/>
    <n v="0"/>
    <n v="0"/>
    <n v="2"/>
    <x v="2"/>
    <x v="5"/>
    <x v="0"/>
    <n v="28.003"/>
    <n v="4200.45"/>
    <n v="1260.135"/>
    <x v="0"/>
  </r>
  <r>
    <d v="2016-07-01T00:00:00"/>
    <n v="4"/>
    <n v="2.0099999999999998"/>
    <n v="5.5"/>
    <n v="24"/>
    <n v="1"/>
    <n v="0"/>
    <n v="20"/>
    <n v="7"/>
    <x v="2"/>
    <x v="6"/>
    <x v="1"/>
    <n v="63.51"/>
    <n v="9526.5"/>
    <n v="2857.95"/>
    <x v="0"/>
  </r>
  <r>
    <d v="2016-07-02T00:00:00"/>
    <n v="4.66"/>
    <n v="5.1319999999999997"/>
    <n v="6"/>
    <n v="25.4"/>
    <n v="9"/>
    <n v="0"/>
    <n v="2"/>
    <n v="3"/>
    <x v="2"/>
    <x v="6"/>
    <x v="2"/>
    <n v="55.192"/>
    <n v="8278.7999999999993"/>
    <n v="2483.64"/>
    <x v="0"/>
  </r>
  <r>
    <d v="2016-07-03T00:00:00"/>
    <n v="6.67"/>
    <n v="4.165"/>
    <n v="5.4"/>
    <n v="18.600000000000001"/>
    <n v="4"/>
    <n v="0"/>
    <n v="11"/>
    <n v="5"/>
    <x v="2"/>
    <x v="6"/>
    <x v="3"/>
    <n v="54.835000000000001"/>
    <n v="8225.25"/>
    <n v="2467.5749999999998"/>
    <x v="0"/>
  </r>
  <r>
    <d v="2016-07-04T00:00:00"/>
    <n v="8.34"/>
    <n v="5.34"/>
    <n v="1.1499999999999999"/>
    <n v="14"/>
    <n v="8"/>
    <n v="3"/>
    <n v="7"/>
    <n v="6"/>
    <x v="2"/>
    <x v="6"/>
    <x v="4"/>
    <n v="52.83"/>
    <n v="7924.5"/>
    <n v="2377.35"/>
    <x v="0"/>
  </r>
  <r>
    <d v="2016-07-05T00:00:00"/>
    <n v="6"/>
    <n v="4.01"/>
    <n v="2"/>
    <n v="19"/>
    <n v="10"/>
    <n v="0"/>
    <n v="0"/>
    <n v="3"/>
    <x v="2"/>
    <x v="6"/>
    <x v="5"/>
    <n v="44.01"/>
    <n v="6601.5"/>
    <n v="1980.4499999999998"/>
    <x v="0"/>
  </r>
  <r>
    <d v="2016-07-06T00:00:00"/>
    <n v="9.33"/>
    <n v="5.726"/>
    <n v="5"/>
    <n v="30"/>
    <n v="5"/>
    <n v="0"/>
    <n v="8"/>
    <n v="4"/>
    <x v="2"/>
    <x v="6"/>
    <x v="6"/>
    <n v="67.055999999999997"/>
    <n v="10058.4"/>
    <n v="3017.52"/>
    <x v="1"/>
  </r>
  <r>
    <d v="2016-07-07T00:00:00"/>
    <n v="7.34"/>
    <n v="5.01"/>
    <n v="1"/>
    <n v="21"/>
    <n v="11"/>
    <n v="1"/>
    <n v="0"/>
    <n v="2"/>
    <x v="2"/>
    <x v="6"/>
    <x v="0"/>
    <n v="48.35"/>
    <n v="7252.5"/>
    <n v="2175.75"/>
    <x v="0"/>
  </r>
  <r>
    <d v="2016-07-08T00:00:00"/>
    <n v="1.34"/>
    <n v="7.056"/>
    <n v="9.1999999999999993"/>
    <n v="28"/>
    <n v="12"/>
    <n v="1"/>
    <n v="0"/>
    <n v="4.3"/>
    <x v="2"/>
    <x v="6"/>
    <x v="1"/>
    <n v="62.896000000000001"/>
    <n v="9434.4"/>
    <n v="2830.3199999999997"/>
    <x v="0"/>
  </r>
  <r>
    <d v="2016-07-09T00:00:00"/>
    <n v="3.33"/>
    <n v="6"/>
    <n v="4.5"/>
    <n v="11"/>
    <n v="12"/>
    <n v="0"/>
    <n v="0"/>
    <n v="2"/>
    <x v="2"/>
    <x v="6"/>
    <x v="2"/>
    <n v="38.83"/>
    <n v="5824.5"/>
    <n v="1747.35"/>
    <x v="0"/>
  </r>
  <r>
    <d v="2016-07-10T00:00:00"/>
    <n v="5.66"/>
    <n v="8.32"/>
    <n v="4.2"/>
    <n v="29"/>
    <n v="6"/>
    <n v="0"/>
    <n v="0"/>
    <n v="3"/>
    <x v="2"/>
    <x v="6"/>
    <x v="3"/>
    <n v="56.18"/>
    <n v="8427"/>
    <n v="2528.1"/>
    <x v="0"/>
  </r>
  <r>
    <d v="2016-07-11T00:00:00"/>
    <n v="6.33"/>
    <n v="1.7030000000000001"/>
    <n v="3"/>
    <n v="19.312000000000001"/>
    <n v="9"/>
    <n v="0"/>
    <n v="4"/>
    <n v="6.2"/>
    <x v="2"/>
    <x v="6"/>
    <x v="4"/>
    <n v="49.545000000000002"/>
    <n v="7431.75"/>
    <n v="2229.5250000000001"/>
    <x v="0"/>
  </r>
  <r>
    <d v="2016-07-12T00:00:00"/>
    <n v="5.67"/>
    <n v="2.67"/>
    <n v="4"/>
    <n v="27.2"/>
    <n v="14"/>
    <n v="0"/>
    <n v="3"/>
    <n v="4"/>
    <x v="2"/>
    <x v="6"/>
    <x v="5"/>
    <n v="60.54"/>
    <n v="9081"/>
    <n v="2724.2999999999997"/>
    <x v="0"/>
  </r>
  <r>
    <d v="2016-07-13T00:00:00"/>
    <n v="6.2183333330000004"/>
    <n v="7"/>
    <n v="5"/>
    <n v="26.4"/>
    <n v="11"/>
    <n v="0"/>
    <n v="3"/>
    <n v="2"/>
    <x v="2"/>
    <x v="6"/>
    <x v="6"/>
    <n v="60.618333332999995"/>
    <n v="9092.7499999499996"/>
    <n v="2727.824999985"/>
    <x v="0"/>
  </r>
  <r>
    <d v="2016-07-14T00:00:00"/>
    <n v="2.34"/>
    <n v="2.363"/>
    <n v="5"/>
    <n v="12.4"/>
    <n v="3"/>
    <n v="0"/>
    <n v="3"/>
    <n v="5"/>
    <x v="2"/>
    <x v="6"/>
    <x v="0"/>
    <n v="33.103000000000002"/>
    <n v="4965.45"/>
    <n v="1489.635"/>
    <x v="0"/>
  </r>
  <r>
    <d v="2016-07-15T00:00:00"/>
    <n v="3"/>
    <n v="8"/>
    <n v="2"/>
    <n v="15"/>
    <n v="4"/>
    <n v="0"/>
    <n v="0"/>
    <n v="3.33"/>
    <x v="2"/>
    <x v="6"/>
    <x v="1"/>
    <n v="35.33"/>
    <n v="5299.5"/>
    <n v="1589.85"/>
    <x v="0"/>
  </r>
  <r>
    <d v="2016-07-16T00:00:00"/>
    <n v="9.33"/>
    <n v="6.7370000000000001"/>
    <n v="3"/>
    <n v="23.3"/>
    <n v="6"/>
    <n v="0"/>
    <n v="1"/>
    <n v="8"/>
    <x v="2"/>
    <x v="6"/>
    <x v="2"/>
    <n v="57.367000000000004"/>
    <n v="8605.0500000000011"/>
    <n v="2581.5150000000003"/>
    <x v="0"/>
  </r>
  <r>
    <d v="2016-07-17T00:00:00"/>
    <n v="9.01"/>
    <n v="4.01"/>
    <n v="3"/>
    <n v="26.65"/>
    <n v="3"/>
    <n v="0"/>
    <n v="7"/>
    <n v="4"/>
    <x v="2"/>
    <x v="6"/>
    <x v="3"/>
    <n v="56.67"/>
    <n v="8500.5"/>
    <n v="2550.15"/>
    <x v="0"/>
  </r>
  <r>
    <d v="2016-07-18T00:00:00"/>
    <n v="6"/>
    <n v="2.4969999999999999"/>
    <n v="8"/>
    <n v="25.4"/>
    <n v="2"/>
    <n v="0"/>
    <n v="3"/>
    <n v="4"/>
    <x v="2"/>
    <x v="6"/>
    <x v="4"/>
    <n v="50.896999999999998"/>
    <n v="7634.55"/>
    <n v="2290.3649999999998"/>
    <x v="0"/>
  </r>
  <r>
    <d v="2016-07-19T00:00:00"/>
    <n v="7.34"/>
    <n v="1.33"/>
    <n v="6"/>
    <n v="19"/>
    <n v="5"/>
    <n v="0"/>
    <n v="1"/>
    <n v="2"/>
    <x v="2"/>
    <x v="6"/>
    <x v="5"/>
    <n v="41.67"/>
    <n v="6250.5"/>
    <n v="1875.1499999999999"/>
    <x v="0"/>
  </r>
  <r>
    <d v="2016-07-20T00:00:00"/>
    <n v="10.33"/>
    <n v="4.66"/>
    <n v="7.1"/>
    <n v="25.2"/>
    <n v="6"/>
    <n v="0"/>
    <n v="5"/>
    <n v="5"/>
    <x v="2"/>
    <x v="6"/>
    <x v="6"/>
    <n v="63.29"/>
    <n v="9493.5"/>
    <n v="2848.0499999999997"/>
    <x v="0"/>
  </r>
  <r>
    <d v="2016-07-21T00:00:00"/>
    <n v="5.66"/>
    <n v="5.32"/>
    <n v="4.0999999999999996"/>
    <n v="17"/>
    <n v="15"/>
    <n v="0"/>
    <n v="1"/>
    <n v="2"/>
    <x v="2"/>
    <x v="6"/>
    <x v="0"/>
    <n v="50.08"/>
    <n v="7512"/>
    <n v="2253.6"/>
    <x v="0"/>
  </r>
  <r>
    <d v="2016-07-22T00:00:00"/>
    <n v="3.33"/>
    <n v="1.66"/>
    <n v="7"/>
    <n v="14"/>
    <n v="4"/>
    <n v="0"/>
    <n v="0"/>
    <n v="2"/>
    <x v="2"/>
    <x v="6"/>
    <x v="1"/>
    <n v="31.990000000000002"/>
    <n v="4798.5"/>
    <n v="1439.55"/>
    <x v="0"/>
  </r>
  <r>
    <d v="2016-07-23T00:00:00"/>
    <n v="4.66"/>
    <n v="5.49"/>
    <n v="2.1"/>
    <n v="15"/>
    <n v="6"/>
    <n v="0"/>
    <n v="0"/>
    <n v="5"/>
    <x v="2"/>
    <x v="6"/>
    <x v="2"/>
    <n v="38.25"/>
    <n v="5737.5"/>
    <n v="1721.25"/>
    <x v="0"/>
  </r>
  <r>
    <d v="2016-07-24T00:00:00"/>
    <n v="2.33"/>
    <n v="4.99"/>
    <n v="4"/>
    <n v="32"/>
    <n v="4"/>
    <n v="0"/>
    <n v="0"/>
    <n v="2"/>
    <x v="2"/>
    <x v="6"/>
    <x v="3"/>
    <n v="49.32"/>
    <n v="7398"/>
    <n v="2219.4"/>
    <x v="0"/>
  </r>
  <r>
    <d v="2016-07-25T00:00:00"/>
    <n v="13"/>
    <n v="3.33"/>
    <n v="7"/>
    <n v="22"/>
    <n v="9"/>
    <n v="0"/>
    <n v="4"/>
    <n v="4"/>
    <x v="2"/>
    <x v="6"/>
    <x v="4"/>
    <n v="62.33"/>
    <n v="9349.5"/>
    <n v="2804.85"/>
    <x v="0"/>
  </r>
  <r>
    <d v="2016-07-26T00:00:00"/>
    <n v="8.32"/>
    <n v="2.66"/>
    <n v="1"/>
    <n v="10"/>
    <n v="16"/>
    <n v="0"/>
    <n v="0"/>
    <n v="2"/>
    <x v="2"/>
    <x v="6"/>
    <x v="5"/>
    <n v="39.980000000000004"/>
    <n v="5997.0000000000009"/>
    <n v="1799.1000000000001"/>
    <x v="0"/>
  </r>
  <r>
    <d v="2016-07-27T00:00:00"/>
    <n v="3"/>
    <n v="6.33"/>
    <n v="4.1500000000000004"/>
    <n v="10"/>
    <n v="4"/>
    <n v="1"/>
    <n v="9"/>
    <n v="2"/>
    <x v="2"/>
    <x v="6"/>
    <x v="6"/>
    <n v="39.480000000000004"/>
    <n v="5922.0000000000009"/>
    <n v="1776.6000000000001"/>
    <x v="0"/>
  </r>
  <r>
    <d v="2016-07-28T00:00:00"/>
    <n v="9.67"/>
    <n v="3.99"/>
    <n v="4"/>
    <n v="22.5"/>
    <n v="12"/>
    <n v="1"/>
    <n v="5"/>
    <n v="3"/>
    <x v="2"/>
    <x v="6"/>
    <x v="0"/>
    <n v="61.16"/>
    <n v="9174"/>
    <n v="2752.2"/>
    <x v="0"/>
  </r>
  <r>
    <d v="2016-07-29T00:00:00"/>
    <n v="9.99"/>
    <n v="4.51"/>
    <n v="6"/>
    <n v="11"/>
    <n v="17"/>
    <n v="1"/>
    <n v="11"/>
    <n v="2"/>
    <x v="2"/>
    <x v="6"/>
    <x v="1"/>
    <n v="62.5"/>
    <n v="9375"/>
    <n v="2812.5"/>
    <x v="0"/>
  </r>
  <r>
    <d v="2016-07-30T00:00:00"/>
    <n v="6.33"/>
    <n v="3.99"/>
    <n v="4"/>
    <n v="37"/>
    <n v="7"/>
    <n v="0"/>
    <n v="1"/>
    <n v="6"/>
    <x v="2"/>
    <x v="6"/>
    <x v="2"/>
    <n v="65.319999999999993"/>
    <n v="9797.9999999999982"/>
    <n v="2939.3999999999992"/>
    <x v="0"/>
  </r>
  <r>
    <d v="2016-07-31T00:00:00"/>
    <n v="6"/>
    <n v="5.01"/>
    <n v="4.5"/>
    <n v="22"/>
    <n v="5"/>
    <n v="0"/>
    <n v="0"/>
    <n v="4"/>
    <x v="2"/>
    <x v="6"/>
    <x v="3"/>
    <n v="46.51"/>
    <n v="6976.5"/>
    <n v="2092.9499999999998"/>
    <x v="0"/>
  </r>
  <r>
    <d v="2016-08-01T00:00:00"/>
    <n v="8.33"/>
    <n v="1.3959999999999999"/>
    <n v="5"/>
    <n v="14"/>
    <n v="7.5"/>
    <n v="1"/>
    <n v="1"/>
    <n v="6"/>
    <x v="2"/>
    <x v="7"/>
    <x v="4"/>
    <n v="44.225999999999999"/>
    <n v="6633.9"/>
    <n v="1990.1699999999998"/>
    <x v="0"/>
  </r>
  <r>
    <d v="2016-08-02T00:00:00"/>
    <n v="8.33"/>
    <n v="7"/>
    <n v="5"/>
    <n v="12"/>
    <n v="12"/>
    <n v="0"/>
    <n v="1"/>
    <n v="1"/>
    <x v="2"/>
    <x v="7"/>
    <x v="5"/>
    <n v="46.33"/>
    <n v="6949.5"/>
    <n v="2084.85"/>
    <x v="0"/>
  </r>
  <r>
    <d v="2016-08-03T00:00:00"/>
    <n v="8"/>
    <n v="2.98"/>
    <n v="3.5"/>
    <n v="21"/>
    <n v="11"/>
    <n v="0"/>
    <n v="13"/>
    <n v="3"/>
    <x v="2"/>
    <x v="7"/>
    <x v="6"/>
    <n v="62.480000000000004"/>
    <n v="9372"/>
    <n v="2811.6"/>
    <x v="0"/>
  </r>
  <r>
    <d v="2016-08-04T00:00:00"/>
    <n v="8"/>
    <n v="2.6930000000000001"/>
    <n v="2"/>
    <n v="34.4"/>
    <n v="12"/>
    <n v="0"/>
    <n v="17"/>
    <n v="4"/>
    <x v="2"/>
    <x v="7"/>
    <x v="0"/>
    <n v="80.092999999999989"/>
    <n v="12013.949999999999"/>
    <n v="3604.1849999999995"/>
    <x v="1"/>
  </r>
  <r>
    <d v="2016-08-05T00:00:00"/>
    <n v="10.33"/>
    <n v="3.42"/>
    <n v="3.7"/>
    <n v="21"/>
    <n v="24"/>
    <n v="0"/>
    <n v="24"/>
    <n v="1.3"/>
    <x v="2"/>
    <x v="7"/>
    <x v="1"/>
    <n v="87.75"/>
    <n v="13162.5"/>
    <n v="3948.75"/>
    <x v="1"/>
  </r>
  <r>
    <d v="2016-08-06T00:00:00"/>
    <n v="3"/>
    <n v="3.6619999999999999"/>
    <n v="5"/>
    <n v="20"/>
    <n v="33"/>
    <n v="0"/>
    <n v="1"/>
    <n v="2"/>
    <x v="2"/>
    <x v="7"/>
    <x v="2"/>
    <n v="67.662000000000006"/>
    <n v="10149.300000000001"/>
    <n v="3044.7900000000004"/>
    <x v="1"/>
  </r>
  <r>
    <d v="2016-08-07T00:00:00"/>
    <n v="8"/>
    <n v="4.1550000000000002"/>
    <n v="8.1999999999999993"/>
    <n v="40.200000000000003"/>
    <n v="12"/>
    <n v="0"/>
    <n v="5"/>
    <n v="3"/>
    <x v="2"/>
    <x v="7"/>
    <x v="3"/>
    <n v="80.555000000000007"/>
    <n v="12083.250000000002"/>
    <n v="3624.9750000000004"/>
    <x v="1"/>
  </r>
  <r>
    <d v="2016-08-08T00:00:00"/>
    <n v="8.34"/>
    <n v="5.99"/>
    <n v="5.5"/>
    <n v="15"/>
    <n v="36"/>
    <n v="0"/>
    <n v="1"/>
    <n v="4"/>
    <x v="2"/>
    <x v="7"/>
    <x v="4"/>
    <n v="75.83"/>
    <n v="11374.5"/>
    <n v="3412.35"/>
    <x v="1"/>
  </r>
  <r>
    <d v="2016-08-09T00:00:00"/>
    <n v="6.33"/>
    <n v="4.66"/>
    <n v="7"/>
    <n v="29"/>
    <n v="26"/>
    <n v="1"/>
    <n v="2"/>
    <n v="4"/>
    <x v="2"/>
    <x v="7"/>
    <x v="5"/>
    <n v="79.990000000000009"/>
    <n v="11998.500000000002"/>
    <n v="3599.5500000000006"/>
    <x v="1"/>
  </r>
  <r>
    <d v="2016-08-10T00:00:00"/>
    <n v="11.34"/>
    <n v="2.99"/>
    <n v="7"/>
    <n v="24.1"/>
    <n v="11"/>
    <n v="0"/>
    <n v="3"/>
    <n v="2"/>
    <x v="2"/>
    <x v="7"/>
    <x v="6"/>
    <n v="61.43"/>
    <n v="9214.5"/>
    <n v="2764.35"/>
    <x v="0"/>
  </r>
  <r>
    <d v="2016-08-11T00:00:00"/>
    <n v="5.67"/>
    <n v="3.66"/>
    <n v="0"/>
    <n v="25"/>
    <n v="1"/>
    <n v="0"/>
    <n v="0"/>
    <n v="2"/>
    <x v="2"/>
    <x v="7"/>
    <x v="0"/>
    <n v="37.33"/>
    <n v="5599.5"/>
    <n v="1679.85"/>
    <x v="0"/>
  </r>
  <r>
    <d v="2016-08-12T00:00:00"/>
    <n v="8.66"/>
    <n v="5.66"/>
    <n v="6.1"/>
    <n v="27.6"/>
    <n v="6"/>
    <n v="4"/>
    <n v="0"/>
    <n v="2"/>
    <x v="2"/>
    <x v="7"/>
    <x v="1"/>
    <n v="60.02"/>
    <n v="9003"/>
    <n v="2700.9"/>
    <x v="0"/>
  </r>
  <r>
    <d v="2016-08-13T00:00:00"/>
    <n v="8"/>
    <n v="6.7370000000000001"/>
    <n v="5"/>
    <n v="32"/>
    <n v="2"/>
    <n v="0"/>
    <n v="0"/>
    <n v="5"/>
    <x v="2"/>
    <x v="7"/>
    <x v="2"/>
    <n v="58.737000000000002"/>
    <n v="8810.5500000000011"/>
    <n v="2643.1650000000004"/>
    <x v="0"/>
  </r>
  <r>
    <d v="2016-08-14T00:00:00"/>
    <n v="5"/>
    <n v="4.8570000000000002"/>
    <n v="4.5"/>
    <n v="18.216666669999999"/>
    <n v="2"/>
    <n v="0"/>
    <n v="7"/>
    <n v="0"/>
    <x v="2"/>
    <x v="7"/>
    <x v="3"/>
    <n v="41.573666669999994"/>
    <n v="6236.0500004999994"/>
    <n v="1870.8150001499998"/>
    <x v="0"/>
  </r>
  <r>
    <d v="2016-08-15T00:00:00"/>
    <n v="5"/>
    <n v="2.33"/>
    <n v="2"/>
    <n v="21"/>
    <n v="11"/>
    <n v="0"/>
    <n v="0"/>
    <n v="2"/>
    <x v="2"/>
    <x v="7"/>
    <x v="4"/>
    <n v="43.33"/>
    <n v="6499.5"/>
    <n v="1949.85"/>
    <x v="0"/>
  </r>
  <r>
    <d v="2016-08-16T00:00:00"/>
    <n v="10"/>
    <n v="4.66"/>
    <n v="3"/>
    <n v="14.45"/>
    <n v="4"/>
    <n v="0"/>
    <n v="11"/>
    <n v="3.5"/>
    <x v="2"/>
    <x v="7"/>
    <x v="5"/>
    <n v="50.61"/>
    <n v="7591.5"/>
    <n v="2277.4499999999998"/>
    <x v="0"/>
  </r>
  <r>
    <d v="2016-08-17T00:00:00"/>
    <n v="8.66"/>
    <n v="2.0099999999999998"/>
    <n v="4"/>
    <n v="9.5"/>
    <n v="7"/>
    <n v="0"/>
    <n v="5"/>
    <n v="5"/>
    <x v="2"/>
    <x v="7"/>
    <x v="6"/>
    <n v="41.17"/>
    <n v="6175.5"/>
    <n v="1852.6499999999999"/>
    <x v="0"/>
  </r>
  <r>
    <d v="2016-08-18T00:00:00"/>
    <n v="6.99"/>
    <n v="3.363"/>
    <n v="4"/>
    <n v="25.6"/>
    <n v="7"/>
    <n v="0"/>
    <n v="0"/>
    <n v="1"/>
    <x v="2"/>
    <x v="7"/>
    <x v="0"/>
    <n v="47.953000000000003"/>
    <n v="7192.9500000000007"/>
    <n v="2157.8850000000002"/>
    <x v="0"/>
  </r>
  <r>
    <d v="2016-08-19T00:00:00"/>
    <n v="1"/>
    <n v="4.33"/>
    <n v="0.6"/>
    <n v="27"/>
    <n v="12"/>
    <n v="0"/>
    <n v="0"/>
    <n v="4"/>
    <x v="2"/>
    <x v="7"/>
    <x v="1"/>
    <n v="48.93"/>
    <n v="7339.5"/>
    <n v="2201.85"/>
    <x v="0"/>
  </r>
  <r>
    <d v="2016-08-20T00:00:00"/>
    <n v="4.33"/>
    <n v="2.99"/>
    <n v="6"/>
    <n v="26.2"/>
    <n v="1"/>
    <n v="0"/>
    <n v="0"/>
    <n v="6"/>
    <x v="2"/>
    <x v="7"/>
    <x v="2"/>
    <n v="46.519999999999996"/>
    <n v="6977.9999999999991"/>
    <n v="2093.3999999999996"/>
    <x v="0"/>
  </r>
  <r>
    <d v="2016-08-21T00:00:00"/>
    <n v="8"/>
    <n v="3.6269999999999998"/>
    <n v="7.4"/>
    <n v="39"/>
    <n v="3"/>
    <n v="4"/>
    <n v="1"/>
    <n v="1"/>
    <x v="2"/>
    <x v="7"/>
    <x v="3"/>
    <n v="67.027000000000001"/>
    <n v="10054.049999999999"/>
    <n v="3016.2149999999997"/>
    <x v="1"/>
  </r>
  <r>
    <d v="2016-08-22T00:00:00"/>
    <n v="3.34"/>
    <n v="3.3860000000000001"/>
    <n v="0"/>
    <n v="23.2"/>
    <n v="3"/>
    <n v="0"/>
    <n v="0"/>
    <n v="6"/>
    <x v="2"/>
    <x v="7"/>
    <x v="4"/>
    <n v="38.926000000000002"/>
    <n v="5838.9000000000005"/>
    <n v="1751.67"/>
    <x v="0"/>
  </r>
  <r>
    <d v="2016-08-23T00:00:00"/>
    <n v="3"/>
    <n v="3.0659999999999998"/>
    <n v="4"/>
    <n v="14.7"/>
    <n v="7"/>
    <n v="1"/>
    <n v="0"/>
    <n v="1.2"/>
    <x v="2"/>
    <x v="7"/>
    <x v="5"/>
    <n v="33.966000000000001"/>
    <n v="5094.9000000000005"/>
    <n v="1528.47"/>
    <x v="0"/>
  </r>
  <r>
    <d v="2016-08-24T00:00:00"/>
    <n v="9.33"/>
    <n v="3.4870000000000001"/>
    <n v="8"/>
    <n v="11.3"/>
    <n v="2"/>
    <n v="0"/>
    <n v="0"/>
    <n v="3"/>
    <x v="2"/>
    <x v="7"/>
    <x v="6"/>
    <n v="37.117000000000004"/>
    <n v="5567.5500000000011"/>
    <n v="1670.2650000000003"/>
    <x v="0"/>
  </r>
  <r>
    <d v="2016-08-25T00:00:00"/>
    <n v="4.33"/>
    <n v="2.67"/>
    <n v="8"/>
    <n v="19.399999999999999"/>
    <n v="4"/>
    <n v="1"/>
    <n v="4"/>
    <n v="5"/>
    <x v="2"/>
    <x v="7"/>
    <x v="0"/>
    <n v="48.4"/>
    <n v="7260"/>
    <n v="2178"/>
    <x v="0"/>
  </r>
  <r>
    <d v="2016-08-26T00:00:00"/>
    <n v="4"/>
    <n v="2.0230000000000001"/>
    <n v="2"/>
    <n v="20.7"/>
    <n v="3"/>
    <n v="0"/>
    <n v="0"/>
    <n v="0"/>
    <x v="2"/>
    <x v="7"/>
    <x v="1"/>
    <n v="31.722999999999999"/>
    <n v="4758.45"/>
    <n v="1427.5349999999999"/>
    <x v="0"/>
  </r>
  <r>
    <d v="2016-08-27T00:00:00"/>
    <n v="8.83"/>
    <n v="1.736"/>
    <n v="1"/>
    <n v="17.516666669999999"/>
    <n v="2"/>
    <n v="0"/>
    <n v="11"/>
    <n v="0"/>
    <x v="2"/>
    <x v="7"/>
    <x v="2"/>
    <n v="42.082666670000002"/>
    <n v="6312.4000005000007"/>
    <n v="1893.72000015"/>
    <x v="0"/>
  </r>
  <r>
    <d v="2016-08-28T00:00:00"/>
    <n v="7.33"/>
    <n v="7.02"/>
    <n v="6.2"/>
    <n v="37"/>
    <n v="3"/>
    <n v="0"/>
    <n v="6"/>
    <n v="2"/>
    <x v="2"/>
    <x v="7"/>
    <x v="3"/>
    <n v="68.55"/>
    <n v="10282.5"/>
    <n v="3084.75"/>
    <x v="1"/>
  </r>
  <r>
    <d v="2016-08-29T00:00:00"/>
    <n v="9"/>
    <n v="0.67"/>
    <n v="2"/>
    <n v="14.2"/>
    <n v="4"/>
    <n v="0"/>
    <n v="1"/>
    <n v="1.3"/>
    <x v="2"/>
    <x v="7"/>
    <x v="4"/>
    <n v="32.169999999999995"/>
    <n v="4825.4999999999991"/>
    <n v="1447.6499999999996"/>
    <x v="0"/>
  </r>
  <r>
    <d v="2016-08-30T00:00:00"/>
    <n v="4.66"/>
    <n v="1.32"/>
    <n v="2"/>
    <n v="8.9"/>
    <n v="4"/>
    <n v="0"/>
    <n v="1"/>
    <n v="0"/>
    <x v="2"/>
    <x v="7"/>
    <x v="5"/>
    <n v="21.880000000000003"/>
    <n v="3282.0000000000005"/>
    <n v="984.60000000000014"/>
    <x v="0"/>
  </r>
  <r>
    <d v="2016-08-31T00:00:00"/>
    <n v="6"/>
    <n v="5.827"/>
    <n v="5"/>
    <n v="23.2"/>
    <n v="3"/>
    <n v="0"/>
    <n v="1"/>
    <n v="5"/>
    <x v="2"/>
    <x v="7"/>
    <x v="6"/>
    <n v="49.027000000000001"/>
    <n v="7354.05"/>
    <n v="2206.2150000000001"/>
    <x v="0"/>
  </r>
  <r>
    <d v="2016-09-01T00:00:00"/>
    <n v="5"/>
    <n v="3.66"/>
    <n v="5"/>
    <n v="31.4"/>
    <n v="2"/>
    <n v="0"/>
    <n v="0"/>
    <n v="3"/>
    <x v="2"/>
    <x v="8"/>
    <x v="0"/>
    <n v="50.06"/>
    <n v="7509"/>
    <n v="2252.6999999999998"/>
    <x v="0"/>
  </r>
  <r>
    <d v="2016-09-02T00:00:00"/>
    <n v="9.34"/>
    <n v="4.0199999999999996"/>
    <n v="5"/>
    <n v="10"/>
    <n v="25"/>
    <n v="0"/>
    <n v="5"/>
    <n v="2"/>
    <x v="2"/>
    <x v="8"/>
    <x v="1"/>
    <n v="60.36"/>
    <n v="9054"/>
    <n v="2716.2"/>
    <x v="0"/>
  </r>
  <r>
    <d v="2016-09-03T00:00:00"/>
    <n v="5.33"/>
    <n v="4.0250000000000004"/>
    <n v="6.5"/>
    <n v="54.2"/>
    <n v="5"/>
    <n v="0"/>
    <n v="4"/>
    <n v="4"/>
    <x v="2"/>
    <x v="8"/>
    <x v="2"/>
    <n v="83.055000000000007"/>
    <n v="12458.250000000002"/>
    <n v="3737.4750000000004"/>
    <x v="1"/>
  </r>
  <r>
    <d v="2016-09-04T00:00:00"/>
    <n v="8.33"/>
    <n v="4.3959999999999999"/>
    <n v="0"/>
    <n v="30.9"/>
    <n v="10"/>
    <n v="0"/>
    <n v="4"/>
    <n v="5"/>
    <x v="2"/>
    <x v="8"/>
    <x v="3"/>
    <n v="62.625999999999998"/>
    <n v="9393.9"/>
    <n v="2818.1699999999996"/>
    <x v="0"/>
  </r>
  <r>
    <d v="2016-09-05T00:00:00"/>
    <n v="3.32"/>
    <n v="4.3959999999999999"/>
    <n v="2"/>
    <n v="34.299999999999997"/>
    <n v="8"/>
    <n v="2"/>
    <n v="2"/>
    <n v="4"/>
    <x v="2"/>
    <x v="8"/>
    <x v="4"/>
    <n v="60.015999999999998"/>
    <n v="9002.4"/>
    <n v="2700.72"/>
    <x v="0"/>
  </r>
  <r>
    <d v="2016-09-06T00:00:00"/>
    <n v="5"/>
    <n v="1.33"/>
    <n v="1"/>
    <n v="32.799999999999997"/>
    <n v="14"/>
    <n v="3"/>
    <n v="0"/>
    <n v="3"/>
    <x v="2"/>
    <x v="8"/>
    <x v="5"/>
    <n v="60.129999999999995"/>
    <n v="9019.5"/>
    <n v="2705.85"/>
    <x v="0"/>
  </r>
  <r>
    <d v="2016-09-07T00:00:00"/>
    <n v="2.33"/>
    <n v="2.19"/>
    <n v="3"/>
    <n v="37.6"/>
    <n v="14"/>
    <n v="0"/>
    <n v="0"/>
    <n v="3"/>
    <x v="2"/>
    <x v="8"/>
    <x v="6"/>
    <n v="62.120000000000005"/>
    <n v="9318"/>
    <n v="2795.4"/>
    <x v="0"/>
  </r>
  <r>
    <d v="2016-09-08T00:00:00"/>
    <n v="6"/>
    <n v="2.99"/>
    <n v="4"/>
    <n v="33"/>
    <n v="8"/>
    <n v="1"/>
    <n v="0"/>
    <n v="0"/>
    <x v="2"/>
    <x v="8"/>
    <x v="0"/>
    <n v="54.99"/>
    <n v="8248.5"/>
    <n v="2474.5499999999997"/>
    <x v="0"/>
  </r>
  <r>
    <d v="2016-09-09T00:00:00"/>
    <n v="4.99"/>
    <n v="3.99"/>
    <n v="3.25"/>
    <n v="26.123999999999999"/>
    <n v="11"/>
    <n v="2"/>
    <n v="10"/>
    <n v="3"/>
    <x v="2"/>
    <x v="8"/>
    <x v="1"/>
    <n v="64.353999999999999"/>
    <n v="9653.1"/>
    <n v="2895.93"/>
    <x v="0"/>
  </r>
  <r>
    <d v="2016-09-10T00:00:00"/>
    <n v="8.33"/>
    <n v="11.31"/>
    <n v="10"/>
    <n v="34"/>
    <n v="9"/>
    <n v="0"/>
    <n v="4"/>
    <n v="3"/>
    <x v="2"/>
    <x v="8"/>
    <x v="2"/>
    <n v="79.64"/>
    <n v="11946"/>
    <n v="3583.7999999999997"/>
    <x v="1"/>
  </r>
  <r>
    <d v="2016-09-11T00:00:00"/>
    <n v="2.66"/>
    <n v="6.99"/>
    <n v="7.1"/>
    <n v="57.2"/>
    <n v="8"/>
    <n v="0"/>
    <n v="10"/>
    <n v="4"/>
    <x v="2"/>
    <x v="8"/>
    <x v="3"/>
    <n v="95.95"/>
    <n v="14392.5"/>
    <n v="4317.75"/>
    <x v="1"/>
  </r>
  <r>
    <d v="2016-09-12T00:00:00"/>
    <n v="7"/>
    <n v="6"/>
    <n v="4"/>
    <n v="24"/>
    <n v="10"/>
    <n v="0"/>
    <n v="8"/>
    <n v="4"/>
    <x v="2"/>
    <x v="8"/>
    <x v="4"/>
    <n v="63"/>
    <n v="9450"/>
    <n v="2835"/>
    <x v="0"/>
  </r>
  <r>
    <d v="2016-09-13T00:00:00"/>
    <n v="7"/>
    <n v="5.7590000000000003"/>
    <n v="4"/>
    <n v="32"/>
    <n v="13"/>
    <n v="0"/>
    <n v="2"/>
    <n v="0"/>
    <x v="2"/>
    <x v="8"/>
    <x v="5"/>
    <n v="63.759"/>
    <n v="9563.85"/>
    <n v="2869.1550000000002"/>
    <x v="0"/>
  </r>
  <r>
    <d v="2016-09-14T00:00:00"/>
    <n v="6"/>
    <n v="3.7919999999999998"/>
    <n v="2.5"/>
    <n v="24.4"/>
    <n v="7"/>
    <n v="0"/>
    <n v="8"/>
    <n v="2"/>
    <x v="2"/>
    <x v="8"/>
    <x v="6"/>
    <n v="53.692"/>
    <n v="8053.8"/>
    <n v="2416.14"/>
    <x v="0"/>
  </r>
  <r>
    <d v="2016-09-15T00:00:00"/>
    <n v="3"/>
    <n v="6.6280000000000001"/>
    <n v="2"/>
    <n v="38"/>
    <n v="31"/>
    <n v="0"/>
    <n v="3"/>
    <n v="1"/>
    <x v="2"/>
    <x v="8"/>
    <x v="0"/>
    <n v="84.628"/>
    <n v="12694.2"/>
    <n v="3808.26"/>
    <x v="1"/>
  </r>
  <r>
    <d v="2016-09-16T00:00:00"/>
    <n v="2"/>
    <n v="1.33"/>
    <n v="4"/>
    <n v="26.3"/>
    <n v="17"/>
    <n v="0"/>
    <n v="3"/>
    <n v="0"/>
    <x v="2"/>
    <x v="8"/>
    <x v="1"/>
    <n v="53.63"/>
    <n v="8044.5"/>
    <n v="2413.35"/>
    <x v="0"/>
  </r>
  <r>
    <d v="2016-09-17T00:00:00"/>
    <n v="6.67"/>
    <n v="3.6930000000000001"/>
    <n v="2.4"/>
    <n v="56"/>
    <n v="11"/>
    <n v="0"/>
    <n v="5"/>
    <n v="4.0999999999999996"/>
    <x v="2"/>
    <x v="8"/>
    <x v="2"/>
    <n v="88.863"/>
    <n v="13329.45"/>
    <n v="3998.835"/>
    <x v="1"/>
  </r>
  <r>
    <d v="2016-09-18T00:00:00"/>
    <n v="5.99"/>
    <n v="7.32"/>
    <n v="2"/>
    <n v="24.45"/>
    <n v="4"/>
    <n v="0"/>
    <n v="8"/>
    <n v="1"/>
    <x v="2"/>
    <x v="8"/>
    <x v="3"/>
    <n v="52.76"/>
    <n v="7914"/>
    <n v="2374.1999999999998"/>
    <x v="0"/>
  </r>
  <r>
    <d v="2016-09-19T00:00:00"/>
    <n v="4"/>
    <n v="3.3959999999999999"/>
    <n v="2.15"/>
    <n v="31"/>
    <n v="11"/>
    <n v="2"/>
    <n v="0"/>
    <n v="1"/>
    <x v="2"/>
    <x v="8"/>
    <x v="4"/>
    <n v="54.545999999999999"/>
    <n v="8181.9"/>
    <n v="2454.5699999999997"/>
    <x v="0"/>
  </r>
  <r>
    <d v="2016-09-20T00:00:00"/>
    <n v="4.67"/>
    <n v="2.7919999999999998"/>
    <n v="3"/>
    <n v="33.4"/>
    <n v="14"/>
    <n v="0"/>
    <n v="4"/>
    <n v="1"/>
    <x v="2"/>
    <x v="8"/>
    <x v="5"/>
    <n v="62.861999999999995"/>
    <n v="9429.2999999999993"/>
    <n v="2828.7899999999995"/>
    <x v="0"/>
  </r>
  <r>
    <d v="2016-09-21T00:00:00"/>
    <n v="8.34"/>
    <n v="4.3099999999999996"/>
    <n v="3.05"/>
    <n v="19.7"/>
    <n v="12"/>
    <n v="0"/>
    <n v="3"/>
    <n v="2"/>
    <x v="2"/>
    <x v="8"/>
    <x v="6"/>
    <n v="52.4"/>
    <n v="7860"/>
    <n v="2358"/>
    <x v="0"/>
  </r>
  <r>
    <d v="2016-09-22T00:00:00"/>
    <n v="6.33"/>
    <n v="2.33"/>
    <n v="2.1"/>
    <n v="29.4"/>
    <n v="6"/>
    <n v="0"/>
    <n v="4"/>
    <n v="3"/>
    <x v="2"/>
    <x v="8"/>
    <x v="0"/>
    <n v="53.16"/>
    <n v="7973.9999999999991"/>
    <n v="2392.1999999999998"/>
    <x v="0"/>
  </r>
  <r>
    <d v="2016-09-23T00:00:00"/>
    <n v="2.33"/>
    <n v="6.99"/>
    <n v="6"/>
    <n v="28.4"/>
    <n v="13"/>
    <n v="3"/>
    <n v="7"/>
    <n v="1"/>
    <x v="2"/>
    <x v="8"/>
    <x v="1"/>
    <n v="67.72"/>
    <n v="10158"/>
    <n v="3047.4"/>
    <x v="1"/>
  </r>
  <r>
    <d v="2016-09-24T00:00:00"/>
    <n v="2"/>
    <n v="3.7789999999999999"/>
    <n v="6.2"/>
    <n v="61.2"/>
    <n v="8"/>
    <n v="0"/>
    <n v="1"/>
    <n v="1"/>
    <x v="2"/>
    <x v="8"/>
    <x v="2"/>
    <n v="83.179000000000002"/>
    <n v="12476.85"/>
    <n v="3743.0549999999998"/>
    <x v="1"/>
  </r>
  <r>
    <d v="2016-09-25T00:00:00"/>
    <n v="6"/>
    <n v="4.33"/>
    <n v="3"/>
    <n v="61.125"/>
    <n v="3"/>
    <n v="0"/>
    <n v="10"/>
    <n v="2"/>
    <x v="2"/>
    <x v="8"/>
    <x v="3"/>
    <n v="89.454999999999998"/>
    <n v="13418.25"/>
    <n v="4025.4749999999999"/>
    <x v="1"/>
  </r>
  <r>
    <d v="2016-09-26T00:00:00"/>
    <n v="5.99"/>
    <n v="1"/>
    <n v="4"/>
    <n v="57.6"/>
    <n v="4"/>
    <n v="2"/>
    <n v="4"/>
    <n v="1"/>
    <x v="2"/>
    <x v="8"/>
    <x v="4"/>
    <n v="79.59"/>
    <n v="11938.5"/>
    <n v="3581.5499999999997"/>
    <x v="1"/>
  </r>
  <r>
    <d v="2016-09-27T00:00:00"/>
    <n v="7"/>
    <n v="4.67"/>
    <n v="7.4"/>
    <n v="51.7"/>
    <n v="17"/>
    <n v="3"/>
    <n v="1"/>
    <n v="3"/>
    <x v="2"/>
    <x v="8"/>
    <x v="5"/>
    <n v="94.77000000000001"/>
    <n v="14215.500000000002"/>
    <n v="4264.6500000000005"/>
    <x v="1"/>
  </r>
  <r>
    <d v="2016-09-28T00:00:00"/>
    <n v="13.68"/>
    <n v="1.802"/>
    <n v="5.45"/>
    <n v="64.5"/>
    <n v="3"/>
    <n v="0"/>
    <n v="0"/>
    <n v="4"/>
    <x v="2"/>
    <x v="8"/>
    <x v="6"/>
    <n v="92.432000000000002"/>
    <n v="13864.800000000001"/>
    <n v="4159.4400000000005"/>
    <x v="1"/>
  </r>
  <r>
    <d v="2016-09-29T00:00:00"/>
    <n v="7.33"/>
    <n v="2"/>
    <n v="4"/>
    <n v="50.6"/>
    <n v="4"/>
    <n v="0"/>
    <n v="1"/>
    <n v="1.2"/>
    <x v="2"/>
    <x v="8"/>
    <x v="0"/>
    <n v="70.13000000000001"/>
    <n v="10519.500000000002"/>
    <n v="3155.8500000000004"/>
    <x v="1"/>
  </r>
  <r>
    <d v="2016-09-30T00:00:00"/>
    <n v="7"/>
    <n v="5"/>
    <n v="2.6"/>
    <n v="23.4"/>
    <n v="5"/>
    <n v="0"/>
    <n v="10"/>
    <n v="3"/>
    <x v="2"/>
    <x v="8"/>
    <x v="1"/>
    <n v="56"/>
    <n v="8400"/>
    <n v="2520"/>
    <x v="0"/>
  </r>
  <r>
    <d v="2016-10-01T00:00:00"/>
    <n v="7.33"/>
    <n v="7.65"/>
    <n v="1.2"/>
    <n v="54.037999999999997"/>
    <n v="5"/>
    <n v="0"/>
    <n v="4"/>
    <n v="2"/>
    <x v="2"/>
    <x v="9"/>
    <x v="2"/>
    <n v="81.217999999999989"/>
    <n v="12182.699999999999"/>
    <n v="3654.8099999999995"/>
    <x v="1"/>
  </r>
  <r>
    <d v="2016-10-02T00:00:00"/>
    <n v="17"/>
    <n v="4.056"/>
    <n v="9.6999999999999993"/>
    <n v="80.5"/>
    <n v="6"/>
    <n v="0"/>
    <n v="18"/>
    <n v="3"/>
    <x v="2"/>
    <x v="9"/>
    <x v="3"/>
    <n v="138.256"/>
    <n v="20738.400000000001"/>
    <n v="6221.52"/>
    <x v="2"/>
  </r>
  <r>
    <d v="2016-10-03T00:00:00"/>
    <n v="3.33"/>
    <n v="5.33"/>
    <n v="3"/>
    <n v="59.661999999999999"/>
    <n v="2"/>
    <n v="2"/>
    <n v="17"/>
    <n v="3"/>
    <x v="2"/>
    <x v="9"/>
    <x v="4"/>
    <n v="95.322000000000003"/>
    <n v="14298.300000000001"/>
    <n v="4289.49"/>
    <x v="1"/>
  </r>
  <r>
    <d v="2016-10-04T00:00:00"/>
    <n v="6.33"/>
    <n v="2.99"/>
    <n v="6"/>
    <n v="47.6"/>
    <n v="8"/>
    <n v="0"/>
    <n v="10"/>
    <n v="2.5"/>
    <x v="2"/>
    <x v="9"/>
    <x v="5"/>
    <n v="83.42"/>
    <n v="12513"/>
    <n v="3753.8999999999996"/>
    <x v="1"/>
  </r>
  <r>
    <d v="2016-10-05T00:00:00"/>
    <n v="4"/>
    <n v="4"/>
    <n v="4"/>
    <n v="78.2"/>
    <n v="8"/>
    <n v="0"/>
    <n v="1"/>
    <n v="1"/>
    <x v="2"/>
    <x v="9"/>
    <x v="6"/>
    <n v="100.2"/>
    <n v="15030"/>
    <n v="4509"/>
    <x v="1"/>
  </r>
  <r>
    <d v="2016-10-06T00:00:00"/>
    <n v="4.33"/>
    <n v="3.99"/>
    <n v="6"/>
    <n v="44"/>
    <n v="4"/>
    <n v="0"/>
    <n v="3"/>
    <n v="0"/>
    <x v="2"/>
    <x v="9"/>
    <x v="0"/>
    <n v="65.319999999999993"/>
    <n v="9797.9999999999982"/>
    <n v="2939.3999999999992"/>
    <x v="0"/>
  </r>
  <r>
    <d v="2016-10-07T00:00:00"/>
    <n v="4.34"/>
    <n v="4.2969999999999997"/>
    <n v="6"/>
    <n v="47.625"/>
    <n v="4"/>
    <n v="0"/>
    <n v="0"/>
    <n v="1"/>
    <x v="2"/>
    <x v="9"/>
    <x v="1"/>
    <n v="67.262"/>
    <n v="10089.299999999999"/>
    <n v="3026.7899999999995"/>
    <x v="1"/>
  </r>
  <r>
    <d v="2016-10-08T00:00:00"/>
    <n v="7.34"/>
    <n v="6.33"/>
    <n v="5"/>
    <n v="52.7"/>
    <n v="2"/>
    <n v="0"/>
    <n v="6"/>
    <n v="5"/>
    <x v="2"/>
    <x v="9"/>
    <x v="2"/>
    <n v="84.37"/>
    <n v="12655.5"/>
    <n v="3796.6499999999996"/>
    <x v="1"/>
  </r>
  <r>
    <d v="2016-10-09T00:00:00"/>
    <n v="6.68"/>
    <n v="5.0199999999999996"/>
    <n v="5.5"/>
    <n v="88.4"/>
    <n v="2"/>
    <n v="0"/>
    <n v="9"/>
    <n v="1"/>
    <x v="2"/>
    <x v="9"/>
    <x v="3"/>
    <n v="117.60000000000001"/>
    <n v="17640"/>
    <n v="5292"/>
    <x v="1"/>
  </r>
  <r>
    <d v="2016-10-10T00:00:00"/>
    <n v="2"/>
    <n v="5.0659999999999998"/>
    <n v="5"/>
    <n v="31.6"/>
    <n v="1"/>
    <n v="0"/>
    <n v="3"/>
    <n v="1"/>
    <x v="2"/>
    <x v="9"/>
    <x v="4"/>
    <n v="48.665999999999997"/>
    <n v="7299.9"/>
    <n v="2189.9699999999998"/>
    <x v="0"/>
  </r>
  <r>
    <d v="2016-10-11T00:00:00"/>
    <n v="7.33"/>
    <n v="2.4060000000000001"/>
    <n v="11.65"/>
    <n v="52.6"/>
    <n v="54.833333330000002"/>
    <n v="1"/>
    <n v="8"/>
    <n v="1"/>
    <x v="2"/>
    <x v="9"/>
    <x v="5"/>
    <n v="138.81933333000001"/>
    <n v="20822.899999500001"/>
    <n v="6246.8699998500006"/>
    <x v="2"/>
  </r>
  <r>
    <d v="2016-10-12T00:00:00"/>
    <n v="8.33"/>
    <n v="2.3730000000000002"/>
    <n v="2"/>
    <n v="45.75"/>
    <n v="18"/>
    <n v="1"/>
    <n v="17"/>
    <n v="2"/>
    <x v="2"/>
    <x v="9"/>
    <x v="6"/>
    <n v="96.453000000000003"/>
    <n v="14467.95"/>
    <n v="4340.3850000000002"/>
    <x v="1"/>
  </r>
  <r>
    <d v="2016-10-13T00:00:00"/>
    <n v="4.66"/>
    <n v="4.33"/>
    <n v="3.2"/>
    <n v="42.2"/>
    <n v="20"/>
    <n v="0"/>
    <n v="3"/>
    <n v="2.2999999999999998"/>
    <x v="2"/>
    <x v="9"/>
    <x v="0"/>
    <n v="79.69"/>
    <n v="11953.5"/>
    <n v="3586.0499999999997"/>
    <x v="1"/>
  </r>
  <r>
    <d v="2016-10-14T00:00:00"/>
    <n v="7"/>
    <n v="4"/>
    <n v="3"/>
    <n v="38.700000000000003"/>
    <n v="22"/>
    <n v="0"/>
    <n v="9"/>
    <n v="1"/>
    <x v="2"/>
    <x v="9"/>
    <x v="1"/>
    <n v="84.7"/>
    <n v="12705"/>
    <n v="3811.5"/>
    <x v="1"/>
  </r>
  <r>
    <d v="2016-10-15T00:00:00"/>
    <n v="4"/>
    <n v="5.97"/>
    <n v="3.35"/>
    <n v="47.2"/>
    <n v="16"/>
    <n v="1"/>
    <n v="13"/>
    <n v="1"/>
    <x v="2"/>
    <x v="9"/>
    <x v="2"/>
    <n v="91.52000000000001"/>
    <n v="13728.000000000002"/>
    <n v="4118.4000000000005"/>
    <x v="1"/>
  </r>
  <r>
    <d v="2016-10-16T00:00:00"/>
    <n v="8.33"/>
    <n v="5.1219999999999999"/>
    <n v="10"/>
    <n v="89.3"/>
    <n v="3"/>
    <n v="0"/>
    <n v="6"/>
    <n v="5"/>
    <x v="2"/>
    <x v="9"/>
    <x v="3"/>
    <n v="126.752"/>
    <n v="19012.8"/>
    <n v="5703.8399999999992"/>
    <x v="1"/>
  </r>
  <r>
    <d v="2016-10-17T00:00:00"/>
    <n v="2"/>
    <n v="5"/>
    <n v="5"/>
    <n v="50.8"/>
    <n v="1"/>
    <n v="0"/>
    <n v="9"/>
    <n v="1"/>
    <x v="2"/>
    <x v="9"/>
    <x v="4"/>
    <n v="73.8"/>
    <n v="11070"/>
    <n v="3321"/>
    <x v="1"/>
  </r>
  <r>
    <d v="2016-10-18T00:00:00"/>
    <n v="3"/>
    <n v="5.056"/>
    <n v="9"/>
    <n v="42.1"/>
    <n v="9"/>
    <n v="3"/>
    <n v="7"/>
    <n v="3.1"/>
    <x v="2"/>
    <x v="9"/>
    <x v="5"/>
    <n v="81.256"/>
    <n v="12188.4"/>
    <n v="3656.52"/>
    <x v="1"/>
  </r>
  <r>
    <d v="2016-10-19T00:00:00"/>
    <n v="4.33"/>
    <n v="6.66"/>
    <n v="5"/>
    <n v="26.7"/>
    <n v="11"/>
    <n v="0"/>
    <n v="2"/>
    <n v="1"/>
    <x v="2"/>
    <x v="9"/>
    <x v="6"/>
    <n v="56.69"/>
    <n v="8503.5"/>
    <n v="2551.0499999999997"/>
    <x v="0"/>
  </r>
  <r>
    <d v="2016-10-20T00:00:00"/>
    <n v="1.64"/>
    <n v="5.66"/>
    <n v="6"/>
    <n v="52.5"/>
    <n v="2"/>
    <n v="0"/>
    <n v="2"/>
    <n v="2"/>
    <x v="2"/>
    <x v="9"/>
    <x v="0"/>
    <n v="71.8"/>
    <n v="10770"/>
    <n v="3231"/>
    <x v="1"/>
  </r>
  <r>
    <d v="2016-10-21T00:00:00"/>
    <n v="8.66"/>
    <n v="3.8250000000000002"/>
    <n v="0"/>
    <n v="40.799999999999997"/>
    <n v="5"/>
    <n v="0"/>
    <n v="6"/>
    <n v="2"/>
    <x v="2"/>
    <x v="9"/>
    <x v="1"/>
    <n v="66.284999999999997"/>
    <n v="9942.75"/>
    <n v="2982.8249999999998"/>
    <x v="0"/>
  </r>
  <r>
    <d v="2016-10-22T00:00:00"/>
    <n v="7"/>
    <n v="2.67"/>
    <n v="4"/>
    <n v="29.7"/>
    <n v="3"/>
    <n v="0"/>
    <n v="10"/>
    <n v="4"/>
    <x v="2"/>
    <x v="9"/>
    <x v="2"/>
    <n v="60.37"/>
    <n v="9055.5"/>
    <n v="2716.65"/>
    <x v="0"/>
  </r>
  <r>
    <d v="2016-10-23T00:00:00"/>
    <n v="12.33"/>
    <n v="5.78"/>
    <n v="3.8"/>
    <n v="51.216666670000002"/>
    <n v="10"/>
    <n v="0"/>
    <n v="11"/>
    <n v="2"/>
    <x v="2"/>
    <x v="9"/>
    <x v="3"/>
    <n v="96.126666670000006"/>
    <n v="14419.0000005"/>
    <n v="4325.7000001500001"/>
    <x v="1"/>
  </r>
  <r>
    <d v="2016-10-24T00:00:00"/>
    <n v="2.66"/>
    <n v="3.0230000000000001"/>
    <n v="7.5"/>
    <n v="37"/>
    <n v="1"/>
    <n v="1"/>
    <n v="2"/>
    <n v="1"/>
    <x v="2"/>
    <x v="9"/>
    <x v="4"/>
    <n v="55.183"/>
    <n v="8277.4500000000007"/>
    <n v="2483.2350000000001"/>
    <x v="0"/>
  </r>
  <r>
    <d v="2016-10-25T00:00:00"/>
    <n v="4.33"/>
    <n v="4.5720000000000001"/>
    <n v="5.4"/>
    <n v="62.4"/>
    <n v="10"/>
    <n v="0"/>
    <n v="7"/>
    <n v="0"/>
    <x v="2"/>
    <x v="9"/>
    <x v="5"/>
    <n v="93.701999999999998"/>
    <n v="14055.3"/>
    <n v="4216.5899999999992"/>
    <x v="1"/>
  </r>
  <r>
    <d v="2016-10-26T00:00:00"/>
    <n v="2.33"/>
    <n v="2.3969999999999998"/>
    <n v="6"/>
    <n v="28.4"/>
    <n v="10"/>
    <n v="0"/>
    <n v="2"/>
    <n v="1"/>
    <x v="2"/>
    <x v="9"/>
    <x v="6"/>
    <n v="52.126999999999995"/>
    <n v="7819.0499999999993"/>
    <n v="2345.7149999999997"/>
    <x v="0"/>
  </r>
  <r>
    <d v="2016-10-27T00:00:00"/>
    <n v="6.5"/>
    <n v="2.0230000000000001"/>
    <n v="3"/>
    <n v="32.200000000000003"/>
    <n v="10"/>
    <n v="2"/>
    <n v="4"/>
    <n v="0"/>
    <x v="2"/>
    <x v="9"/>
    <x v="0"/>
    <n v="59.722999999999999"/>
    <n v="8958.4500000000007"/>
    <n v="2687.5350000000003"/>
    <x v="0"/>
  </r>
  <r>
    <d v="2016-10-28T00:00:00"/>
    <n v="7"/>
    <n v="3.78"/>
    <n v="6"/>
    <n v="34.4"/>
    <n v="9"/>
    <n v="0"/>
    <n v="5"/>
    <n v="0"/>
    <x v="2"/>
    <x v="9"/>
    <x v="1"/>
    <n v="65.180000000000007"/>
    <n v="9777.0000000000018"/>
    <n v="2933.1000000000004"/>
    <x v="0"/>
  </r>
  <r>
    <d v="2016-10-29T00:00:00"/>
    <n v="15.33"/>
    <n v="4.54"/>
    <n v="6.1"/>
    <n v="78.5"/>
    <n v="23"/>
    <n v="0"/>
    <n v="9"/>
    <n v="5"/>
    <x v="2"/>
    <x v="9"/>
    <x v="2"/>
    <n v="141.47"/>
    <n v="21220.5"/>
    <n v="6366.15"/>
    <x v="2"/>
  </r>
  <r>
    <d v="2016-10-30T00:00:00"/>
    <n v="4.66"/>
    <n v="10.32"/>
    <n v="5.75"/>
    <n v="73.099999999999994"/>
    <n v="5"/>
    <n v="0"/>
    <n v="0"/>
    <n v="2"/>
    <x v="2"/>
    <x v="9"/>
    <x v="3"/>
    <n v="100.83"/>
    <n v="15124.5"/>
    <n v="4537.3499999999995"/>
    <x v="1"/>
  </r>
  <r>
    <d v="2016-10-31T00:00:00"/>
    <n v="2.66"/>
    <n v="3.82"/>
    <n v="3"/>
    <n v="43.8"/>
    <n v="6"/>
    <n v="0"/>
    <n v="17"/>
    <n v="5"/>
    <x v="2"/>
    <x v="9"/>
    <x v="4"/>
    <n v="81.28"/>
    <n v="12192"/>
    <n v="3657.6"/>
    <x v="1"/>
  </r>
  <r>
    <d v="2016-11-01T00:00:00"/>
    <n v="2.33"/>
    <n v="1.7030000000000001"/>
    <n v="4"/>
    <n v="25.9"/>
    <n v="18"/>
    <n v="0"/>
    <n v="6"/>
    <n v="3"/>
    <x v="2"/>
    <x v="10"/>
    <x v="5"/>
    <n v="60.933"/>
    <n v="9139.9500000000007"/>
    <n v="2741.9850000000001"/>
    <x v="0"/>
  </r>
  <r>
    <d v="2016-11-02T00:00:00"/>
    <n v="4"/>
    <n v="3.7029999999999998"/>
    <n v="4.0999999999999996"/>
    <n v="42.2"/>
    <n v="1"/>
    <n v="0"/>
    <n v="2"/>
    <n v="3"/>
    <x v="2"/>
    <x v="10"/>
    <x v="6"/>
    <n v="60.003"/>
    <n v="9000.4500000000007"/>
    <n v="2700.1350000000002"/>
    <x v="0"/>
  </r>
  <r>
    <d v="2016-11-03T00:00:00"/>
    <n v="2"/>
    <n v="1"/>
    <n v="3"/>
    <n v="42.5"/>
    <n v="3"/>
    <n v="0"/>
    <n v="0"/>
    <n v="1"/>
    <x v="2"/>
    <x v="10"/>
    <x v="0"/>
    <n v="52.5"/>
    <n v="7875"/>
    <n v="2362.5"/>
    <x v="0"/>
  </r>
  <r>
    <d v="2016-11-04T00:00:00"/>
    <n v="8.33"/>
    <n v="4.3730000000000002"/>
    <n v="3.6"/>
    <n v="24.3"/>
    <n v="14"/>
    <n v="1"/>
    <n v="6"/>
    <n v="4.2"/>
    <x v="2"/>
    <x v="10"/>
    <x v="1"/>
    <n v="65.802999999999997"/>
    <n v="9870.4499999999989"/>
    <n v="2961.1349999999998"/>
    <x v="0"/>
  </r>
  <r>
    <d v="2016-11-05T00:00:00"/>
    <n v="7.6666666670000003"/>
    <n v="3.02"/>
    <n v="5.8"/>
    <n v="35.4"/>
    <n v="9"/>
    <n v="0"/>
    <n v="0"/>
    <n v="2"/>
    <x v="2"/>
    <x v="10"/>
    <x v="2"/>
    <n v="62.886666667"/>
    <n v="9433.0000000500004"/>
    <n v="2829.9000000149999"/>
    <x v="0"/>
  </r>
  <r>
    <d v="2016-11-06T00:00:00"/>
    <n v="8"/>
    <n v="4.34"/>
    <n v="3"/>
    <n v="42.45"/>
    <n v="3"/>
    <n v="2"/>
    <n v="11"/>
    <n v="5"/>
    <x v="2"/>
    <x v="10"/>
    <x v="3"/>
    <n v="78.790000000000006"/>
    <n v="11818.500000000002"/>
    <n v="3545.5500000000006"/>
    <x v="1"/>
  </r>
  <r>
    <d v="2016-11-07T00:00:00"/>
    <n v="5"/>
    <n v="2.726"/>
    <n v="6.3"/>
    <n v="35"/>
    <n v="9"/>
    <n v="0"/>
    <n v="5"/>
    <n v="1"/>
    <x v="2"/>
    <x v="10"/>
    <x v="4"/>
    <n v="64.025999999999996"/>
    <n v="9603.9"/>
    <n v="2881.1699999999996"/>
    <x v="0"/>
  </r>
  <r>
    <d v="2016-11-08T00:00:00"/>
    <n v="7"/>
    <n v="2.35"/>
    <n v="8"/>
    <n v="20"/>
    <n v="19.166666670000001"/>
    <n v="2"/>
    <n v="8"/>
    <n v="3"/>
    <x v="2"/>
    <x v="10"/>
    <x v="5"/>
    <n v="69.516666670000006"/>
    <n v="10427.5000005"/>
    <n v="3128.2500001499998"/>
    <x v="1"/>
  </r>
  <r>
    <d v="2016-11-09T00:00:00"/>
    <n v="2.34"/>
    <n v="5.66"/>
    <n v="1.4"/>
    <n v="25"/>
    <n v="18"/>
    <n v="0"/>
    <n v="4"/>
    <n v="0"/>
    <x v="2"/>
    <x v="10"/>
    <x v="6"/>
    <n v="56.4"/>
    <n v="8460"/>
    <n v="2538"/>
    <x v="0"/>
  </r>
  <r>
    <d v="2016-11-10T00:00:00"/>
    <n v="7.33"/>
    <n v="6.33"/>
    <n v="7"/>
    <n v="31.1"/>
    <n v="5"/>
    <n v="2"/>
    <n v="12"/>
    <n v="3.4"/>
    <x v="2"/>
    <x v="10"/>
    <x v="0"/>
    <n v="74.160000000000011"/>
    <n v="11124.000000000002"/>
    <n v="3337.2000000000003"/>
    <x v="1"/>
  </r>
  <r>
    <d v="2016-11-11T00:00:00"/>
    <n v="10.66"/>
    <n v="1.7589999999999999"/>
    <n v="4"/>
    <n v="33"/>
    <n v="6"/>
    <n v="0"/>
    <n v="1"/>
    <n v="1"/>
    <x v="2"/>
    <x v="10"/>
    <x v="1"/>
    <n v="57.418999999999997"/>
    <n v="8612.85"/>
    <n v="2583.855"/>
    <x v="0"/>
  </r>
  <r>
    <d v="2016-11-12T00:00:00"/>
    <n v="8"/>
    <n v="3.8250000000000002"/>
    <n v="7"/>
    <n v="56.5"/>
    <n v="10"/>
    <n v="0"/>
    <n v="1"/>
    <n v="1.2"/>
    <x v="2"/>
    <x v="10"/>
    <x v="2"/>
    <n v="87.525000000000006"/>
    <n v="13128.75"/>
    <n v="3938.625"/>
    <x v="1"/>
  </r>
  <r>
    <d v="2016-11-13T00:00:00"/>
    <n v="6"/>
    <n v="11.32"/>
    <n v="3.6"/>
    <n v="60.2"/>
    <n v="0"/>
    <n v="0"/>
    <n v="5"/>
    <n v="1"/>
    <x v="2"/>
    <x v="10"/>
    <x v="3"/>
    <n v="87.12"/>
    <n v="13068"/>
    <n v="3920.3999999999996"/>
    <x v="1"/>
  </r>
  <r>
    <d v="2016-11-14T00:00:00"/>
    <n v="10"/>
    <n v="4.726"/>
    <n v="3.8"/>
    <n v="50.5"/>
    <n v="5"/>
    <n v="3"/>
    <n v="1"/>
    <n v="1"/>
    <x v="2"/>
    <x v="10"/>
    <x v="4"/>
    <n v="79.025999999999996"/>
    <n v="11853.9"/>
    <n v="3556.1699999999996"/>
    <x v="1"/>
  </r>
  <r>
    <d v="2016-11-15T00:00:00"/>
    <n v="5.33"/>
    <n v="0.33"/>
    <n v="4"/>
    <n v="30.1"/>
    <n v="27"/>
    <n v="5"/>
    <n v="5"/>
    <n v="1"/>
    <x v="2"/>
    <x v="10"/>
    <x v="5"/>
    <n v="77.760000000000005"/>
    <n v="11664"/>
    <n v="3499.2"/>
    <x v="1"/>
  </r>
  <r>
    <d v="2016-11-16T00:00:00"/>
    <n v="4"/>
    <n v="3.1669999999999998"/>
    <n v="4"/>
    <n v="38.911999999999999"/>
    <n v="5"/>
    <n v="0"/>
    <n v="10"/>
    <n v="1"/>
    <x v="2"/>
    <x v="10"/>
    <x v="6"/>
    <n v="66.079000000000008"/>
    <n v="9911.85"/>
    <n v="2973.5549999999998"/>
    <x v="0"/>
  </r>
  <r>
    <d v="2016-11-17T00:00:00"/>
    <n v="5"/>
    <n v="2.726"/>
    <n v="5.7"/>
    <n v="41.4"/>
    <n v="0"/>
    <n v="0"/>
    <n v="1"/>
    <n v="1.4"/>
    <x v="2"/>
    <x v="10"/>
    <x v="0"/>
    <n v="57.225999999999999"/>
    <n v="8583.9"/>
    <n v="2575.1699999999996"/>
    <x v="0"/>
  </r>
  <r>
    <d v="2016-11-18T00:00:00"/>
    <n v="1.33"/>
    <n v="4.33"/>
    <n v="6.25"/>
    <n v="31"/>
    <n v="7"/>
    <n v="1"/>
    <n v="2"/>
    <n v="2"/>
    <x v="2"/>
    <x v="10"/>
    <x v="1"/>
    <n v="54.91"/>
    <n v="8236.5"/>
    <n v="2470.9499999999998"/>
    <x v="0"/>
  </r>
  <r>
    <d v="2016-11-19T00:00:00"/>
    <n v="5"/>
    <n v="2.7"/>
    <n v="4"/>
    <n v="35.4"/>
    <n v="3"/>
    <n v="0"/>
    <n v="3"/>
    <n v="2"/>
    <x v="2"/>
    <x v="10"/>
    <x v="2"/>
    <n v="55.099999999999994"/>
    <n v="8265"/>
    <n v="2479.5"/>
    <x v="0"/>
  </r>
  <r>
    <d v="2016-11-20T00:00:00"/>
    <n v="7"/>
    <n v="4.34"/>
    <n v="5"/>
    <n v="25.5"/>
    <n v="3"/>
    <n v="0"/>
    <n v="0"/>
    <n v="2"/>
    <x v="2"/>
    <x v="10"/>
    <x v="3"/>
    <n v="46.84"/>
    <n v="7026.0000000000009"/>
    <n v="2107.8000000000002"/>
    <x v="0"/>
  </r>
  <r>
    <d v="2016-11-21T00:00:00"/>
    <n v="1.34"/>
    <n v="3.34"/>
    <n v="5.25"/>
    <n v="30"/>
    <n v="1"/>
    <n v="0"/>
    <n v="13"/>
    <n v="3"/>
    <x v="2"/>
    <x v="10"/>
    <x v="4"/>
    <n v="56.93"/>
    <n v="8539.5"/>
    <n v="2561.85"/>
    <x v="0"/>
  </r>
  <r>
    <d v="2016-11-22T00:00:00"/>
    <n v="4.01"/>
    <n v="4.7030000000000003"/>
    <n v="1.1000000000000001"/>
    <n v="23"/>
    <n v="3"/>
    <n v="2"/>
    <n v="7"/>
    <n v="2"/>
    <x v="2"/>
    <x v="10"/>
    <x v="5"/>
    <n v="46.813000000000002"/>
    <n v="7021.9500000000007"/>
    <n v="2106.585"/>
    <x v="0"/>
  </r>
  <r>
    <d v="2016-11-23T00:00:00"/>
    <n v="3"/>
    <n v="4.33"/>
    <n v="3.7"/>
    <n v="44.124000000000002"/>
    <n v="5"/>
    <n v="0"/>
    <n v="0"/>
    <n v="1"/>
    <x v="2"/>
    <x v="10"/>
    <x v="6"/>
    <n v="61.154000000000003"/>
    <n v="9173.1"/>
    <n v="2751.93"/>
    <x v="0"/>
  </r>
  <r>
    <d v="2016-11-24T00:00:00"/>
    <n v="8.67"/>
    <n v="4.3330000000000002"/>
    <n v="6"/>
    <n v="28"/>
    <n v="2"/>
    <n v="0"/>
    <n v="10"/>
    <n v="3"/>
    <x v="2"/>
    <x v="10"/>
    <x v="0"/>
    <n v="62.003"/>
    <n v="9300.4500000000007"/>
    <n v="2790.1350000000002"/>
    <x v="0"/>
  </r>
  <r>
    <d v="2016-11-25T00:00:00"/>
    <n v="7.34"/>
    <n v="5"/>
    <n v="7"/>
    <n v="21"/>
    <n v="20"/>
    <n v="4"/>
    <n v="5"/>
    <n v="1"/>
    <x v="2"/>
    <x v="10"/>
    <x v="1"/>
    <n v="70.34"/>
    <n v="10551"/>
    <n v="3165.2999999999997"/>
    <x v="1"/>
  </r>
  <r>
    <d v="2016-11-26T00:00:00"/>
    <n v="3.33"/>
    <n v="5"/>
    <n v="4"/>
    <n v="36"/>
    <n v="9"/>
    <n v="3"/>
    <n v="12"/>
    <n v="2"/>
    <x v="2"/>
    <x v="10"/>
    <x v="2"/>
    <n v="74.33"/>
    <n v="11149.5"/>
    <n v="3344.85"/>
    <x v="1"/>
  </r>
  <r>
    <d v="2016-11-27T00:00:00"/>
    <n v="9.33"/>
    <n v="5.6929999999999996"/>
    <n v="3.9"/>
    <n v="61"/>
    <n v="5"/>
    <n v="0"/>
    <n v="1"/>
    <n v="0"/>
    <x v="2"/>
    <x v="10"/>
    <x v="3"/>
    <n v="85.923000000000002"/>
    <n v="12888.45"/>
    <n v="3866.5349999999999"/>
    <x v="1"/>
  </r>
  <r>
    <d v="2016-11-28T00:00:00"/>
    <n v="4.5"/>
    <n v="1.363"/>
    <n v="2.0499999999999998"/>
    <n v="23"/>
    <n v="5"/>
    <n v="0"/>
    <n v="12"/>
    <n v="0"/>
    <x v="2"/>
    <x v="10"/>
    <x v="4"/>
    <n v="47.912999999999997"/>
    <n v="7186.95"/>
    <n v="2156.085"/>
    <x v="0"/>
  </r>
  <r>
    <d v="2016-11-29T00:00:00"/>
    <n v="5.68"/>
    <n v="5.67"/>
    <n v="3"/>
    <n v="45.6"/>
    <n v="6"/>
    <n v="2"/>
    <n v="0"/>
    <n v="0"/>
    <x v="2"/>
    <x v="10"/>
    <x v="5"/>
    <n v="67.95"/>
    <n v="10192.5"/>
    <n v="3057.75"/>
    <x v="1"/>
  </r>
  <r>
    <d v="2016-11-30T00:00:00"/>
    <n v="3.33"/>
    <n v="2.99"/>
    <n v="4.3"/>
    <n v="24.6"/>
    <n v="13"/>
    <n v="0"/>
    <n v="7"/>
    <n v="0"/>
    <x v="2"/>
    <x v="10"/>
    <x v="6"/>
    <n v="55.22"/>
    <n v="8283"/>
    <n v="2484.9"/>
    <x v="0"/>
  </r>
  <r>
    <d v="2016-12-01T00:00:00"/>
    <n v="4.5"/>
    <n v="2.363"/>
    <n v="1.5"/>
    <n v="55.661999999999999"/>
    <n v="8"/>
    <n v="0"/>
    <n v="9"/>
    <n v="0"/>
    <x v="2"/>
    <x v="11"/>
    <x v="0"/>
    <n v="81.025000000000006"/>
    <n v="12153.75"/>
    <n v="3646.125"/>
    <x v="1"/>
  </r>
  <r>
    <d v="2016-12-02T00:00:00"/>
    <n v="6"/>
    <n v="1.0760000000000001"/>
    <n v="3.2"/>
    <n v="43"/>
    <n v="14"/>
    <n v="0"/>
    <n v="26"/>
    <n v="0.2"/>
    <x v="2"/>
    <x v="11"/>
    <x v="1"/>
    <n v="93.475999999999999"/>
    <n v="14021.4"/>
    <n v="4206.42"/>
    <x v="1"/>
  </r>
  <r>
    <d v="2016-12-03T00:00:00"/>
    <n v="3.17"/>
    <n v="2.68"/>
    <n v="3"/>
    <n v="43.3"/>
    <n v="2"/>
    <n v="0"/>
    <n v="1"/>
    <n v="4"/>
    <x v="2"/>
    <x v="11"/>
    <x v="2"/>
    <n v="59.15"/>
    <n v="8872.5"/>
    <n v="2661.75"/>
    <x v="0"/>
  </r>
  <r>
    <d v="2016-12-04T00:00:00"/>
    <n v="7"/>
    <n v="9.1229999999999993"/>
    <n v="2.9"/>
    <n v="67"/>
    <n v="4"/>
    <n v="0"/>
    <n v="0"/>
    <n v="0"/>
    <x v="2"/>
    <x v="11"/>
    <x v="3"/>
    <n v="90.022999999999996"/>
    <n v="13503.449999999999"/>
    <n v="4051.0349999999994"/>
    <x v="1"/>
  </r>
  <r>
    <d v="2016-12-05T00:00:00"/>
    <n v="9.5"/>
    <n v="1.68"/>
    <n v="4"/>
    <n v="23"/>
    <n v="6"/>
    <n v="1"/>
    <n v="13"/>
    <n v="2"/>
    <x v="2"/>
    <x v="11"/>
    <x v="4"/>
    <n v="60.18"/>
    <n v="9027"/>
    <n v="2708.1"/>
    <x v="0"/>
  </r>
  <r>
    <d v="2016-12-06T00:00:00"/>
    <n v="6"/>
    <n v="5.09"/>
    <n v="4.4000000000000004"/>
    <n v="27.2"/>
    <n v="4"/>
    <n v="0"/>
    <n v="20"/>
    <n v="1"/>
    <x v="2"/>
    <x v="11"/>
    <x v="5"/>
    <n v="67.69"/>
    <n v="10153.5"/>
    <n v="3046.0499999999997"/>
    <x v="1"/>
  </r>
  <r>
    <d v="2016-12-07T00:00:00"/>
    <n v="4.34"/>
    <n v="2.726"/>
    <n v="1.7"/>
    <n v="47"/>
    <n v="8"/>
    <n v="3"/>
    <n v="7"/>
    <n v="3"/>
    <x v="2"/>
    <x v="11"/>
    <x v="6"/>
    <n v="76.765999999999991"/>
    <n v="11514.899999999998"/>
    <n v="3454.4699999999993"/>
    <x v="1"/>
  </r>
  <r>
    <d v="2016-12-08T00:00:00"/>
    <n v="5.67"/>
    <n v="1.67"/>
    <n v="5"/>
    <n v="35.700000000000003"/>
    <n v="9"/>
    <n v="0"/>
    <n v="2"/>
    <n v="0"/>
    <x v="2"/>
    <x v="11"/>
    <x v="0"/>
    <n v="59.040000000000006"/>
    <n v="8856.0000000000018"/>
    <n v="2656.8000000000006"/>
    <x v="0"/>
  </r>
  <r>
    <d v="2016-12-09T00:00:00"/>
    <n v="5.66"/>
    <n v="1.67"/>
    <n v="4"/>
    <n v="35.061999999999998"/>
    <n v="2"/>
    <n v="0"/>
    <n v="0"/>
    <n v="2"/>
    <x v="2"/>
    <x v="11"/>
    <x v="1"/>
    <n v="50.391999999999996"/>
    <n v="7558.7999999999993"/>
    <n v="2267.64"/>
    <x v="0"/>
  </r>
  <r>
    <d v="2016-12-10T00:00:00"/>
    <n v="7.34"/>
    <n v="6.33"/>
    <n v="10.1"/>
    <n v="45.4"/>
    <n v="1"/>
    <n v="0"/>
    <n v="15"/>
    <n v="2"/>
    <x v="2"/>
    <x v="11"/>
    <x v="2"/>
    <n v="87.17"/>
    <n v="13075.5"/>
    <n v="3922.6499999999996"/>
    <x v="1"/>
  </r>
  <r>
    <d v="2016-12-11T00:00:00"/>
    <n v="3.34"/>
    <n v="4.726"/>
    <n v="8.5500000000000007"/>
    <n v="62.061999999999998"/>
    <n v="7"/>
    <n v="0"/>
    <n v="14"/>
    <n v="1"/>
    <x v="2"/>
    <x v="11"/>
    <x v="3"/>
    <n v="100.678"/>
    <n v="15101.699999999999"/>
    <n v="4530.5099999999993"/>
    <x v="1"/>
  </r>
  <r>
    <d v="2016-12-12T00:00:00"/>
    <n v="3.66"/>
    <n v="2.4289999999999998"/>
    <n v="3.1"/>
    <n v="44.5"/>
    <n v="28.333333329999999"/>
    <n v="3"/>
    <n v="21"/>
    <n v="4"/>
    <x v="2"/>
    <x v="11"/>
    <x v="4"/>
    <n v="110.02233333"/>
    <n v="16503.349999499998"/>
    <n v="4951.004999849999"/>
    <x v="1"/>
  </r>
  <r>
    <d v="2016-12-13T00:00:00"/>
    <n v="1"/>
    <n v="4"/>
    <n v="5.0999999999999996"/>
    <n v="43.6"/>
    <n v="0"/>
    <n v="0"/>
    <n v="18"/>
    <n v="0"/>
    <x v="2"/>
    <x v="11"/>
    <x v="5"/>
    <n v="71.7"/>
    <n v="10755"/>
    <n v="3226.5"/>
    <x v="1"/>
  </r>
  <r>
    <d v="2016-12-14T00:00:00"/>
    <n v="5.83"/>
    <n v="3.78"/>
    <n v="5.65"/>
    <n v="32.200000000000003"/>
    <n v="21"/>
    <n v="0"/>
    <n v="10"/>
    <n v="1.2"/>
    <x v="2"/>
    <x v="11"/>
    <x v="6"/>
    <n v="79.660000000000011"/>
    <n v="11949.000000000002"/>
    <n v="3584.7000000000003"/>
    <x v="1"/>
  </r>
  <r>
    <d v="2016-12-15T00:00:00"/>
    <n v="9.66"/>
    <n v="3.33"/>
    <n v="1"/>
    <n v="22.8"/>
    <n v="8"/>
    <n v="0"/>
    <n v="5"/>
    <n v="1"/>
    <x v="2"/>
    <x v="11"/>
    <x v="0"/>
    <n v="50.79"/>
    <n v="7618.5"/>
    <n v="2285.5499999999997"/>
    <x v="0"/>
  </r>
  <r>
    <d v="2016-12-16T00:00:00"/>
    <n v="7.33"/>
    <n v="6.32"/>
    <n v="2.2000000000000002"/>
    <n v="39.774999999999999"/>
    <n v="8"/>
    <n v="3"/>
    <n v="23"/>
    <n v="1"/>
    <x v="2"/>
    <x v="11"/>
    <x v="1"/>
    <n v="90.625"/>
    <n v="13593.75"/>
    <n v="4078.125"/>
    <x v="1"/>
  </r>
  <r>
    <d v="2016-12-17T00:00:00"/>
    <n v="5.99"/>
    <n v="2.66"/>
    <n v="4.1500000000000004"/>
    <n v="59.95"/>
    <n v="10"/>
    <n v="0"/>
    <n v="6"/>
    <n v="1"/>
    <x v="2"/>
    <x v="11"/>
    <x v="2"/>
    <n v="89.75"/>
    <n v="13462.5"/>
    <n v="4038.75"/>
    <x v="1"/>
  </r>
  <r>
    <d v="2016-12-18T00:00:00"/>
    <n v="1.67"/>
    <n v="5.0199999999999996"/>
    <n v="4.2"/>
    <n v="60.7"/>
    <n v="13"/>
    <n v="0"/>
    <n v="5"/>
    <n v="1"/>
    <x v="2"/>
    <x v="11"/>
    <x v="3"/>
    <n v="90.59"/>
    <n v="13588.5"/>
    <n v="4076.5499999999997"/>
    <x v="1"/>
  </r>
  <r>
    <d v="2016-12-19T00:00:00"/>
    <n v="0"/>
    <n v="0"/>
    <n v="0"/>
    <n v="0"/>
    <n v="0"/>
    <n v="0"/>
    <n v="0"/>
    <n v="0"/>
    <x v="2"/>
    <x v="11"/>
    <x v="4"/>
    <n v="0"/>
    <n v="0"/>
    <n v="0"/>
    <x v="0"/>
  </r>
  <r>
    <d v="2016-12-20T00:00:00"/>
    <n v="6.33"/>
    <n v="3.66"/>
    <n v="4"/>
    <n v="46"/>
    <n v="12"/>
    <n v="2"/>
    <n v="1"/>
    <n v="0"/>
    <x v="2"/>
    <x v="11"/>
    <x v="5"/>
    <n v="74.990000000000009"/>
    <n v="11248.500000000002"/>
    <n v="3374.5500000000006"/>
    <x v="1"/>
  </r>
  <r>
    <d v="2016-12-21T00:00:00"/>
    <n v="1.34"/>
    <n v="2.8119999999999998"/>
    <n v="0.25"/>
    <n v="37"/>
    <n v="5"/>
    <n v="0"/>
    <n v="6"/>
    <n v="2.5"/>
    <x v="2"/>
    <x v="11"/>
    <x v="6"/>
    <n v="54.902000000000001"/>
    <n v="8235.2999999999993"/>
    <n v="2470.5899999999997"/>
    <x v="0"/>
  </r>
  <r>
    <d v="2016-12-22T00:00:00"/>
    <n v="4.34"/>
    <n v="4.165"/>
    <n v="3.8"/>
    <n v="38.4"/>
    <n v="1"/>
    <n v="0"/>
    <n v="5"/>
    <n v="0"/>
    <x v="2"/>
    <x v="11"/>
    <x v="0"/>
    <n v="56.704999999999998"/>
    <n v="8505.75"/>
    <n v="2551.7249999999999"/>
    <x v="0"/>
  </r>
  <r>
    <d v="2016-12-23T00:00:00"/>
    <n v="5.33"/>
    <n v="4.67"/>
    <n v="1.1499999999999999"/>
    <n v="32"/>
    <n v="6"/>
    <n v="0"/>
    <n v="8"/>
    <n v="2"/>
    <x v="2"/>
    <x v="11"/>
    <x v="1"/>
    <n v="59.15"/>
    <n v="8872.5"/>
    <n v="2661.75"/>
    <x v="0"/>
  </r>
  <r>
    <d v="2016-12-24T00:00:00"/>
    <n v="6.33"/>
    <n v="6.7"/>
    <n v="4.2"/>
    <n v="82"/>
    <n v="4"/>
    <n v="1"/>
    <n v="2"/>
    <n v="1"/>
    <x v="2"/>
    <x v="11"/>
    <x v="2"/>
    <n v="107.23"/>
    <n v="16084.5"/>
    <n v="4825.3499999999995"/>
    <x v="1"/>
  </r>
  <r>
    <d v="2016-12-25T00:00:00"/>
    <n v="2.33"/>
    <n v="7.6269999999999998"/>
    <n v="5.7"/>
    <n v="79.8"/>
    <n v="0"/>
    <n v="0"/>
    <n v="9"/>
    <n v="1"/>
    <x v="2"/>
    <x v="11"/>
    <x v="3"/>
    <n v="105.45699999999999"/>
    <n v="15818.55"/>
    <n v="4745.5649999999996"/>
    <x v="1"/>
  </r>
  <r>
    <d v="2016-12-26T00:00:00"/>
    <n v="10.33"/>
    <n v="4.66"/>
    <n v="2"/>
    <n v="58.923999999999999"/>
    <n v="6"/>
    <n v="0"/>
    <n v="2"/>
    <n v="2"/>
    <x v="2"/>
    <x v="11"/>
    <x v="4"/>
    <n v="85.914000000000001"/>
    <n v="12887.1"/>
    <n v="3866.13"/>
    <x v="1"/>
  </r>
  <r>
    <d v="2016-12-27T00:00:00"/>
    <n v="6"/>
    <n v="5"/>
    <n v="0.41666666699999999"/>
    <n v="54.2"/>
    <n v="8"/>
    <n v="2"/>
    <n v="13"/>
    <n v="0"/>
    <x v="2"/>
    <x v="11"/>
    <x v="5"/>
    <n v="88.616666667000004"/>
    <n v="13292.50000005"/>
    <n v="3987.7500000149998"/>
    <x v="1"/>
  </r>
  <r>
    <d v="2016-12-28T00:00:00"/>
    <n v="4.34"/>
    <n v="6.33"/>
    <n v="6.45"/>
    <n v="57.2"/>
    <n v="7"/>
    <n v="0"/>
    <n v="13"/>
    <n v="0"/>
    <x v="2"/>
    <x v="11"/>
    <x v="6"/>
    <n v="94.320000000000007"/>
    <n v="14148.000000000002"/>
    <n v="4244.4000000000005"/>
    <x v="1"/>
  </r>
  <r>
    <d v="2016-12-29T00:00:00"/>
    <n v="11"/>
    <n v="6.01"/>
    <n v="6.35"/>
    <n v="81.2"/>
    <n v="4"/>
    <n v="3"/>
    <n v="6"/>
    <n v="2"/>
    <x v="2"/>
    <x v="11"/>
    <x v="0"/>
    <n v="119.56"/>
    <n v="17934"/>
    <n v="5380.2"/>
    <x v="1"/>
  </r>
  <r>
    <d v="2016-12-30T00:00:00"/>
    <n v="5.66"/>
    <n v="8.99"/>
    <n v="7.3"/>
    <n v="161"/>
    <n v="13"/>
    <n v="0"/>
    <n v="3"/>
    <n v="0"/>
    <x v="2"/>
    <x v="11"/>
    <x v="1"/>
    <n v="198.95"/>
    <n v="29842.5"/>
    <n v="8952.75"/>
    <x v="2"/>
  </r>
  <r>
    <d v="2016-12-31T00:00:00"/>
    <n v="8.33"/>
    <n v="7.7590000000000003"/>
    <n v="7.45"/>
    <n v="108.7"/>
    <n v="7"/>
    <n v="0"/>
    <n v="12"/>
    <n v="0"/>
    <x v="2"/>
    <x v="11"/>
    <x v="2"/>
    <n v="151.239"/>
    <n v="22685.850000000002"/>
    <n v="6805.7550000000001"/>
    <x v="2"/>
  </r>
  <r>
    <d v="2017-01-01T00:00:00"/>
    <n v="3.5437500000000002"/>
    <n v="3.9562499999999998"/>
    <n v="1.5625"/>
    <n v="25.675000000000001"/>
    <n v="8.75"/>
    <n v="1.875"/>
    <n v="6.25"/>
    <n v="0.625"/>
    <x v="3"/>
    <x v="0"/>
    <x v="3"/>
    <n v="52.237499999999997"/>
    <n v="7835.625"/>
    <n v="2350.6875"/>
    <x v="0"/>
  </r>
  <r>
    <d v="2017-01-02T00:00:00"/>
    <n v="0.21249999999999999"/>
    <n v="0.63749999999999996"/>
    <n v="0.625"/>
    <n v="32"/>
    <n v="0"/>
    <n v="0.625"/>
    <n v="3.125"/>
    <n v="3.125"/>
    <x v="3"/>
    <x v="0"/>
    <x v="4"/>
    <n v="40.35"/>
    <n v="6052.5"/>
    <n v="1815.75"/>
    <x v="0"/>
  </r>
  <r>
    <d v="2017-01-03T00:00:00"/>
    <n v="6.25"/>
    <n v="5.8312499999999998"/>
    <n v="4.625"/>
    <n v="66.8125"/>
    <n v="8.75"/>
    <n v="0"/>
    <n v="7.03125"/>
    <n v="1.875"/>
    <x v="3"/>
    <x v="0"/>
    <x v="5"/>
    <n v="101.175"/>
    <n v="15176.25"/>
    <n v="4552.875"/>
    <x v="1"/>
  </r>
  <r>
    <d v="2017-01-04T00:00:00"/>
    <n v="6.8041666669999996"/>
    <n v="5.9708333329999999"/>
    <n v="6.4166666670000003"/>
    <n v="56.766666669999999"/>
    <n v="10"/>
    <n v="1.25"/>
    <n v="5"/>
    <n v="2.9166666669999999"/>
    <x v="3"/>
    <x v="0"/>
    <x v="6"/>
    <n v="95.125000004"/>
    <n v="14268.750000600001"/>
    <n v="4280.6250001799999"/>
    <x v="1"/>
  </r>
  <r>
    <d v="2017-01-05T00:00:00"/>
    <n v="7.5041666669999998"/>
    <n v="7.8791666669999998"/>
    <n v="5.2083333329999997"/>
    <n v="62.208333330000002"/>
    <n v="14.58333333"/>
    <n v="0"/>
    <n v="11.25"/>
    <n v="2.5"/>
    <x v="3"/>
    <x v="0"/>
    <x v="0"/>
    <n v="111.133333327"/>
    <n v="16669.99999905"/>
    <n v="5000.9999997149998"/>
    <x v="1"/>
  </r>
  <r>
    <d v="2017-01-06T00:00:00"/>
    <n v="4.5833333329999997"/>
    <n v="3.05"/>
    <n v="5.625"/>
    <n v="65.5625"/>
    <n v="10.83333333"/>
    <n v="0"/>
    <n v="15.41666667"/>
    <n v="2.5"/>
    <x v="3"/>
    <x v="0"/>
    <x v="1"/>
    <n v="107.570833333"/>
    <n v="16135.62499995"/>
    <n v="4840.6874999849997"/>
    <x v="1"/>
  </r>
  <r>
    <d v="2017-01-07T00:00:00"/>
    <n v="2.9166666669999999"/>
    <n v="5.1541666670000001"/>
    <n v="5.9583333329999997"/>
    <n v="34.625"/>
    <n v="8.75"/>
    <n v="0"/>
    <n v="2.5"/>
    <n v="0"/>
    <x v="3"/>
    <x v="0"/>
    <x v="2"/>
    <n v="59.904166666999998"/>
    <n v="8985.6250000500004"/>
    <n v="2695.6875000149998"/>
    <x v="0"/>
  </r>
  <r>
    <d v="2017-01-08T00:00:00"/>
    <n v="5.4166666670000003"/>
    <n v="1.859583333"/>
    <n v="5.0833333329999997"/>
    <n v="25.375"/>
    <n v="10"/>
    <n v="2.0833333330000001"/>
    <n v="3.3333333330000001"/>
    <n v="1.6666666670000001"/>
    <x v="3"/>
    <x v="0"/>
    <x v="3"/>
    <n v="54.817916666000002"/>
    <n v="8222.6874999000011"/>
    <n v="2466.8062499700004"/>
    <x v="0"/>
  </r>
  <r>
    <d v="2017-01-09T00:00:00"/>
    <n v="3.8875000000000002"/>
    <n v="4.0570833329999996"/>
    <n v="2.5833333330000001"/>
    <n v="56.125"/>
    <n v="9.1666666669999994"/>
    <n v="0.41666666699999999"/>
    <n v="1.6666666670000001"/>
    <n v="2.0833333330000001"/>
    <x v="3"/>
    <x v="0"/>
    <x v="4"/>
    <n v="79.986249999999998"/>
    <n v="11997.9375"/>
    <n v="3599.3812499999999"/>
    <x v="1"/>
  </r>
  <r>
    <d v="2017-01-10T00:00:00"/>
    <n v="6.3875000000000002"/>
    <n v="4.7387499999999996"/>
    <n v="13.29166667"/>
    <n v="54.25"/>
    <n v="25"/>
    <n v="1.6666666670000001"/>
    <n v="7.5"/>
    <n v="0.83333333300000001"/>
    <x v="3"/>
    <x v="0"/>
    <x v="5"/>
    <n v="113.66791667"/>
    <n v="17050.1875005"/>
    <n v="5115.0562501499999"/>
    <x v="1"/>
  </r>
  <r>
    <d v="2017-01-11T00:00:00"/>
    <n v="9.3083333330000002"/>
    <n v="5.5016666670000003"/>
    <n v="9.1666666669999994"/>
    <n v="51.041666669999998"/>
    <n v="20"/>
    <n v="1.25"/>
    <n v="1.6666666670000001"/>
    <n v="2.9166666669999999"/>
    <x v="3"/>
    <x v="0"/>
    <x v="6"/>
    <n v="100.851666671"/>
    <n v="15127.750000650001"/>
    <n v="4538.325000195"/>
    <x v="1"/>
  </r>
  <r>
    <d v="2017-01-12T00:00:00"/>
    <n v="8.3333333330000006"/>
    <n v="5.1966666669999997"/>
    <n v="8.75"/>
    <n v="65.9375"/>
    <n v="14.16666667"/>
    <n v="1.25"/>
    <n v="4.5833333329999997"/>
    <n v="1.6666666670000001"/>
    <x v="3"/>
    <x v="0"/>
    <x v="0"/>
    <n v="109.88416667"/>
    <n v="16482.6250005"/>
    <n v="4944.7875001499997"/>
    <x v="1"/>
  </r>
  <r>
    <d v="2017-01-13T00:00:00"/>
    <n v="6.8041666669999996"/>
    <n v="3.891666667"/>
    <n v="9.5416666669999994"/>
    <n v="54.416666669999998"/>
    <n v="19.583333329999999"/>
    <n v="0"/>
    <n v="3.3333333330000001"/>
    <n v="1.3333333329999999"/>
    <x v="3"/>
    <x v="0"/>
    <x v="1"/>
    <n v="98.904166666999998"/>
    <n v="14835.62500005"/>
    <n v="4450.6875000150003"/>
    <x v="1"/>
  </r>
  <r>
    <d v="2017-01-14T00:00:00"/>
    <n v="5.9749999999999996"/>
    <n v="4.3645833329999997"/>
    <n v="7.7083333329999997"/>
    <n v="47.916666669999998"/>
    <n v="16.666666670000001"/>
    <n v="0.83333333300000001"/>
    <n v="5.4166666670000003"/>
    <n v="2.0833333330000001"/>
    <x v="3"/>
    <x v="0"/>
    <x v="2"/>
    <n v="90.964583339000001"/>
    <n v="13644.687500849999"/>
    <n v="4093.4062502549996"/>
    <x v="1"/>
  </r>
  <r>
    <d v="2017-01-15T00:00:00"/>
    <n v="8.0500000000000007"/>
    <n v="6.5250000000000004"/>
    <n v="9.0833333330000006"/>
    <n v="38.791666669999998"/>
    <n v="15.41666667"/>
    <n v="0"/>
    <n v="7.5"/>
    <n v="1.25"/>
    <x v="3"/>
    <x v="0"/>
    <x v="3"/>
    <n v="86.616666672999997"/>
    <n v="12992.50000095"/>
    <n v="3897.7500002849997"/>
    <x v="1"/>
  </r>
  <r>
    <d v="2017-01-16T00:00:00"/>
    <n v="6.670833333"/>
    <n v="4.0291666670000001"/>
    <n v="8.0416666669999994"/>
    <n v="63.5625"/>
    <n v="12.5"/>
    <n v="0.41666666699999999"/>
    <n v="7.0833333329999997"/>
    <n v="2.0833333330000001"/>
    <x v="3"/>
    <x v="0"/>
    <x v="4"/>
    <n v="104.3875"/>
    <n v="15658.125"/>
    <n v="4697.4375"/>
    <x v="1"/>
  </r>
  <r>
    <d v="2017-01-17T00:00:00"/>
    <n v="7.2249999999999996"/>
    <n v="4.1391666669999996"/>
    <n v="5.2916666670000003"/>
    <n v="48.458333330000002"/>
    <n v="13.33333333"/>
    <n v="1.6666666670000001"/>
    <n v="3.75"/>
    <n v="2.5"/>
    <x v="3"/>
    <x v="0"/>
    <x v="5"/>
    <n v="86.364166661000013"/>
    <n v="12954.624999150003"/>
    <n v="3886.3874997450007"/>
    <x v="1"/>
  </r>
  <r>
    <d v="2017-01-18T00:00:00"/>
    <n v="6.7416666669999996"/>
    <n v="4.4458333330000004"/>
    <n v="6.5"/>
    <n v="45.958333330000002"/>
    <n v="16.666666670000001"/>
    <n v="1.25"/>
    <n v="5.8333333329999997"/>
    <n v="0.83333333300000001"/>
    <x v="3"/>
    <x v="0"/>
    <x v="6"/>
    <n v="88.229166665999998"/>
    <n v="13234.374999899999"/>
    <n v="3970.3124999699994"/>
    <x v="1"/>
  </r>
  <r>
    <d v="2017-01-19T00:00:00"/>
    <n v="5"/>
    <n v="5.7"/>
    <n v="7.8333333329999997"/>
    <n v="37.75"/>
    <n v="15.83333333"/>
    <n v="0"/>
    <n v="2.5"/>
    <n v="3.3333333330000001"/>
    <x v="3"/>
    <x v="0"/>
    <x v="0"/>
    <n v="77.949999996000003"/>
    <n v="11692.499999400001"/>
    <n v="3507.7499998200001"/>
    <x v="1"/>
  </r>
  <r>
    <d v="2017-01-20T00:00:00"/>
    <n v="3.608333333"/>
    <n v="4.7387499999999996"/>
    <n v="4.125"/>
    <n v="37.625"/>
    <n v="23.333333329999999"/>
    <n v="2.9166666669999999"/>
    <n v="12.5"/>
    <n v="2.5"/>
    <x v="3"/>
    <x v="0"/>
    <x v="1"/>
    <n v="91.347083330000004"/>
    <n v="13702.0624995"/>
    <n v="4110.6187498499994"/>
    <x v="1"/>
  </r>
  <r>
    <d v="2017-01-21T00:00:00"/>
    <n v="5.6958333330000004"/>
    <n v="2.4"/>
    <n v="4.5833333329999997"/>
    <n v="50.208333330000002"/>
    <n v="15"/>
    <n v="2.0833333330000001"/>
    <n v="4.5833333329999997"/>
    <n v="2.9166666669999999"/>
    <x v="3"/>
    <x v="0"/>
    <x v="2"/>
    <n v="87.470833329000001"/>
    <n v="13120.624999350001"/>
    <n v="3936.1874998049998"/>
    <x v="1"/>
  </r>
  <r>
    <d v="2017-01-22T00:00:00"/>
    <n v="4.5125000000000002"/>
    <n v="5.0075000000000003"/>
    <n v="5.125"/>
    <n v="37.020833330000002"/>
    <n v="19.166666670000001"/>
    <n v="1.25"/>
    <n v="9.1666666669999994"/>
    <n v="1.6666666670000001"/>
    <x v="3"/>
    <x v="0"/>
    <x v="3"/>
    <n v="82.915833333999998"/>
    <n v="12437.375000099999"/>
    <n v="3731.2125000299993"/>
    <x v="1"/>
  </r>
  <r>
    <d v="2017-01-23T00:00:00"/>
    <n v="5.1375000000000002"/>
    <n v="4.5049999999999999"/>
    <n v="6.2916666670000003"/>
    <n v="41.75"/>
    <n v="15.83333333"/>
    <n v="0.83333333300000001"/>
    <n v="2.5"/>
    <n v="1.6666666670000001"/>
    <x v="3"/>
    <x v="0"/>
    <x v="4"/>
    <n v="78.517499997000002"/>
    <n v="11777.62499955"/>
    <n v="3533.287499865"/>
    <x v="1"/>
  </r>
  <r>
    <d v="2017-01-24T00:00:00"/>
    <n v="6.1124999999999998"/>
    <n v="5.7708333329999997"/>
    <n v="10.95833333"/>
    <n v="40.083333330000002"/>
    <n v="11.25"/>
    <n v="0"/>
    <n v="10"/>
    <n v="2.9166666669999999"/>
    <x v="3"/>
    <x v="0"/>
    <x v="5"/>
    <n v="87.091666660000001"/>
    <n v="13063.749999"/>
    <n v="3919.1249996999995"/>
    <x v="1"/>
  </r>
  <r>
    <d v="2017-01-25T00:00:00"/>
    <n v="7.7791666670000001"/>
    <n v="5.108333333"/>
    <n v="7.6666666670000003"/>
    <n v="51.1875"/>
    <n v="18.75"/>
    <n v="2.0833333330000001"/>
    <n v="13.75"/>
    <n v="2.2916666669999999"/>
    <x v="3"/>
    <x v="0"/>
    <x v="6"/>
    <n v="108.616666667"/>
    <n v="16292.50000005"/>
    <n v="4887.7500000150003"/>
    <x v="1"/>
  </r>
  <r>
    <d v="2017-01-26T00:00:00"/>
    <n v="5.9791666670000003"/>
    <n v="5.224583333"/>
    <n v="7.0416666670000003"/>
    <n v="36.625"/>
    <n v="13.75"/>
    <n v="0.83333333300000001"/>
    <n v="8.3333333330000006"/>
    <n v="0"/>
    <x v="3"/>
    <x v="0"/>
    <x v="0"/>
    <n v="77.787083332999998"/>
    <n v="11668.06249995"/>
    <n v="3500.418749985"/>
    <x v="1"/>
  </r>
  <r>
    <d v="2017-01-27T00:00:00"/>
    <n v="7.85"/>
    <n v="7.5412499999999998"/>
    <n v="5.1666666670000003"/>
    <n v="42.60916667"/>
    <n v="21.25"/>
    <n v="2.0833333330000001"/>
    <n v="9.5833333330000006"/>
    <n v="1.25"/>
    <x v="3"/>
    <x v="0"/>
    <x v="1"/>
    <n v="97.333750003000006"/>
    <n v="14600.062500450002"/>
    <n v="4380.0187501350001"/>
    <x v="1"/>
  </r>
  <r>
    <d v="2017-01-28T00:00:00"/>
    <n v="5.9708333329999999"/>
    <n v="6.1124999999999998"/>
    <n v="2.25"/>
    <n v="32.083333330000002"/>
    <n v="9.1666666669999994"/>
    <n v="0"/>
    <n v="1.6666666670000001"/>
    <n v="1.25"/>
    <x v="3"/>
    <x v="0"/>
    <x v="2"/>
    <n v="58.499999997000003"/>
    <n v="8774.9999995500002"/>
    <n v="2632.4999998650001"/>
    <x v="0"/>
  </r>
  <r>
    <d v="2017-01-29T00:00:00"/>
    <n v="5.141666667"/>
    <n v="7.7833333329999999"/>
    <n v="5.3333333329999997"/>
    <n v="54.166666669999998"/>
    <n v="15.83333333"/>
    <n v="2.5"/>
    <n v="9.5833333330000006"/>
    <n v="3.3333333330000001"/>
    <x v="3"/>
    <x v="0"/>
    <x v="3"/>
    <n v="103.67499999899999"/>
    <n v="15551.249999849999"/>
    <n v="4665.3749999549991"/>
    <x v="1"/>
  </r>
  <r>
    <d v="2017-01-30T00:00:00"/>
    <n v="8.0583333330000002"/>
    <n v="5.61625"/>
    <n v="7"/>
    <n v="35.517499999999998"/>
    <n v="17.083333329999999"/>
    <n v="4.1666666670000003"/>
    <n v="7.0833333329999997"/>
    <n v="4.1666666670000003"/>
    <x v="3"/>
    <x v="0"/>
    <x v="4"/>
    <n v="88.692083330000003"/>
    <n v="13303.8124995"/>
    <n v="3991.1437498499999"/>
    <x v="1"/>
  </r>
  <r>
    <d v="2017-01-31T00:00:00"/>
    <n v="4.4416666669999998"/>
    <n v="4.2545833330000002"/>
    <n v="2.8333333330000001"/>
    <n v="47.25"/>
    <n v="13.33333333"/>
    <n v="0.83333333300000001"/>
    <n v="2.9166666669999999"/>
    <n v="1.6666666670000001"/>
    <x v="3"/>
    <x v="0"/>
    <x v="5"/>
    <n v="77.529583329999994"/>
    <n v="11629.4374995"/>
    <n v="3488.8312498499999"/>
    <x v="1"/>
  </r>
  <r>
    <d v="2017-02-01T00:00:00"/>
    <n v="7.375"/>
    <n v="5.1883333330000001"/>
    <n v="6.0416666670000003"/>
    <n v="31.625"/>
    <n v="10.83333333"/>
    <n v="0.41666666699999999"/>
    <n v="8.3333333330000006"/>
    <n v="2.0833333330000001"/>
    <x v="3"/>
    <x v="1"/>
    <x v="6"/>
    <n v="71.896666663000005"/>
    <n v="10784.499999450001"/>
    <n v="3235.3499998350003"/>
    <x v="1"/>
  </r>
  <r>
    <d v="2017-02-02T00:00:00"/>
    <n v="8.1958333329999995"/>
    <n v="6.2116666670000003"/>
    <n v="6.4166666670000003"/>
    <n v="42.291666669999998"/>
    <n v="9.1666666669999994"/>
    <n v="0.41666666699999999"/>
    <n v="0.41666666699999999"/>
    <n v="0.83333333300000001"/>
    <x v="3"/>
    <x v="1"/>
    <x v="0"/>
    <n v="73.949166671"/>
    <n v="11092.375000649999"/>
    <n v="3327.7125001949998"/>
    <x v="1"/>
  </r>
  <r>
    <d v="2017-02-03T00:00:00"/>
    <n v="7.6375000000000002"/>
    <n v="6.2554166670000004"/>
    <n v="9"/>
    <n v="42.900833329999998"/>
    <n v="15.83333333"/>
    <n v="2.5"/>
    <n v="7.0833333329999997"/>
    <n v="0.83333333300000001"/>
    <x v="3"/>
    <x v="1"/>
    <x v="1"/>
    <n v="92.043749992999992"/>
    <n v="13806.562498949999"/>
    <n v="4141.9687496849992"/>
    <x v="1"/>
  </r>
  <r>
    <d v="2017-02-04T00:00:00"/>
    <n v="7.7791666670000001"/>
    <n v="4.1666666670000003"/>
    <n v="4.4166666670000003"/>
    <n v="27.708333329999999"/>
    <n v="12.08333333"/>
    <n v="0.83333333300000001"/>
    <n v="7.5"/>
    <n v="3.75"/>
    <x v="3"/>
    <x v="1"/>
    <x v="2"/>
    <n v="68.237499994000004"/>
    <n v="10235.6249991"/>
    <n v="3070.6874997300001"/>
    <x v="1"/>
  </r>
  <r>
    <d v="2017-02-05T00:00:00"/>
    <n v="10.67"/>
    <n v="10.725"/>
    <n v="5"/>
    <n v="38.6"/>
    <n v="1"/>
    <n v="0"/>
    <n v="11"/>
    <n v="1.1000000000000001"/>
    <x v="3"/>
    <x v="1"/>
    <x v="3"/>
    <n v="78.094999999999999"/>
    <n v="11714.25"/>
    <n v="3514.2750000000001"/>
    <x v="1"/>
  </r>
  <r>
    <d v="2017-02-06T00:00:00"/>
    <n v="10"/>
    <n v="5"/>
    <n v="4.4000000000000004"/>
    <n v="13"/>
    <n v="3"/>
    <n v="2"/>
    <n v="5"/>
    <n v="0"/>
    <x v="3"/>
    <x v="1"/>
    <x v="4"/>
    <n v="42.4"/>
    <n v="6360"/>
    <n v="1908"/>
    <x v="0"/>
  </r>
  <r>
    <d v="2017-02-07T00:00:00"/>
    <n v="3"/>
    <n v="0.33"/>
    <n v="3.5"/>
    <n v="13.8"/>
    <n v="3"/>
    <n v="0"/>
    <n v="7"/>
    <n v="2"/>
    <x v="3"/>
    <x v="1"/>
    <x v="5"/>
    <n v="32.630000000000003"/>
    <n v="4894.5"/>
    <n v="1468.35"/>
    <x v="0"/>
  </r>
  <r>
    <d v="2017-02-08T00:00:00"/>
    <n v="11"/>
    <n v="1.67"/>
    <n v="4"/>
    <n v="36"/>
    <n v="7"/>
    <n v="0"/>
    <n v="10"/>
    <n v="2"/>
    <x v="3"/>
    <x v="1"/>
    <x v="6"/>
    <n v="71.67"/>
    <n v="10750.5"/>
    <n v="3225.15"/>
    <x v="1"/>
  </r>
  <r>
    <d v="2017-02-09T00:00:00"/>
    <n v="3.9824999999999999"/>
    <n v="1.76"/>
    <n v="4"/>
    <n v="20.399999999999999"/>
    <n v="6"/>
    <n v="0"/>
    <n v="0"/>
    <n v="1"/>
    <x v="3"/>
    <x v="1"/>
    <x v="0"/>
    <n v="37.142499999999998"/>
    <n v="5571.375"/>
    <n v="1671.4124999999999"/>
    <x v="0"/>
  </r>
  <r>
    <d v="2017-02-10T00:00:00"/>
    <n v="4.01"/>
    <n v="3.34"/>
    <n v="4.75"/>
    <n v="23.2"/>
    <n v="5"/>
    <n v="0"/>
    <n v="2"/>
    <n v="0"/>
    <x v="3"/>
    <x v="1"/>
    <x v="1"/>
    <n v="42.3"/>
    <n v="6345"/>
    <n v="1903.5"/>
    <x v="0"/>
  </r>
  <r>
    <d v="2017-02-11T00:00:00"/>
    <n v="5.33"/>
    <n v="6.32"/>
    <n v="5.0999999999999996"/>
    <n v="12.4"/>
    <n v="11"/>
    <n v="1"/>
    <n v="1"/>
    <n v="3"/>
    <x v="3"/>
    <x v="1"/>
    <x v="2"/>
    <n v="45.15"/>
    <n v="6772.5"/>
    <n v="2031.75"/>
    <x v="0"/>
  </r>
  <r>
    <d v="2017-02-12T00:00:00"/>
    <n v="10"/>
    <n v="10.67"/>
    <n v="7.8"/>
    <n v="27.4"/>
    <n v="4"/>
    <n v="0"/>
    <n v="2"/>
    <n v="1"/>
    <x v="3"/>
    <x v="1"/>
    <x v="3"/>
    <n v="62.870000000000005"/>
    <n v="9430.5"/>
    <n v="2829.15"/>
    <x v="0"/>
  </r>
  <r>
    <d v="2017-02-13T00:00:00"/>
    <n v="0"/>
    <n v="0"/>
    <n v="0"/>
    <n v="0"/>
    <n v="0"/>
    <n v="0"/>
    <n v="0"/>
    <n v="0"/>
    <x v="3"/>
    <x v="1"/>
    <x v="4"/>
    <n v="0"/>
    <n v="0"/>
    <n v="0"/>
    <x v="0"/>
  </r>
  <r>
    <d v="2017-02-14T00:00:00"/>
    <n v="4.33"/>
    <n v="5"/>
    <n v="2.1"/>
    <n v="22"/>
    <n v="0"/>
    <n v="0"/>
    <n v="1"/>
    <n v="1"/>
    <x v="3"/>
    <x v="1"/>
    <x v="5"/>
    <n v="35.43"/>
    <n v="5314.5"/>
    <n v="1594.35"/>
    <x v="0"/>
  </r>
  <r>
    <d v="2017-02-15T00:00:00"/>
    <n v="6"/>
    <n v="2.67"/>
    <n v="2"/>
    <n v="19.2"/>
    <n v="1"/>
    <n v="0"/>
    <n v="1"/>
    <n v="1"/>
    <x v="3"/>
    <x v="1"/>
    <x v="6"/>
    <n v="32.869999999999997"/>
    <n v="4930.5"/>
    <n v="1479.1499999999999"/>
    <x v="0"/>
  </r>
  <r>
    <d v="2017-02-16T00:00:00"/>
    <n v="3.66"/>
    <n v="4.66"/>
    <n v="1"/>
    <n v="31.6"/>
    <n v="2"/>
    <n v="0"/>
    <n v="0"/>
    <n v="3"/>
    <x v="3"/>
    <x v="1"/>
    <x v="0"/>
    <n v="45.92"/>
    <n v="6888"/>
    <n v="2066.4"/>
    <x v="0"/>
  </r>
  <r>
    <d v="2017-02-17T00:00:00"/>
    <n v="3"/>
    <n v="2.802"/>
    <n v="2.1"/>
    <n v="12.25"/>
    <n v="4"/>
    <n v="0"/>
    <n v="8"/>
    <n v="1.2"/>
    <x v="3"/>
    <x v="1"/>
    <x v="1"/>
    <n v="33.352000000000004"/>
    <n v="5002.8"/>
    <n v="1500.84"/>
    <x v="0"/>
  </r>
  <r>
    <d v="2017-02-18T00:00:00"/>
    <n v="7"/>
    <n v="4"/>
    <n v="2.35"/>
    <n v="30"/>
    <n v="10"/>
    <n v="0"/>
    <n v="0"/>
    <n v="3.1"/>
    <x v="3"/>
    <x v="1"/>
    <x v="2"/>
    <n v="56.45"/>
    <n v="8467.5"/>
    <n v="2540.25"/>
    <x v="0"/>
  </r>
  <r>
    <d v="2017-02-19T00:00:00"/>
    <n v="3.34"/>
    <n v="3.516"/>
    <n v="2.2000000000000002"/>
    <n v="13"/>
    <n v="1"/>
    <n v="0"/>
    <n v="8"/>
    <n v="1"/>
    <x v="3"/>
    <x v="1"/>
    <x v="3"/>
    <n v="32.055999999999997"/>
    <n v="4808.3999999999996"/>
    <n v="1442.5199999999998"/>
    <x v="0"/>
  </r>
  <r>
    <d v="2017-02-20T00:00:00"/>
    <n v="5"/>
    <n v="3.76"/>
    <n v="4.5"/>
    <n v="33.1"/>
    <n v="2"/>
    <n v="0"/>
    <n v="1"/>
    <n v="3"/>
    <x v="3"/>
    <x v="1"/>
    <x v="4"/>
    <n v="52.36"/>
    <n v="7854"/>
    <n v="2356.1999999999998"/>
    <x v="0"/>
  </r>
  <r>
    <d v="2017-02-21T00:00:00"/>
    <n v="5"/>
    <n v="4.1550000000000002"/>
    <n v="4"/>
    <n v="22.9"/>
    <n v="14"/>
    <n v="0"/>
    <n v="8"/>
    <n v="1"/>
    <x v="3"/>
    <x v="1"/>
    <x v="5"/>
    <n v="59.055"/>
    <n v="8858.25"/>
    <n v="2657.4749999999999"/>
    <x v="0"/>
  </r>
  <r>
    <d v="2017-02-22T00:00:00"/>
    <n v="3.67"/>
    <n v="2.4289999999999998"/>
    <n v="7.2"/>
    <n v="21.1"/>
    <n v="9"/>
    <n v="0"/>
    <n v="5"/>
    <n v="0"/>
    <x v="3"/>
    <x v="1"/>
    <x v="6"/>
    <n v="48.399000000000001"/>
    <n v="7259.85"/>
    <n v="2177.9549999999999"/>
    <x v="0"/>
  </r>
  <r>
    <d v="2017-02-23T00:00:00"/>
    <n v="6.67"/>
    <n v="5.67"/>
    <n v="4.05"/>
    <n v="24.1"/>
    <n v="5"/>
    <n v="1"/>
    <n v="8"/>
    <n v="2"/>
    <x v="3"/>
    <x v="1"/>
    <x v="0"/>
    <n v="56.49"/>
    <n v="8473.5"/>
    <n v="2542.0499999999997"/>
    <x v="0"/>
  </r>
  <r>
    <d v="2017-02-24T00:00:00"/>
    <n v="1"/>
    <n v="4.67"/>
    <n v="4"/>
    <n v="29.8"/>
    <n v="10"/>
    <n v="1"/>
    <n v="7"/>
    <n v="1"/>
    <x v="3"/>
    <x v="1"/>
    <x v="1"/>
    <n v="58.47"/>
    <n v="8770.5"/>
    <n v="2631.15"/>
    <x v="0"/>
  </r>
  <r>
    <d v="2017-02-25T00:00:00"/>
    <n v="6"/>
    <n v="6.34"/>
    <n v="5.25"/>
    <n v="24"/>
    <n v="6.875"/>
    <n v="0"/>
    <n v="2"/>
    <n v="0"/>
    <x v="3"/>
    <x v="1"/>
    <x v="2"/>
    <n v="50.465000000000003"/>
    <n v="7569.7500000000009"/>
    <n v="2270.9250000000002"/>
    <x v="0"/>
  </r>
  <r>
    <d v="2017-02-26T00:00:00"/>
    <n v="5.33"/>
    <n v="5.33"/>
    <n v="3.2"/>
    <n v="15.7"/>
    <n v="3"/>
    <n v="0"/>
    <n v="5"/>
    <n v="1.2"/>
    <x v="3"/>
    <x v="1"/>
    <x v="3"/>
    <n v="38.760000000000005"/>
    <n v="5814.0000000000009"/>
    <n v="1744.2000000000003"/>
    <x v="0"/>
  </r>
  <r>
    <d v="2017-02-27T00:00:00"/>
    <n v="5.67"/>
    <n v="3.68"/>
    <n v="7"/>
    <n v="16.399999999999999"/>
    <n v="14"/>
    <n v="0"/>
    <n v="7"/>
    <n v="2"/>
    <x v="3"/>
    <x v="1"/>
    <x v="4"/>
    <n v="55.75"/>
    <n v="8362.5"/>
    <n v="2508.75"/>
    <x v="0"/>
  </r>
  <r>
    <d v="2017-02-28T00:00:00"/>
    <n v="5.34"/>
    <n v="5.0199999999999996"/>
    <n v="7.5"/>
    <n v="26.4"/>
    <n v="9"/>
    <n v="2"/>
    <n v="18"/>
    <n v="0"/>
    <x v="3"/>
    <x v="1"/>
    <x v="5"/>
    <n v="73.259999999999991"/>
    <n v="10988.999999999998"/>
    <n v="3296.6999999999994"/>
    <x v="1"/>
  </r>
  <r>
    <d v="2017-03-01T00:00:00"/>
    <n v="4"/>
    <n v="4.66"/>
    <n v="5"/>
    <n v="15.1"/>
    <n v="17"/>
    <n v="0"/>
    <n v="5"/>
    <n v="2"/>
    <x v="3"/>
    <x v="2"/>
    <x v="6"/>
    <n v="52.76"/>
    <n v="7914"/>
    <n v="2374.1999999999998"/>
    <x v="0"/>
  </r>
  <r>
    <d v="2017-03-02T00:00:00"/>
    <n v="5"/>
    <n v="7.13"/>
    <n v="3"/>
    <n v="13"/>
    <n v="1"/>
    <n v="1"/>
    <n v="1"/>
    <n v="2"/>
    <x v="3"/>
    <x v="2"/>
    <x v="0"/>
    <n v="33.129999999999995"/>
    <n v="4969.4999999999991"/>
    <n v="1490.8499999999997"/>
    <x v="0"/>
  </r>
  <r>
    <d v="2017-03-03T00:00:00"/>
    <n v="9"/>
    <n v="2.99"/>
    <n v="4"/>
    <n v="12.9"/>
    <n v="9"/>
    <n v="1"/>
    <n v="6"/>
    <n v="4"/>
    <x v="3"/>
    <x v="2"/>
    <x v="1"/>
    <n v="48.89"/>
    <n v="7333.5"/>
    <n v="2200.0499999999997"/>
    <x v="0"/>
  </r>
  <r>
    <d v="2017-03-04T00:00:00"/>
    <n v="5.01"/>
    <n v="3.67"/>
    <n v="3.1"/>
    <n v="17"/>
    <n v="0"/>
    <n v="0"/>
    <n v="5"/>
    <n v="4.5"/>
    <x v="3"/>
    <x v="2"/>
    <x v="2"/>
    <n v="38.28"/>
    <n v="5742"/>
    <n v="1722.6"/>
    <x v="0"/>
  </r>
  <r>
    <d v="2017-03-05T00:00:00"/>
    <n v="12.33"/>
    <n v="4.33"/>
    <n v="5"/>
    <n v="33.9"/>
    <n v="3"/>
    <n v="0"/>
    <n v="6"/>
    <n v="5"/>
    <x v="3"/>
    <x v="2"/>
    <x v="3"/>
    <n v="69.56"/>
    <n v="10434"/>
    <n v="3130.2"/>
    <x v="1"/>
  </r>
  <r>
    <d v="2017-03-06T00:00:00"/>
    <n v="6.83"/>
    <n v="2.33"/>
    <n v="1.1000000000000001"/>
    <n v="19.600000000000001"/>
    <n v="1"/>
    <n v="0"/>
    <n v="0"/>
    <n v="3"/>
    <x v="3"/>
    <x v="2"/>
    <x v="4"/>
    <n v="33.86"/>
    <n v="5079"/>
    <n v="1523.7"/>
    <x v="0"/>
  </r>
  <r>
    <d v="2017-03-07T00:00:00"/>
    <n v="2.34"/>
    <n v="5.33"/>
    <n v="6.5"/>
    <n v="15"/>
    <n v="4"/>
    <n v="0"/>
    <n v="0"/>
    <n v="2"/>
    <x v="3"/>
    <x v="2"/>
    <x v="5"/>
    <n v="35.17"/>
    <n v="5275.5"/>
    <n v="1582.6499999999999"/>
    <x v="0"/>
  </r>
  <r>
    <d v="2017-03-08T00:00:00"/>
    <n v="1"/>
    <n v="2.34"/>
    <n v="0"/>
    <n v="15.2"/>
    <n v="4"/>
    <n v="0"/>
    <n v="0"/>
    <n v="3"/>
    <x v="3"/>
    <x v="2"/>
    <x v="6"/>
    <n v="25.54"/>
    <n v="3831"/>
    <n v="1149.3"/>
    <x v="0"/>
  </r>
  <r>
    <d v="2017-03-09T00:00:00"/>
    <n v="11.33"/>
    <n v="2.33"/>
    <n v="6"/>
    <n v="26.9"/>
    <n v="6"/>
    <n v="1"/>
    <n v="0"/>
    <n v="2.5"/>
    <x v="3"/>
    <x v="2"/>
    <x v="0"/>
    <n v="56.06"/>
    <n v="8409"/>
    <n v="2522.6999999999998"/>
    <x v="0"/>
  </r>
  <r>
    <d v="2017-03-10T00:00:00"/>
    <n v="2"/>
    <n v="4.33"/>
    <n v="4.5999999999999996"/>
    <n v="26.3"/>
    <n v="8"/>
    <n v="1"/>
    <n v="0"/>
    <n v="1"/>
    <x v="3"/>
    <x v="2"/>
    <x v="1"/>
    <n v="47.230000000000004"/>
    <n v="7084.5000000000009"/>
    <n v="2125.3500000000004"/>
    <x v="0"/>
  </r>
  <r>
    <d v="2017-03-11T00:00:00"/>
    <n v="6.33"/>
    <n v="4.0659999999999998"/>
    <n v="6"/>
    <n v="20.100000000000001"/>
    <n v="2"/>
    <n v="1"/>
    <n v="5"/>
    <n v="3.5"/>
    <x v="3"/>
    <x v="2"/>
    <x v="2"/>
    <n v="47.996000000000002"/>
    <n v="7199.4000000000005"/>
    <n v="2159.8200000000002"/>
    <x v="0"/>
  </r>
  <r>
    <d v="2017-03-12T00:00:00"/>
    <n v="7.68"/>
    <n v="7.01"/>
    <n v="2"/>
    <n v="48"/>
    <n v="6"/>
    <n v="4"/>
    <n v="15"/>
    <n v="2"/>
    <x v="3"/>
    <x v="2"/>
    <x v="3"/>
    <n v="91.69"/>
    <n v="13753.5"/>
    <n v="4126.05"/>
    <x v="1"/>
  </r>
  <r>
    <d v="2017-03-13T00:00:00"/>
    <n v="2.33"/>
    <n v="0.68"/>
    <n v="2.7"/>
    <n v="17.8"/>
    <n v="2"/>
    <n v="0"/>
    <n v="10"/>
    <n v="0"/>
    <x v="3"/>
    <x v="2"/>
    <x v="4"/>
    <n v="35.510000000000005"/>
    <n v="5326.5000000000009"/>
    <n v="1597.9500000000003"/>
    <x v="0"/>
  </r>
  <r>
    <d v="2017-03-14T00:00:00"/>
    <n v="2.67"/>
    <n v="1.34"/>
    <n v="3"/>
    <n v="15"/>
    <n v="5"/>
    <n v="0"/>
    <n v="5"/>
    <n v="1"/>
    <x v="3"/>
    <x v="2"/>
    <x v="5"/>
    <n v="33.01"/>
    <n v="4951.5"/>
    <n v="1485.45"/>
    <x v="0"/>
  </r>
  <r>
    <d v="2017-03-15T00:00:00"/>
    <n v="3.66"/>
    <n v="1.7030000000000001"/>
    <n v="2.5"/>
    <n v="14.6"/>
    <n v="4"/>
    <n v="0"/>
    <n v="0"/>
    <n v="0"/>
    <x v="3"/>
    <x v="2"/>
    <x v="6"/>
    <n v="26.463000000000001"/>
    <n v="3969.4500000000003"/>
    <n v="1190.835"/>
    <x v="0"/>
  </r>
  <r>
    <d v="2017-03-16T00:00:00"/>
    <n v="6"/>
    <n v="4.056"/>
    <n v="4.75"/>
    <n v="28.2"/>
    <n v="4"/>
    <n v="0"/>
    <n v="1"/>
    <n v="3"/>
    <x v="3"/>
    <x v="2"/>
    <x v="0"/>
    <n v="51.006"/>
    <n v="7650.9"/>
    <n v="2295.27"/>
    <x v="0"/>
  </r>
  <r>
    <d v="2017-03-17T00:00:00"/>
    <n v="4.33"/>
    <n v="2.802"/>
    <n v="0"/>
    <n v="11"/>
    <n v="14"/>
    <n v="0"/>
    <n v="3"/>
    <n v="3"/>
    <x v="3"/>
    <x v="2"/>
    <x v="1"/>
    <n v="38.131999999999998"/>
    <n v="5719.7999999999993"/>
    <n v="1715.9399999999998"/>
    <x v="0"/>
  </r>
  <r>
    <d v="2017-03-18T00:00:00"/>
    <n v="5"/>
    <n v="4.38"/>
    <n v="4.25"/>
    <n v="20.399999999999999"/>
    <n v="3"/>
    <n v="0"/>
    <n v="1"/>
    <n v="1"/>
    <x v="3"/>
    <x v="2"/>
    <x v="2"/>
    <n v="39.03"/>
    <n v="5854.5"/>
    <n v="1756.35"/>
    <x v="0"/>
  </r>
  <r>
    <d v="2017-03-19T00:00:00"/>
    <n v="10"/>
    <n v="3.6930000000000001"/>
    <n v="2"/>
    <n v="39.1"/>
    <n v="3"/>
    <n v="0"/>
    <n v="5"/>
    <n v="3"/>
    <x v="3"/>
    <x v="2"/>
    <x v="3"/>
    <n v="65.793000000000006"/>
    <n v="9868.9500000000007"/>
    <n v="2960.6849999999999"/>
    <x v="0"/>
  </r>
  <r>
    <d v="2017-03-20T00:00:00"/>
    <n v="1.66"/>
    <n v="6.6829999999999998"/>
    <n v="4.7"/>
    <n v="16.100000000000001"/>
    <n v="3"/>
    <n v="0"/>
    <n v="7"/>
    <n v="3"/>
    <x v="3"/>
    <x v="2"/>
    <x v="4"/>
    <n v="42.143000000000001"/>
    <n v="6321.45"/>
    <n v="1896.4349999999999"/>
    <x v="0"/>
  </r>
  <r>
    <d v="2017-03-21T00:00:00"/>
    <n v="9.16"/>
    <n v="2.0299999999999998"/>
    <n v="2.2000000000000002"/>
    <n v="12.6"/>
    <n v="4"/>
    <n v="0"/>
    <n v="1"/>
    <n v="5.3"/>
    <x v="3"/>
    <x v="2"/>
    <x v="5"/>
    <n v="36.29"/>
    <n v="5443.5"/>
    <n v="1633.05"/>
    <x v="0"/>
  </r>
  <r>
    <d v="2017-03-22T00:00:00"/>
    <n v="1.66"/>
    <n v="5.0229999999999997"/>
    <n v="2"/>
    <n v="16.399999999999999"/>
    <n v="7"/>
    <n v="0"/>
    <n v="2"/>
    <n v="2"/>
    <x v="3"/>
    <x v="2"/>
    <x v="6"/>
    <n v="36.082999999999998"/>
    <n v="5412.45"/>
    <n v="1623.7349999999999"/>
    <x v="0"/>
  </r>
  <r>
    <d v="2017-03-23T00:00:00"/>
    <n v="7.34"/>
    <n v="2.133"/>
    <n v="1"/>
    <n v="13.3"/>
    <n v="8"/>
    <n v="0"/>
    <n v="6"/>
    <n v="3.5"/>
    <x v="3"/>
    <x v="2"/>
    <x v="0"/>
    <n v="41.272999999999996"/>
    <n v="6190.95"/>
    <n v="1857.2849999999999"/>
    <x v="0"/>
  </r>
  <r>
    <d v="2017-03-24T00:00:00"/>
    <n v="1.67"/>
    <n v="3"/>
    <n v="4.5"/>
    <n v="12.3"/>
    <n v="7"/>
    <n v="0"/>
    <n v="5"/>
    <n v="6.3"/>
    <x v="3"/>
    <x v="2"/>
    <x v="1"/>
    <n v="39.769999999999996"/>
    <n v="5965.4999999999991"/>
    <n v="1789.6499999999996"/>
    <x v="0"/>
  </r>
  <r>
    <d v="2017-03-25T00:00:00"/>
    <n v="10"/>
    <n v="5.49"/>
    <n v="1"/>
    <n v="33.299999999999997"/>
    <n v="3"/>
    <n v="0"/>
    <n v="0"/>
    <n v="4"/>
    <x v="3"/>
    <x v="2"/>
    <x v="2"/>
    <n v="56.79"/>
    <n v="8518.5"/>
    <n v="2555.5499999999997"/>
    <x v="0"/>
  </r>
  <r>
    <d v="2017-03-26T00:00:00"/>
    <n v="5.34"/>
    <n v="5.36"/>
    <n v="3.45"/>
    <n v="18"/>
    <n v="4"/>
    <n v="0"/>
    <n v="10"/>
    <n v="8"/>
    <x v="3"/>
    <x v="2"/>
    <x v="3"/>
    <n v="54.15"/>
    <n v="8122.5"/>
    <n v="2436.75"/>
    <x v="0"/>
  </r>
  <r>
    <d v="2017-03-27T00:00:00"/>
    <n v="4.84"/>
    <n v="3.4630000000000001"/>
    <n v="3.5"/>
    <n v="14.8"/>
    <n v="5"/>
    <n v="0"/>
    <n v="1"/>
    <n v="4"/>
    <x v="3"/>
    <x v="2"/>
    <x v="4"/>
    <n v="36.603000000000002"/>
    <n v="5490.45"/>
    <n v="1647.135"/>
    <x v="0"/>
  </r>
  <r>
    <d v="2017-03-28T00:00:00"/>
    <n v="2.67"/>
    <n v="2.67"/>
    <n v="7"/>
    <n v="22"/>
    <n v="14"/>
    <n v="0"/>
    <n v="0"/>
    <n v="6"/>
    <x v="3"/>
    <x v="2"/>
    <x v="5"/>
    <n v="54.34"/>
    <n v="8151.0000000000009"/>
    <n v="2445.3000000000002"/>
    <x v="0"/>
  </r>
  <r>
    <d v="2017-03-29T00:00:00"/>
    <n v="6.34"/>
    <n v="1.34"/>
    <n v="4"/>
    <n v="12.9"/>
    <n v="3"/>
    <n v="0"/>
    <n v="7"/>
    <n v="4.5"/>
    <x v="3"/>
    <x v="2"/>
    <x v="6"/>
    <n v="39.08"/>
    <n v="5862"/>
    <n v="1758.6"/>
    <x v="0"/>
  </r>
  <r>
    <d v="2017-03-30T00:00:00"/>
    <n v="1.33"/>
    <n v="2.6930000000000001"/>
    <n v="5"/>
    <n v="9.5"/>
    <n v="9"/>
    <n v="0"/>
    <n v="0"/>
    <n v="2"/>
    <x v="3"/>
    <x v="2"/>
    <x v="0"/>
    <n v="29.523"/>
    <n v="4428.45"/>
    <n v="1328.5349999999999"/>
    <x v="0"/>
  </r>
  <r>
    <d v="2017-03-31T00:00:00"/>
    <n v="4"/>
    <n v="2"/>
    <n v="3.5"/>
    <n v="22.2"/>
    <n v="2"/>
    <n v="0"/>
    <n v="2"/>
    <n v="6"/>
    <x v="3"/>
    <x v="2"/>
    <x v="1"/>
    <n v="41.7"/>
    <n v="6255"/>
    <n v="1876.5"/>
    <x v="0"/>
  </r>
  <r>
    <d v="2017-04-01T00:00:00"/>
    <n v="2.33"/>
    <n v="2"/>
    <n v="2"/>
    <n v="34"/>
    <n v="2"/>
    <n v="0"/>
    <n v="1"/>
    <n v="3"/>
    <x v="3"/>
    <x v="3"/>
    <x v="2"/>
    <n v="46.33"/>
    <n v="6949.5"/>
    <n v="2084.85"/>
    <x v="0"/>
  </r>
  <r>
    <d v="2017-04-02T00:00:00"/>
    <n v="6.67"/>
    <n v="4.2229999999999999"/>
    <n v="4"/>
    <n v="23"/>
    <n v="4"/>
    <n v="0"/>
    <n v="9"/>
    <n v="12.4"/>
    <x v="3"/>
    <x v="3"/>
    <x v="3"/>
    <n v="63.292999999999999"/>
    <n v="9493.9500000000007"/>
    <n v="2848.1849999999999"/>
    <x v="0"/>
  </r>
  <r>
    <d v="2017-04-03T00:00:00"/>
    <n v="6.33"/>
    <n v="1"/>
    <n v="5.6"/>
    <n v="25.6"/>
    <n v="8"/>
    <n v="0"/>
    <n v="20"/>
    <n v="3"/>
    <x v="3"/>
    <x v="3"/>
    <x v="4"/>
    <n v="69.53"/>
    <n v="10429.5"/>
    <n v="3128.85"/>
    <x v="1"/>
  </r>
  <r>
    <d v="2017-04-04T00:00:00"/>
    <n v="0.33"/>
    <n v="1.0329999999999999"/>
    <n v="2.2000000000000002"/>
    <n v="8"/>
    <n v="2"/>
    <n v="0"/>
    <n v="5"/>
    <n v="5.5"/>
    <x v="3"/>
    <x v="3"/>
    <x v="5"/>
    <n v="24.063000000000002"/>
    <n v="3609.4500000000003"/>
    <n v="1082.835"/>
    <x v="0"/>
  </r>
  <r>
    <d v="2017-04-05T00:00:00"/>
    <n v="5"/>
    <n v="0.23100000000000001"/>
    <n v="0.2"/>
    <n v="13.6"/>
    <n v="9"/>
    <n v="2"/>
    <n v="6"/>
    <n v="1"/>
    <x v="3"/>
    <x v="3"/>
    <x v="6"/>
    <n v="37.030999999999999"/>
    <n v="5554.65"/>
    <n v="1666.3949999999998"/>
    <x v="0"/>
  </r>
  <r>
    <d v="2017-04-06T00:00:00"/>
    <n v="5"/>
    <n v="0.66"/>
    <n v="3.1"/>
    <n v="10.9"/>
    <n v="4"/>
    <n v="1"/>
    <n v="0"/>
    <n v="1"/>
    <x v="3"/>
    <x v="3"/>
    <x v="0"/>
    <n v="25.66"/>
    <n v="3849"/>
    <n v="1154.7"/>
    <x v="0"/>
  </r>
  <r>
    <d v="2017-04-07T00:00:00"/>
    <n v="3.5"/>
    <n v="4"/>
    <n v="2"/>
    <n v="16"/>
    <n v="5"/>
    <n v="0"/>
    <n v="5"/>
    <n v="5"/>
    <x v="3"/>
    <x v="3"/>
    <x v="1"/>
    <n v="40.5"/>
    <n v="6075"/>
    <n v="1822.5"/>
    <x v="0"/>
  </r>
  <r>
    <d v="2017-04-08T00:00:00"/>
    <n v="7.51"/>
    <n v="8.7590000000000003"/>
    <n v="2.0499999999999998"/>
    <n v="23"/>
    <n v="3"/>
    <n v="0"/>
    <n v="11"/>
    <n v="6"/>
    <x v="3"/>
    <x v="3"/>
    <x v="2"/>
    <n v="61.319000000000003"/>
    <n v="9197.85"/>
    <n v="2759.355"/>
    <x v="0"/>
  </r>
  <r>
    <d v="2017-04-09T00:00:00"/>
    <n v="4.99"/>
    <n v="5.34"/>
    <n v="8.25"/>
    <n v="22"/>
    <n v="3"/>
    <n v="0"/>
    <n v="0"/>
    <n v="1"/>
    <x v="3"/>
    <x v="3"/>
    <x v="3"/>
    <n v="44.58"/>
    <n v="6687"/>
    <n v="2006.1"/>
    <x v="0"/>
  </r>
  <r>
    <d v="2017-04-10T00:00:00"/>
    <n v="8.66"/>
    <n v="1.363"/>
    <n v="1.05"/>
    <n v="27.5"/>
    <n v="1"/>
    <n v="0"/>
    <n v="4"/>
    <n v="4"/>
    <x v="3"/>
    <x v="3"/>
    <x v="4"/>
    <n v="47.573"/>
    <n v="7135.95"/>
    <n v="2140.7849999999999"/>
    <x v="0"/>
  </r>
  <r>
    <d v="2017-04-11T00:00:00"/>
    <n v="4"/>
    <n v="2.33"/>
    <n v="3"/>
    <n v="17"/>
    <n v="5"/>
    <n v="0"/>
    <n v="11"/>
    <n v="1"/>
    <x v="3"/>
    <x v="3"/>
    <x v="5"/>
    <n v="43.33"/>
    <n v="6499.5"/>
    <n v="1949.85"/>
    <x v="0"/>
  </r>
  <r>
    <d v="2017-04-12T00:00:00"/>
    <n v="11.99"/>
    <n v="3.32"/>
    <n v="3.35"/>
    <n v="11"/>
    <n v="10"/>
    <n v="2"/>
    <n v="10"/>
    <n v="4"/>
    <x v="3"/>
    <x v="3"/>
    <x v="6"/>
    <n v="55.66"/>
    <n v="8349"/>
    <n v="2504.6999999999998"/>
    <x v="0"/>
  </r>
  <r>
    <d v="2017-04-13T00:00:00"/>
    <n v="5"/>
    <n v="2.4390000000000001"/>
    <n v="2"/>
    <n v="30.9"/>
    <n v="1"/>
    <n v="0"/>
    <n v="2"/>
    <n v="5"/>
    <x v="3"/>
    <x v="3"/>
    <x v="0"/>
    <n v="48.338999999999999"/>
    <n v="7250.8499999999995"/>
    <n v="2175.2549999999997"/>
    <x v="0"/>
  </r>
  <r>
    <d v="2017-04-14T00:00:00"/>
    <n v="7.34"/>
    <n v="4.9800000000000004"/>
    <n v="5"/>
    <n v="13"/>
    <n v="3"/>
    <n v="0"/>
    <n v="16"/>
    <n v="4"/>
    <x v="3"/>
    <x v="3"/>
    <x v="1"/>
    <n v="53.32"/>
    <n v="7998"/>
    <n v="2399.4"/>
    <x v="0"/>
  </r>
  <r>
    <d v="2017-04-15T00:00:00"/>
    <n v="11.67"/>
    <n v="1.472"/>
    <n v="4"/>
    <n v="27.25"/>
    <n v="1"/>
    <n v="0"/>
    <n v="15"/>
    <n v="5.2"/>
    <x v="3"/>
    <x v="3"/>
    <x v="2"/>
    <n v="65.591999999999999"/>
    <n v="9838.7999999999993"/>
    <n v="2951.64"/>
    <x v="0"/>
  </r>
  <r>
    <d v="2017-04-16T00:00:00"/>
    <n v="0"/>
    <n v="0"/>
    <n v="0"/>
    <n v="0"/>
    <n v="0"/>
    <n v="0"/>
    <n v="0"/>
    <n v="0"/>
    <x v="3"/>
    <x v="3"/>
    <x v="3"/>
    <n v="0"/>
    <n v="0"/>
    <n v="0"/>
    <x v="0"/>
  </r>
  <r>
    <d v="2017-04-17T00:00:00"/>
    <n v="4"/>
    <n v="3.99"/>
    <n v="1.9"/>
    <n v="18.399999999999999"/>
    <n v="1"/>
    <n v="0"/>
    <n v="5"/>
    <n v="1"/>
    <x v="3"/>
    <x v="3"/>
    <x v="4"/>
    <n v="35.29"/>
    <n v="5293.5"/>
    <n v="1588.05"/>
    <x v="0"/>
  </r>
  <r>
    <d v="2017-04-18T00:00:00"/>
    <n v="7.33"/>
    <n v="4.67"/>
    <n v="6.3"/>
    <n v="15.4"/>
    <n v="8"/>
    <n v="1"/>
    <n v="2"/>
    <n v="2"/>
    <x v="3"/>
    <x v="3"/>
    <x v="5"/>
    <n v="46.7"/>
    <n v="7005"/>
    <n v="2101.5"/>
    <x v="0"/>
  </r>
  <r>
    <d v="2017-04-19T00:00:00"/>
    <n v="1"/>
    <n v="3.4060000000000001"/>
    <n v="5"/>
    <n v="14"/>
    <n v="2"/>
    <n v="0"/>
    <n v="0"/>
    <n v="1"/>
    <x v="3"/>
    <x v="3"/>
    <x v="6"/>
    <n v="26.405999999999999"/>
    <n v="3960.8999999999996"/>
    <n v="1188.2699999999998"/>
    <x v="0"/>
  </r>
  <r>
    <d v="2017-04-20T00:00:00"/>
    <n v="4.66"/>
    <n v="2.33"/>
    <n v="5"/>
    <n v="9.4"/>
    <n v="10"/>
    <n v="0"/>
    <n v="7"/>
    <n v="2"/>
    <x v="3"/>
    <x v="3"/>
    <x v="0"/>
    <n v="40.39"/>
    <n v="6058.5"/>
    <n v="1817.55"/>
    <x v="0"/>
  </r>
  <r>
    <d v="2017-04-21T00:00:00"/>
    <n v="3.67"/>
    <n v="2.34"/>
    <n v="2.4"/>
    <n v="29"/>
    <n v="3"/>
    <n v="0"/>
    <n v="1.875"/>
    <n v="3"/>
    <x v="3"/>
    <x v="3"/>
    <x v="1"/>
    <n v="45.284999999999997"/>
    <n v="6792.7499999999991"/>
    <n v="2037.8249999999996"/>
    <x v="0"/>
  </r>
  <r>
    <d v="2017-04-22T00:00:00"/>
    <n v="2.64"/>
    <n v="4.66"/>
    <n v="2.8"/>
    <n v="19"/>
    <n v="7"/>
    <n v="1"/>
    <n v="1"/>
    <n v="2"/>
    <x v="3"/>
    <x v="3"/>
    <x v="2"/>
    <n v="40.1"/>
    <n v="6015"/>
    <n v="1804.5"/>
    <x v="0"/>
  </r>
  <r>
    <d v="2017-04-23T00:00:00"/>
    <n v="9"/>
    <n v="5.4160000000000004"/>
    <n v="3.6"/>
    <n v="25.5"/>
    <n v="7"/>
    <n v="0"/>
    <n v="1"/>
    <n v="5"/>
    <x v="3"/>
    <x v="3"/>
    <x v="3"/>
    <n v="56.516000000000005"/>
    <n v="8477.4000000000015"/>
    <n v="2543.2200000000003"/>
    <x v="0"/>
  </r>
  <r>
    <d v="2017-04-24T00:00:00"/>
    <n v="9.33"/>
    <n v="3.81"/>
    <n v="8"/>
    <n v="13.15"/>
    <n v="9"/>
    <n v="0"/>
    <n v="1"/>
    <n v="5"/>
    <x v="3"/>
    <x v="3"/>
    <x v="4"/>
    <n v="49.29"/>
    <n v="7393.5"/>
    <n v="2218.0499999999997"/>
    <x v="0"/>
  </r>
  <r>
    <d v="2017-04-25T00:00:00"/>
    <n v="8"/>
    <n v="2.99"/>
    <n v="2.2000000000000002"/>
    <n v="24"/>
    <n v="4"/>
    <n v="0"/>
    <n v="26"/>
    <n v="5"/>
    <x v="3"/>
    <x v="3"/>
    <x v="5"/>
    <n v="72.19"/>
    <n v="10828.5"/>
    <n v="3248.5499999999997"/>
    <x v="1"/>
  </r>
  <r>
    <d v="2017-04-26T00:00:00"/>
    <n v="3"/>
    <n v="4"/>
    <n v="3.5"/>
    <n v="10.199999999999999"/>
    <n v="3"/>
    <n v="0"/>
    <n v="1"/>
    <n v="8.3000000000000007"/>
    <x v="3"/>
    <x v="3"/>
    <x v="6"/>
    <n v="33"/>
    <n v="4950"/>
    <n v="1485"/>
    <x v="0"/>
  </r>
  <r>
    <d v="2017-04-27T00:00:00"/>
    <n v="3.33"/>
    <n v="3.7370000000000001"/>
    <n v="2.2999999999999998"/>
    <n v="11"/>
    <n v="10"/>
    <n v="1"/>
    <n v="0"/>
    <n v="10"/>
    <x v="3"/>
    <x v="3"/>
    <x v="0"/>
    <n v="41.367000000000004"/>
    <n v="6205.0500000000011"/>
    <n v="1861.5150000000003"/>
    <x v="0"/>
  </r>
  <r>
    <d v="2017-04-28T00:00:00"/>
    <n v="3.33"/>
    <n v="3.67"/>
    <n v="5.0999999999999996"/>
    <n v="15.4"/>
    <n v="2"/>
    <n v="0"/>
    <n v="7"/>
    <n v="7"/>
    <x v="3"/>
    <x v="3"/>
    <x v="1"/>
    <n v="43.5"/>
    <n v="6525"/>
    <n v="1957.5"/>
    <x v="0"/>
  </r>
  <r>
    <d v="2017-04-29T00:00:00"/>
    <n v="5"/>
    <n v="9"/>
    <n v="2.2999999999999998"/>
    <n v="15"/>
    <n v="3"/>
    <n v="1"/>
    <n v="1"/>
    <n v="8"/>
    <x v="3"/>
    <x v="3"/>
    <x v="2"/>
    <n v="44.3"/>
    <n v="6645"/>
    <n v="1993.5"/>
    <x v="0"/>
  </r>
  <r>
    <d v="2017-04-30T00:00:00"/>
    <n v="1"/>
    <n v="4.0460000000000003"/>
    <n v="2.2999999999999998"/>
    <n v="18"/>
    <n v="2"/>
    <n v="0"/>
    <n v="12"/>
    <n v="2"/>
    <x v="3"/>
    <x v="3"/>
    <x v="3"/>
    <n v="41.346000000000004"/>
    <n v="6201.9000000000005"/>
    <n v="1860.5700000000002"/>
    <x v="0"/>
  </r>
  <r>
    <d v="2017-05-01T00:00:00"/>
    <n v="0.34"/>
    <n v="1"/>
    <n v="1"/>
    <n v="1.2"/>
    <n v="0"/>
    <n v="0"/>
    <n v="0"/>
    <n v="1"/>
    <x v="3"/>
    <x v="4"/>
    <x v="4"/>
    <n v="4.54"/>
    <n v="681"/>
    <n v="204.29999999999998"/>
    <x v="0"/>
  </r>
  <r>
    <d v="2017-05-02T00:00:00"/>
    <n v="2"/>
    <n v="6.0330000000000004"/>
    <n v="1"/>
    <n v="23"/>
    <n v="5"/>
    <n v="0"/>
    <n v="6"/>
    <n v="5"/>
    <x v="3"/>
    <x v="4"/>
    <x v="5"/>
    <n v="48.033000000000001"/>
    <n v="7204.95"/>
    <n v="2161.4849999999997"/>
    <x v="0"/>
  </r>
  <r>
    <d v="2017-05-03T00:00:00"/>
    <n v="1.33"/>
    <n v="3.34"/>
    <n v="6"/>
    <n v="18.2"/>
    <n v="6"/>
    <n v="0"/>
    <n v="20"/>
    <n v="2"/>
    <x v="3"/>
    <x v="4"/>
    <x v="6"/>
    <n v="56.87"/>
    <n v="8530.5"/>
    <n v="2559.15"/>
    <x v="0"/>
  </r>
  <r>
    <d v="2017-05-04T00:00:00"/>
    <n v="5.67"/>
    <n v="5.66"/>
    <n v="1"/>
    <n v="11.6"/>
    <n v="4"/>
    <n v="0"/>
    <n v="2"/>
    <n v="4.0999999999999996"/>
    <x v="3"/>
    <x v="4"/>
    <x v="0"/>
    <n v="34.03"/>
    <n v="5104.5"/>
    <n v="1531.35"/>
    <x v="0"/>
  </r>
  <r>
    <d v="2017-05-05T00:00:00"/>
    <n v="2.34"/>
    <n v="5.33"/>
    <n v="1.1499999999999999"/>
    <n v="6.6"/>
    <n v="8"/>
    <n v="0"/>
    <n v="12"/>
    <n v="3"/>
    <x v="3"/>
    <x v="4"/>
    <x v="1"/>
    <n v="38.42"/>
    <n v="5763"/>
    <n v="1728.8999999999999"/>
    <x v="0"/>
  </r>
  <r>
    <d v="2017-05-06T00:00:00"/>
    <n v="7.33"/>
    <n v="2.363"/>
    <n v="4.4000000000000004"/>
    <n v="14"/>
    <n v="4"/>
    <n v="0"/>
    <n v="0"/>
    <n v="6"/>
    <x v="3"/>
    <x v="4"/>
    <x v="2"/>
    <n v="38.093000000000004"/>
    <n v="5713.9500000000007"/>
    <n v="1714.1850000000002"/>
    <x v="0"/>
  </r>
  <r>
    <d v="2017-05-07T00:00:00"/>
    <n v="6.33"/>
    <n v="3.67"/>
    <n v="4.5"/>
    <n v="18.25"/>
    <n v="3"/>
    <n v="0"/>
    <n v="4"/>
    <n v="4"/>
    <x v="3"/>
    <x v="4"/>
    <x v="3"/>
    <n v="43.75"/>
    <n v="6562.5"/>
    <n v="1968.75"/>
    <x v="0"/>
  </r>
  <r>
    <d v="2017-05-08T00:00:00"/>
    <n v="2.33"/>
    <n v="3.66"/>
    <n v="1"/>
    <n v="8"/>
    <n v="8"/>
    <n v="3"/>
    <n v="1"/>
    <n v="5.6"/>
    <x v="3"/>
    <x v="4"/>
    <x v="4"/>
    <n v="32.590000000000003"/>
    <n v="4888.5000000000009"/>
    <n v="1466.5500000000002"/>
    <x v="0"/>
  </r>
  <r>
    <d v="2017-05-09T00:00:00"/>
    <n v="7.33"/>
    <n v="4"/>
    <n v="4.0999999999999996"/>
    <n v="11"/>
    <n v="4"/>
    <n v="0"/>
    <n v="2"/>
    <n v="3"/>
    <x v="3"/>
    <x v="4"/>
    <x v="5"/>
    <n v="35.43"/>
    <n v="5314.5"/>
    <n v="1594.35"/>
    <x v="0"/>
  </r>
  <r>
    <d v="2017-05-10T00:00:00"/>
    <n v="8.66"/>
    <n v="0.39700000000000002"/>
    <n v="9"/>
    <n v="15"/>
    <n v="4"/>
    <n v="0"/>
    <n v="14"/>
    <n v="7"/>
    <x v="3"/>
    <x v="4"/>
    <x v="6"/>
    <n v="58.057000000000002"/>
    <n v="8708.5500000000011"/>
    <n v="2612.5650000000001"/>
    <x v="0"/>
  </r>
  <r>
    <d v="2017-05-11T00:00:00"/>
    <n v="6"/>
    <n v="6.6929999999999996"/>
    <n v="3"/>
    <n v="16"/>
    <n v="6"/>
    <n v="2"/>
    <n v="1"/>
    <n v="10"/>
    <x v="3"/>
    <x v="4"/>
    <x v="0"/>
    <n v="50.692999999999998"/>
    <n v="7603.95"/>
    <n v="2281.1849999999999"/>
    <x v="0"/>
  </r>
  <r>
    <d v="2017-05-12T00:00:00"/>
    <n v="4.99"/>
    <n v="4.7030000000000003"/>
    <n v="6"/>
    <n v="16.399999999999999"/>
    <n v="4"/>
    <n v="9"/>
    <n v="0"/>
    <n v="6"/>
    <x v="3"/>
    <x v="4"/>
    <x v="1"/>
    <n v="51.093000000000004"/>
    <n v="7663.9500000000007"/>
    <n v="2299.1849999999999"/>
    <x v="0"/>
  </r>
  <r>
    <d v="2017-05-13T00:00:00"/>
    <n v="5"/>
    <n v="2.363"/>
    <n v="6"/>
    <n v="12"/>
    <n v="4"/>
    <n v="0"/>
    <n v="1"/>
    <n v="7"/>
    <x v="3"/>
    <x v="4"/>
    <x v="2"/>
    <n v="37.363"/>
    <n v="5604.45"/>
    <n v="1681.3349999999998"/>
    <x v="0"/>
  </r>
  <r>
    <d v="2017-05-14T00:00:00"/>
    <n v="4.67"/>
    <n v="2.0760000000000001"/>
    <n v="2.85"/>
    <n v="31.5"/>
    <n v="6"/>
    <n v="0"/>
    <n v="5"/>
    <n v="2.1"/>
    <x v="3"/>
    <x v="4"/>
    <x v="3"/>
    <n v="54.196000000000005"/>
    <n v="8129.4000000000005"/>
    <n v="2438.8200000000002"/>
    <x v="0"/>
  </r>
  <r>
    <d v="2017-05-15T00:00:00"/>
    <n v="5.34"/>
    <n v="4.7030000000000003"/>
    <n v="2"/>
    <n v="17"/>
    <n v="0"/>
    <n v="3"/>
    <n v="3"/>
    <n v="7"/>
    <x v="3"/>
    <x v="4"/>
    <x v="4"/>
    <n v="42.042999999999999"/>
    <n v="6306.45"/>
    <n v="1891.9349999999999"/>
    <x v="0"/>
  </r>
  <r>
    <d v="2017-05-16T00:00:00"/>
    <n v="2.33"/>
    <n v="5.66"/>
    <n v="1.5"/>
    <n v="16.2"/>
    <n v="2"/>
    <n v="0"/>
    <n v="6"/>
    <n v="7"/>
    <x v="3"/>
    <x v="4"/>
    <x v="5"/>
    <n v="40.69"/>
    <n v="6103.5"/>
    <n v="1831.05"/>
    <x v="0"/>
  </r>
  <r>
    <d v="2017-05-17T00:00:00"/>
    <n v="6.34"/>
    <n v="4.84"/>
    <n v="0"/>
    <n v="9"/>
    <n v="5"/>
    <n v="0"/>
    <n v="0"/>
    <n v="2"/>
    <x v="3"/>
    <x v="4"/>
    <x v="6"/>
    <n v="27.18"/>
    <n v="4077"/>
    <n v="1223.0999999999999"/>
    <x v="0"/>
  </r>
  <r>
    <d v="2017-05-18T00:00:00"/>
    <n v="3.33"/>
    <n v="5.01"/>
    <n v="4"/>
    <n v="28.2"/>
    <n v="4"/>
    <n v="0"/>
    <n v="0"/>
    <n v="3"/>
    <x v="3"/>
    <x v="4"/>
    <x v="0"/>
    <n v="47.54"/>
    <n v="7131"/>
    <n v="2139.2999999999997"/>
    <x v="0"/>
  </r>
  <r>
    <d v="2017-05-19T00:00:00"/>
    <n v="4.34"/>
    <n v="3.44"/>
    <n v="2.2000000000000002"/>
    <n v="31.6"/>
    <n v="11"/>
    <n v="0"/>
    <n v="0"/>
    <n v="10"/>
    <x v="3"/>
    <x v="4"/>
    <x v="1"/>
    <n v="62.58"/>
    <n v="9387"/>
    <n v="2816.1"/>
    <x v="0"/>
  </r>
  <r>
    <d v="2017-05-20T00:00:00"/>
    <n v="3.99"/>
    <n v="4.7130000000000001"/>
    <n v="0.25"/>
    <n v="16.399999999999999"/>
    <n v="5"/>
    <n v="0"/>
    <n v="6"/>
    <n v="6"/>
    <x v="3"/>
    <x v="4"/>
    <x v="2"/>
    <n v="42.352999999999994"/>
    <n v="6352.9499999999989"/>
    <n v="1905.8849999999995"/>
    <x v="0"/>
  </r>
  <r>
    <d v="2017-05-21T00:00:00"/>
    <n v="6"/>
    <n v="3.0430000000000001"/>
    <n v="1.25"/>
    <n v="32.200000000000003"/>
    <n v="5"/>
    <n v="0"/>
    <n v="12"/>
    <n v="4"/>
    <x v="3"/>
    <x v="4"/>
    <x v="3"/>
    <n v="63.493000000000002"/>
    <n v="9523.9500000000007"/>
    <n v="2857.1849999999999"/>
    <x v="0"/>
  </r>
  <r>
    <d v="2017-05-22T00:00:00"/>
    <n v="5.33"/>
    <n v="1.34"/>
    <n v="4.4000000000000004"/>
    <n v="22.4"/>
    <n v="5"/>
    <n v="0"/>
    <n v="7"/>
    <n v="11"/>
    <x v="3"/>
    <x v="4"/>
    <x v="4"/>
    <n v="56.47"/>
    <n v="8470.5"/>
    <n v="2541.15"/>
    <x v="0"/>
  </r>
  <r>
    <d v="2017-05-23T00:00:00"/>
    <n v="3"/>
    <n v="2.4060000000000001"/>
    <n v="5"/>
    <n v="11"/>
    <n v="9"/>
    <n v="0"/>
    <n v="2"/>
    <n v="7"/>
    <x v="3"/>
    <x v="4"/>
    <x v="5"/>
    <n v="39.405999999999999"/>
    <n v="5910.9"/>
    <n v="1773.2699999999998"/>
    <x v="0"/>
  </r>
  <r>
    <d v="2017-05-24T00:00:00"/>
    <n v="6.68"/>
    <n v="3.34"/>
    <n v="3"/>
    <n v="14.2"/>
    <n v="9"/>
    <n v="0"/>
    <n v="4"/>
    <n v="4.71"/>
    <x v="3"/>
    <x v="4"/>
    <x v="6"/>
    <n v="44.93"/>
    <n v="6739.5"/>
    <n v="2021.85"/>
    <x v="0"/>
  </r>
  <r>
    <d v="2017-05-25T00:00:00"/>
    <n v="5.66"/>
    <n v="5.36"/>
    <n v="2"/>
    <n v="18.2"/>
    <n v="3"/>
    <n v="0"/>
    <n v="2"/>
    <n v="4.3"/>
    <x v="3"/>
    <x v="4"/>
    <x v="0"/>
    <n v="40.519999999999996"/>
    <n v="6077.9999999999991"/>
    <n v="1823.3999999999996"/>
    <x v="0"/>
  </r>
  <r>
    <d v="2017-05-26T00:00:00"/>
    <n v="2.34"/>
    <n v="3.67"/>
    <n v="5"/>
    <n v="29"/>
    <n v="4"/>
    <n v="0"/>
    <n v="8"/>
    <n v="2"/>
    <x v="3"/>
    <x v="4"/>
    <x v="1"/>
    <n v="54.01"/>
    <n v="8101.5"/>
    <n v="2430.4499999999998"/>
    <x v="0"/>
  </r>
  <r>
    <d v="2017-05-27T00:00:00"/>
    <n v="7.33"/>
    <n v="3.2210000000000001"/>
    <n v="2"/>
    <n v="23.4"/>
    <n v="5"/>
    <n v="0"/>
    <n v="0"/>
    <n v="10"/>
    <x v="3"/>
    <x v="4"/>
    <x v="2"/>
    <n v="50.951000000000001"/>
    <n v="7642.65"/>
    <n v="2292.7949999999996"/>
    <x v="0"/>
  </r>
  <r>
    <d v="2017-05-28T00:00:00"/>
    <n v="1.99"/>
    <n v="6.2430000000000003"/>
    <n v="2.4500000000000002"/>
    <n v="11.19"/>
    <n v="2"/>
    <n v="0"/>
    <n v="0"/>
    <n v="3"/>
    <x v="3"/>
    <x v="4"/>
    <x v="3"/>
    <n v="26.872999999999998"/>
    <n v="4030.95"/>
    <n v="1209.2849999999999"/>
    <x v="0"/>
  </r>
  <r>
    <d v="2017-05-29T00:00:00"/>
    <n v="3.34"/>
    <n v="4.0229999999999997"/>
    <n v="1.6"/>
    <n v="28"/>
    <n v="4"/>
    <n v="2"/>
    <n v="4"/>
    <n v="5"/>
    <x v="3"/>
    <x v="4"/>
    <x v="4"/>
    <n v="51.963000000000001"/>
    <n v="7794.45"/>
    <n v="2338.335"/>
    <x v="0"/>
  </r>
  <r>
    <d v="2017-05-30T00:00:00"/>
    <n v="8"/>
    <n v="3.3959999999999999"/>
    <n v="4.3"/>
    <n v="25"/>
    <n v="3"/>
    <n v="0"/>
    <n v="5"/>
    <n v="5"/>
    <x v="3"/>
    <x v="4"/>
    <x v="5"/>
    <n v="53.695999999999998"/>
    <n v="8054.4"/>
    <n v="2416.3199999999997"/>
    <x v="0"/>
  </r>
  <r>
    <d v="2017-05-31T00:00:00"/>
    <n v="4"/>
    <n v="2.4289999999999998"/>
    <n v="7"/>
    <n v="12.2"/>
    <n v="6"/>
    <n v="4"/>
    <n v="1"/>
    <n v="5"/>
    <x v="3"/>
    <x v="4"/>
    <x v="6"/>
    <n v="41.628999999999998"/>
    <n v="6244.3499999999995"/>
    <n v="1873.3049999999998"/>
    <x v="0"/>
  </r>
  <r>
    <d v="2017-06-01T00:00:00"/>
    <n v="1.34"/>
    <n v="3.67"/>
    <n v="2"/>
    <n v="21.4"/>
    <n v="10"/>
    <n v="0"/>
    <n v="2"/>
    <n v="2"/>
    <x v="3"/>
    <x v="5"/>
    <x v="0"/>
    <n v="42.41"/>
    <n v="6361.4999999999991"/>
    <n v="1908.4499999999996"/>
    <x v="0"/>
  </r>
  <r>
    <d v="2017-06-02T00:00:00"/>
    <n v="2.33"/>
    <n v="4"/>
    <n v="4"/>
    <n v="17.399999999999999"/>
    <n v="9"/>
    <n v="1"/>
    <n v="5"/>
    <n v="3"/>
    <x v="3"/>
    <x v="5"/>
    <x v="1"/>
    <n v="45.73"/>
    <n v="6859.4999999999991"/>
    <n v="2057.8499999999995"/>
    <x v="0"/>
  </r>
  <r>
    <d v="2017-06-03T00:00:00"/>
    <n v="5"/>
    <n v="1.726"/>
    <n v="3"/>
    <n v="10"/>
    <n v="3"/>
    <n v="1"/>
    <n v="22"/>
    <n v="2"/>
    <x v="3"/>
    <x v="5"/>
    <x v="2"/>
    <n v="47.725999999999999"/>
    <n v="7158.9"/>
    <n v="2147.6699999999996"/>
    <x v="0"/>
  </r>
  <r>
    <d v="2017-06-04T00:00:00"/>
    <n v="7"/>
    <n v="1.7470000000000001"/>
    <n v="2.25"/>
    <n v="23.4"/>
    <n v="3"/>
    <n v="1"/>
    <n v="5"/>
    <n v="4"/>
    <x v="3"/>
    <x v="5"/>
    <x v="3"/>
    <n v="47.396999999999998"/>
    <n v="7109.55"/>
    <n v="2132.8649999999998"/>
    <x v="0"/>
  </r>
  <r>
    <d v="2017-06-05T00:00:00"/>
    <n v="3.33"/>
    <n v="5.99"/>
    <n v="4.5"/>
    <n v="9.6999999999999993"/>
    <n v="5"/>
    <n v="0"/>
    <n v="0"/>
    <n v="8"/>
    <x v="3"/>
    <x v="5"/>
    <x v="4"/>
    <n v="36.519999999999996"/>
    <n v="5477.9999999999991"/>
    <n v="1643.3999999999996"/>
    <x v="0"/>
  </r>
  <r>
    <d v="2017-06-06T00:00:00"/>
    <n v="1"/>
    <n v="3"/>
    <n v="0"/>
    <n v="18"/>
    <n v="3"/>
    <n v="0"/>
    <n v="6"/>
    <n v="7.5"/>
    <x v="3"/>
    <x v="5"/>
    <x v="5"/>
    <n v="38.5"/>
    <n v="5775"/>
    <n v="1732.5"/>
    <x v="0"/>
  </r>
  <r>
    <d v="2017-06-07T00:00:00"/>
    <n v="5.33"/>
    <n v="4.6929999999999996"/>
    <n v="4"/>
    <n v="21"/>
    <n v="13"/>
    <n v="0"/>
    <n v="20"/>
    <n v="7"/>
    <x v="3"/>
    <x v="5"/>
    <x v="6"/>
    <n v="75.022999999999996"/>
    <n v="11253.449999999999"/>
    <n v="3376.0349999999994"/>
    <x v="1"/>
  </r>
  <r>
    <d v="2017-06-08T00:00:00"/>
    <n v="5"/>
    <n v="1.823"/>
    <n v="3.15"/>
    <n v="21"/>
    <n v="4"/>
    <n v="0"/>
    <n v="2"/>
    <n v="4.2"/>
    <x v="3"/>
    <x v="5"/>
    <x v="0"/>
    <n v="41.173000000000002"/>
    <n v="6175.9500000000007"/>
    <n v="1852.7850000000001"/>
    <x v="0"/>
  </r>
  <r>
    <d v="2017-06-09T00:00:00"/>
    <n v="1.33"/>
    <n v="4.09"/>
    <n v="3.1"/>
    <n v="10"/>
    <n v="2"/>
    <n v="0"/>
    <n v="0"/>
    <n v="6"/>
    <x v="3"/>
    <x v="5"/>
    <x v="1"/>
    <n v="26.52"/>
    <n v="3978"/>
    <n v="1193.3999999999999"/>
    <x v="0"/>
  </r>
  <r>
    <d v="2017-06-10T00:00:00"/>
    <n v="9"/>
    <n v="7.01"/>
    <n v="4"/>
    <n v="15"/>
    <n v="2"/>
    <n v="0"/>
    <n v="7"/>
    <n v="3"/>
    <x v="3"/>
    <x v="5"/>
    <x v="2"/>
    <n v="47.01"/>
    <n v="7051.5"/>
    <n v="2115.4499999999998"/>
    <x v="0"/>
  </r>
  <r>
    <d v="2017-06-11T00:00:00"/>
    <n v="5.5"/>
    <n v="3.99"/>
    <n v="8.5"/>
    <n v="28.25"/>
    <n v="8"/>
    <n v="0"/>
    <n v="2"/>
    <n v="3"/>
    <x v="3"/>
    <x v="5"/>
    <x v="3"/>
    <n v="59.24"/>
    <n v="8886"/>
    <n v="2665.7999999999997"/>
    <x v="0"/>
  </r>
  <r>
    <d v="2017-06-12T00:00:00"/>
    <n v="4.34"/>
    <n v="3.34"/>
    <n v="1"/>
    <n v="13.6"/>
    <n v="3"/>
    <n v="0"/>
    <n v="13"/>
    <n v="12"/>
    <x v="3"/>
    <x v="5"/>
    <x v="4"/>
    <n v="50.28"/>
    <n v="7542"/>
    <n v="2262.6"/>
    <x v="0"/>
  </r>
  <r>
    <d v="2017-06-13T00:00:00"/>
    <n v="2.99"/>
    <n v="3.0230000000000001"/>
    <n v="3"/>
    <n v="8"/>
    <n v="9"/>
    <n v="0"/>
    <n v="0"/>
    <n v="9.1"/>
    <x v="3"/>
    <x v="5"/>
    <x v="5"/>
    <n v="35.113"/>
    <n v="5266.95"/>
    <n v="1580.0849999999998"/>
    <x v="0"/>
  </r>
  <r>
    <d v="2017-06-14T00:00:00"/>
    <n v="1.33"/>
    <n v="1.33"/>
    <n v="1"/>
    <n v="9"/>
    <n v="6"/>
    <n v="3"/>
    <n v="5"/>
    <n v="3"/>
    <x v="3"/>
    <x v="5"/>
    <x v="6"/>
    <n v="29.66"/>
    <n v="4449"/>
    <n v="1334.7"/>
    <x v="0"/>
  </r>
  <r>
    <d v="2017-06-15T00:00:00"/>
    <n v="3"/>
    <n v="4.33"/>
    <n v="3.15"/>
    <n v="15"/>
    <n v="10"/>
    <n v="0"/>
    <n v="5"/>
    <n v="6.5"/>
    <x v="3"/>
    <x v="5"/>
    <x v="0"/>
    <n v="46.980000000000004"/>
    <n v="7047.0000000000009"/>
    <n v="2114.1000000000004"/>
    <x v="0"/>
  </r>
  <r>
    <d v="2017-06-16T00:00:00"/>
    <n v="4"/>
    <n v="2.0099999999999998"/>
    <n v="0"/>
    <n v="12.25"/>
    <n v="6"/>
    <n v="0"/>
    <n v="0"/>
    <n v="5.44"/>
    <x v="3"/>
    <x v="5"/>
    <x v="1"/>
    <n v="29.7"/>
    <n v="4455"/>
    <n v="1336.5"/>
    <x v="0"/>
  </r>
  <r>
    <d v="2017-06-17T00:00:00"/>
    <n v="2"/>
    <n v="8.7260000000000009"/>
    <n v="5"/>
    <n v="12"/>
    <n v="4"/>
    <n v="0"/>
    <n v="5"/>
    <n v="5"/>
    <x v="3"/>
    <x v="5"/>
    <x v="2"/>
    <n v="41.725999999999999"/>
    <n v="6258.9"/>
    <n v="1877.6699999999998"/>
    <x v="0"/>
  </r>
  <r>
    <d v="2017-06-18T00:00:00"/>
    <n v="4"/>
    <n v="7.34"/>
    <n v="1.1000000000000001"/>
    <n v="26.6"/>
    <n v="2"/>
    <n v="0"/>
    <n v="12"/>
    <n v="3.33"/>
    <x v="3"/>
    <x v="5"/>
    <x v="3"/>
    <n v="56.37"/>
    <n v="8455.5"/>
    <n v="2536.65"/>
    <x v="0"/>
  </r>
  <r>
    <d v="2017-06-19T00:00:00"/>
    <n v="1.33"/>
    <n v="1.98"/>
    <n v="1"/>
    <n v="18"/>
    <n v="1"/>
    <n v="1"/>
    <n v="8"/>
    <n v="3"/>
    <x v="3"/>
    <x v="5"/>
    <x v="4"/>
    <n v="35.31"/>
    <n v="5296.5"/>
    <n v="1588.95"/>
    <x v="0"/>
  </r>
  <r>
    <d v="2017-06-20T00:00:00"/>
    <n v="9.33"/>
    <n v="1"/>
    <n v="5.0999999999999996"/>
    <n v="12"/>
    <n v="5"/>
    <n v="0"/>
    <n v="5"/>
    <n v="8.6300000000000008"/>
    <x v="3"/>
    <x v="5"/>
    <x v="5"/>
    <n v="46.06"/>
    <n v="6909"/>
    <n v="2072.6999999999998"/>
    <x v="0"/>
  </r>
  <r>
    <d v="2017-06-21T00:00:00"/>
    <n v="4"/>
    <n v="1.33"/>
    <n v="2"/>
    <n v="21"/>
    <n v="4"/>
    <n v="0"/>
    <n v="2"/>
    <n v="5.4"/>
    <x v="3"/>
    <x v="5"/>
    <x v="6"/>
    <n v="39.729999999999997"/>
    <n v="5959.4999999999991"/>
    <n v="1787.8499999999997"/>
    <x v="0"/>
  </r>
  <r>
    <d v="2017-06-22T00:00:00"/>
    <n v="1"/>
    <n v="3.34"/>
    <n v="0"/>
    <n v="7"/>
    <n v="4"/>
    <n v="0"/>
    <n v="8"/>
    <n v="11"/>
    <x v="3"/>
    <x v="5"/>
    <x v="0"/>
    <n v="34.340000000000003"/>
    <n v="5151.0000000000009"/>
    <n v="1545.3000000000002"/>
    <x v="0"/>
  </r>
  <r>
    <d v="2017-06-23T00:00:00"/>
    <n v="1"/>
    <n v="1.34"/>
    <n v="2"/>
    <n v="16"/>
    <n v="5"/>
    <n v="0"/>
    <n v="0"/>
    <n v="1.2"/>
    <x v="3"/>
    <x v="5"/>
    <x v="1"/>
    <n v="26.54"/>
    <n v="3981"/>
    <n v="1194.3"/>
    <x v="0"/>
  </r>
  <r>
    <d v="2017-06-24T00:00:00"/>
    <n v="5"/>
    <n v="3.65"/>
    <n v="6"/>
    <n v="32"/>
    <n v="8"/>
    <n v="1"/>
    <n v="0"/>
    <n v="1"/>
    <x v="3"/>
    <x v="5"/>
    <x v="2"/>
    <n v="56.65"/>
    <n v="8497.5"/>
    <n v="2549.25"/>
    <x v="0"/>
  </r>
  <r>
    <d v="2017-06-25T00:00:00"/>
    <n v="6.5"/>
    <n v="2.34"/>
    <n v="6"/>
    <n v="22"/>
    <n v="4"/>
    <n v="0"/>
    <n v="0"/>
    <n v="4.5999999999999996"/>
    <x v="3"/>
    <x v="5"/>
    <x v="3"/>
    <n v="45.440000000000005"/>
    <n v="6816.0000000000009"/>
    <n v="2044.8000000000002"/>
    <x v="0"/>
  </r>
  <r>
    <d v="2017-06-26T00:00:00"/>
    <n v="7.68"/>
    <n v="3.0329999999999999"/>
    <n v="6.25"/>
    <n v="10"/>
    <n v="11"/>
    <n v="0"/>
    <n v="0"/>
    <n v="3"/>
    <x v="3"/>
    <x v="5"/>
    <x v="4"/>
    <n v="40.963000000000001"/>
    <n v="6144.45"/>
    <n v="1843.3349999999998"/>
    <x v="0"/>
  </r>
  <r>
    <d v="2017-06-27T00:00:00"/>
    <n v="4"/>
    <n v="3.32"/>
    <n v="6"/>
    <n v="13.5"/>
    <n v="9"/>
    <n v="0"/>
    <n v="3"/>
    <n v="6"/>
    <x v="3"/>
    <x v="5"/>
    <x v="5"/>
    <n v="44.82"/>
    <n v="6723"/>
    <n v="2016.8999999999999"/>
    <x v="0"/>
  </r>
  <r>
    <d v="2017-06-28T00:00:00"/>
    <n v="4"/>
    <n v="4.0330000000000004"/>
    <n v="4.5"/>
    <n v="18"/>
    <n v="7"/>
    <n v="0"/>
    <n v="5"/>
    <n v="3"/>
    <x v="3"/>
    <x v="5"/>
    <x v="6"/>
    <n v="45.533000000000001"/>
    <n v="6829.95"/>
    <n v="2048.9849999999997"/>
    <x v="0"/>
  </r>
  <r>
    <d v="2017-06-29T00:00:00"/>
    <n v="4"/>
    <n v="3.67"/>
    <n v="6"/>
    <n v="17"/>
    <n v="1"/>
    <n v="0"/>
    <n v="21"/>
    <n v="5"/>
    <x v="3"/>
    <x v="5"/>
    <x v="0"/>
    <n v="57.67"/>
    <n v="8650.5"/>
    <n v="2595.15"/>
    <x v="0"/>
  </r>
  <r>
    <d v="2017-06-30T00:00:00"/>
    <n v="6.67"/>
    <n v="2.1320000000000001"/>
    <n v="2"/>
    <n v="18"/>
    <n v="2"/>
    <n v="0"/>
    <n v="0"/>
    <n v="6"/>
    <x v="3"/>
    <x v="5"/>
    <x v="1"/>
    <n v="36.802"/>
    <n v="5520.3"/>
    <n v="1656.09"/>
    <x v="0"/>
  </r>
  <r>
    <d v="2017-07-01T00:00:00"/>
    <n v="3.33"/>
    <n v="2.33"/>
    <n v="1"/>
    <n v="10"/>
    <n v="5"/>
    <n v="0"/>
    <n v="10"/>
    <n v="4"/>
    <x v="3"/>
    <x v="6"/>
    <x v="2"/>
    <n v="35.659999999999997"/>
    <n v="5348.9999999999991"/>
    <n v="1604.6999999999996"/>
    <x v="0"/>
  </r>
  <r>
    <d v="2017-07-02T00:00:00"/>
    <n v="5"/>
    <n v="3.68"/>
    <n v="2"/>
    <n v="9"/>
    <n v="6"/>
    <n v="0"/>
    <n v="0"/>
    <n v="4"/>
    <x v="3"/>
    <x v="6"/>
    <x v="3"/>
    <n v="29.68"/>
    <n v="4452"/>
    <n v="1335.6"/>
    <x v="0"/>
  </r>
  <r>
    <d v="2017-07-03T00:00:00"/>
    <n v="3.67"/>
    <n v="0"/>
    <n v="1.5"/>
    <n v="8"/>
    <n v="11"/>
    <n v="0"/>
    <n v="11"/>
    <n v="0"/>
    <x v="3"/>
    <x v="6"/>
    <x v="4"/>
    <n v="35.17"/>
    <n v="5275.5"/>
    <n v="1582.6499999999999"/>
    <x v="0"/>
  </r>
  <r>
    <d v="2017-07-04T00:00:00"/>
    <n v="10.67"/>
    <n v="2.34"/>
    <n v="5"/>
    <n v="18"/>
    <n v="7"/>
    <n v="0"/>
    <n v="0"/>
    <n v="6"/>
    <x v="3"/>
    <x v="6"/>
    <x v="5"/>
    <n v="49.01"/>
    <n v="7351.5"/>
    <n v="2205.4499999999998"/>
    <x v="0"/>
  </r>
  <r>
    <d v="2017-07-05T00:00:00"/>
    <n v="4.5"/>
    <n v="1.66"/>
    <n v="2"/>
    <n v="16"/>
    <n v="20"/>
    <n v="0"/>
    <n v="22"/>
    <n v="6"/>
    <x v="3"/>
    <x v="6"/>
    <x v="6"/>
    <n v="72.16"/>
    <n v="10824"/>
    <n v="3247.2"/>
    <x v="1"/>
  </r>
  <r>
    <d v="2017-07-06T00:00:00"/>
    <n v="4.33"/>
    <n v="7"/>
    <n v="4"/>
    <n v="20.6"/>
    <n v="3"/>
    <n v="1"/>
    <n v="1"/>
    <n v="1"/>
    <x v="3"/>
    <x v="6"/>
    <x v="0"/>
    <n v="41.93"/>
    <n v="6289.5"/>
    <n v="1886.85"/>
    <x v="0"/>
  </r>
  <r>
    <d v="2017-07-07T00:00:00"/>
    <n v="5"/>
    <n v="2"/>
    <n v="4.0999999999999996"/>
    <n v="17"/>
    <n v="6"/>
    <n v="0"/>
    <n v="1"/>
    <n v="0"/>
    <x v="3"/>
    <x v="6"/>
    <x v="1"/>
    <n v="35.1"/>
    <n v="5265"/>
    <n v="1579.5"/>
    <x v="0"/>
  </r>
  <r>
    <d v="2017-07-08T00:00:00"/>
    <n v="4.99"/>
    <n v="4.0890000000000004"/>
    <n v="5"/>
    <n v="16"/>
    <n v="12"/>
    <n v="0"/>
    <n v="1"/>
    <n v="3"/>
    <x v="3"/>
    <x v="6"/>
    <x v="2"/>
    <n v="46.079000000000001"/>
    <n v="6911.85"/>
    <n v="2073.5549999999998"/>
    <x v="0"/>
  </r>
  <r>
    <d v="2017-07-09T00:00:00"/>
    <n v="2.33"/>
    <n v="7.16"/>
    <n v="0.5"/>
    <n v="15"/>
    <n v="4"/>
    <n v="0"/>
    <n v="1"/>
    <n v="4"/>
    <x v="3"/>
    <x v="6"/>
    <x v="3"/>
    <n v="33.99"/>
    <n v="5098.5"/>
    <n v="1529.55"/>
    <x v="0"/>
  </r>
  <r>
    <d v="2017-07-10T00:00:00"/>
    <n v="2"/>
    <n v="4.3529999999999998"/>
    <n v="4"/>
    <n v="12"/>
    <n v="5"/>
    <n v="2"/>
    <n v="7"/>
    <n v="3"/>
    <x v="3"/>
    <x v="6"/>
    <x v="4"/>
    <n v="39.353000000000002"/>
    <n v="5902.95"/>
    <n v="1770.885"/>
    <x v="0"/>
  </r>
  <r>
    <d v="2017-07-11T00:00:00"/>
    <n v="3.34"/>
    <n v="0.68"/>
    <n v="0"/>
    <n v="18"/>
    <n v="2"/>
    <n v="0"/>
    <n v="7"/>
    <n v="2"/>
    <x v="3"/>
    <x v="6"/>
    <x v="5"/>
    <n v="33.019999999999996"/>
    <n v="4952.9999999999991"/>
    <n v="1485.8999999999996"/>
    <x v="0"/>
  </r>
  <r>
    <d v="2017-07-12T00:00:00"/>
    <n v="2"/>
    <n v="5.34"/>
    <n v="0"/>
    <n v="15.4"/>
    <n v="12"/>
    <n v="0"/>
    <n v="3"/>
    <n v="0"/>
    <x v="3"/>
    <x v="6"/>
    <x v="6"/>
    <n v="37.74"/>
    <n v="5661"/>
    <n v="1698.3"/>
    <x v="0"/>
  </r>
  <r>
    <d v="2017-07-13T00:00:00"/>
    <n v="3.33"/>
    <n v="3.34"/>
    <n v="2.15"/>
    <n v="9.6"/>
    <n v="5"/>
    <n v="3"/>
    <n v="3"/>
    <n v="2"/>
    <x v="3"/>
    <x v="6"/>
    <x v="0"/>
    <n v="31.42"/>
    <n v="4713"/>
    <n v="1413.8999999999999"/>
    <x v="0"/>
  </r>
  <r>
    <d v="2017-07-14T00:00:00"/>
    <n v="2.33"/>
    <n v="3.7589999999999999"/>
    <n v="2"/>
    <n v="16"/>
    <n v="8"/>
    <n v="0"/>
    <n v="5"/>
    <n v="3"/>
    <x v="3"/>
    <x v="6"/>
    <x v="1"/>
    <n v="40.088999999999999"/>
    <n v="6013.3499999999995"/>
    <n v="1804.0049999999999"/>
    <x v="0"/>
  </r>
  <r>
    <d v="2017-07-15T00:00:00"/>
    <n v="3.33"/>
    <n v="9.34"/>
    <n v="3"/>
    <n v="21"/>
    <n v="3"/>
    <n v="0"/>
    <n v="0"/>
    <n v="2"/>
    <x v="3"/>
    <x v="6"/>
    <x v="2"/>
    <n v="41.67"/>
    <n v="6250.5"/>
    <n v="1875.1499999999999"/>
    <x v="0"/>
  </r>
  <r>
    <d v="2017-07-16T00:00:00"/>
    <n v="11.34"/>
    <n v="9.34"/>
    <n v="3"/>
    <n v="19"/>
    <n v="6"/>
    <n v="0"/>
    <n v="0"/>
    <n v="1"/>
    <x v="3"/>
    <x v="6"/>
    <x v="3"/>
    <n v="49.68"/>
    <n v="7452"/>
    <n v="2235.6"/>
    <x v="0"/>
  </r>
  <r>
    <d v="2017-07-17T00:00:00"/>
    <n v="9"/>
    <n v="4.7469999999999999"/>
    <n v="3"/>
    <n v="16.399999999999999"/>
    <n v="6"/>
    <n v="2"/>
    <n v="4"/>
    <n v="3"/>
    <x v="3"/>
    <x v="6"/>
    <x v="4"/>
    <n v="48.146999999999998"/>
    <n v="7222.05"/>
    <n v="2166.6149999999998"/>
    <x v="0"/>
  </r>
  <r>
    <d v="2017-07-18T00:00:00"/>
    <n v="9.67"/>
    <n v="5.67"/>
    <n v="1.5"/>
    <n v="14"/>
    <n v="8"/>
    <n v="0"/>
    <n v="20"/>
    <n v="4"/>
    <x v="3"/>
    <x v="6"/>
    <x v="5"/>
    <n v="62.84"/>
    <n v="9426"/>
    <n v="2827.7999999999997"/>
    <x v="0"/>
  </r>
  <r>
    <d v="2017-07-19T00:00:00"/>
    <n v="6.33"/>
    <n v="3.66"/>
    <n v="4"/>
    <n v="20.6"/>
    <n v="6"/>
    <n v="3"/>
    <n v="1"/>
    <n v="6"/>
    <x v="3"/>
    <x v="6"/>
    <x v="6"/>
    <n v="50.59"/>
    <n v="7588.5000000000009"/>
    <n v="2276.5500000000002"/>
    <x v="0"/>
  </r>
  <r>
    <d v="2017-07-20T00:00:00"/>
    <n v="5"/>
    <n v="4"/>
    <n v="3"/>
    <n v="18"/>
    <n v="11"/>
    <n v="2"/>
    <n v="2"/>
    <n v="2"/>
    <x v="3"/>
    <x v="6"/>
    <x v="0"/>
    <n v="47"/>
    <n v="7050"/>
    <n v="2115"/>
    <x v="0"/>
  </r>
  <r>
    <d v="2017-07-21T00:00:00"/>
    <n v="2.33"/>
    <n v="1"/>
    <n v="3"/>
    <n v="14"/>
    <n v="5"/>
    <n v="0"/>
    <n v="0"/>
    <n v="3"/>
    <x v="3"/>
    <x v="6"/>
    <x v="1"/>
    <n v="28.33"/>
    <n v="4249.5"/>
    <n v="1274.8499999999999"/>
    <x v="0"/>
  </r>
  <r>
    <d v="2017-07-22T00:00:00"/>
    <n v="3"/>
    <n v="5.69"/>
    <n v="5"/>
    <n v="22"/>
    <n v="3"/>
    <n v="1"/>
    <n v="0"/>
    <n v="2"/>
    <x v="3"/>
    <x v="6"/>
    <x v="2"/>
    <n v="41.69"/>
    <n v="6253.5"/>
    <n v="1876.05"/>
    <x v="0"/>
  </r>
  <r>
    <d v="2017-07-23T00:00:00"/>
    <n v="6.5"/>
    <n v="2.4289999999999998"/>
    <n v="2"/>
    <n v="12"/>
    <n v="4"/>
    <n v="0"/>
    <n v="4"/>
    <n v="5"/>
    <x v="3"/>
    <x v="6"/>
    <x v="3"/>
    <n v="35.929000000000002"/>
    <n v="5389.35"/>
    <n v="1616.8050000000001"/>
    <x v="0"/>
  </r>
  <r>
    <d v="2017-07-24T00:00:00"/>
    <n v="3.84"/>
    <n v="1"/>
    <n v="2.1"/>
    <n v="15"/>
    <n v="6"/>
    <n v="0"/>
    <n v="0"/>
    <n v="3"/>
    <x v="3"/>
    <x v="6"/>
    <x v="4"/>
    <n v="30.939999999999998"/>
    <n v="4641"/>
    <n v="1392.3"/>
    <x v="0"/>
  </r>
  <r>
    <d v="2017-07-25T00:00:00"/>
    <n v="6.34"/>
    <n v="2.35"/>
    <n v="2"/>
    <n v="14"/>
    <n v="5"/>
    <n v="0"/>
    <n v="6"/>
    <n v="0.1"/>
    <x v="3"/>
    <x v="6"/>
    <x v="5"/>
    <n v="35.79"/>
    <n v="5368.5"/>
    <n v="1610.55"/>
    <x v="0"/>
  </r>
  <r>
    <d v="2017-07-26T00:00:00"/>
    <n v="3.33"/>
    <n v="6.7789999999999999"/>
    <n v="3"/>
    <n v="15"/>
    <n v="11"/>
    <n v="1"/>
    <n v="1"/>
    <n v="1"/>
    <x v="3"/>
    <x v="6"/>
    <x v="6"/>
    <n v="42.109000000000002"/>
    <n v="6316.35"/>
    <n v="1894.905"/>
    <x v="0"/>
  </r>
  <r>
    <d v="2017-07-27T00:00:00"/>
    <n v="5"/>
    <n v="0.67"/>
    <n v="0"/>
    <n v="12.4"/>
    <n v="8"/>
    <n v="0"/>
    <n v="0"/>
    <n v="1"/>
    <x v="3"/>
    <x v="6"/>
    <x v="0"/>
    <n v="27.07"/>
    <n v="4060.5"/>
    <n v="1218.1499999999999"/>
    <x v="0"/>
  </r>
  <r>
    <d v="2017-07-28T00:00:00"/>
    <n v="4"/>
    <n v="5"/>
    <n v="1.1000000000000001"/>
    <n v="17.2"/>
    <n v="10"/>
    <n v="0"/>
    <n v="0"/>
    <n v="3"/>
    <x v="3"/>
    <x v="6"/>
    <x v="1"/>
    <n v="40.299999999999997"/>
    <n v="6045"/>
    <n v="1813.5"/>
    <x v="0"/>
  </r>
  <r>
    <d v="2017-07-29T00:00:00"/>
    <n v="3"/>
    <n v="3.33"/>
    <n v="2"/>
    <n v="14.15"/>
    <n v="1"/>
    <n v="0"/>
    <n v="0"/>
    <n v="4"/>
    <x v="3"/>
    <x v="6"/>
    <x v="2"/>
    <n v="27.48"/>
    <n v="4122"/>
    <n v="1236.5999999999999"/>
    <x v="0"/>
  </r>
  <r>
    <d v="2017-07-30T00:00:00"/>
    <n v="4.125"/>
    <n v="2.66"/>
    <n v="2"/>
    <n v="13"/>
    <n v="11"/>
    <n v="0"/>
    <n v="0"/>
    <n v="1"/>
    <x v="3"/>
    <x v="6"/>
    <x v="3"/>
    <n v="33.784999999999997"/>
    <n v="5067.7499999999991"/>
    <n v="1520.3249999999996"/>
    <x v="0"/>
  </r>
  <r>
    <d v="2017-07-31T00:00:00"/>
    <n v="7.34"/>
    <n v="0.81"/>
    <n v="2.25"/>
    <n v="21"/>
    <n v="9"/>
    <n v="0"/>
    <n v="5"/>
    <n v="2"/>
    <x v="3"/>
    <x v="6"/>
    <x v="4"/>
    <n v="47.4"/>
    <n v="7110"/>
    <n v="2133"/>
    <x v="0"/>
  </r>
  <r>
    <d v="2017-08-01T00:00:00"/>
    <n v="7.33"/>
    <n v="3.33"/>
    <n v="2"/>
    <n v="15.6"/>
    <n v="3"/>
    <n v="0"/>
    <n v="1"/>
    <n v="1"/>
    <x v="3"/>
    <x v="7"/>
    <x v="5"/>
    <n v="33.26"/>
    <n v="4989"/>
    <n v="1496.7"/>
    <x v="0"/>
  </r>
  <r>
    <d v="2017-08-02T00:00:00"/>
    <n v="6"/>
    <n v="2.66"/>
    <n v="1"/>
    <n v="25"/>
    <n v="2"/>
    <n v="0"/>
    <n v="1"/>
    <n v="4"/>
    <x v="3"/>
    <x v="7"/>
    <x v="6"/>
    <n v="41.66"/>
    <n v="6248.9999999999991"/>
    <n v="1874.6999999999996"/>
    <x v="0"/>
  </r>
  <r>
    <d v="2017-08-03T00:00:00"/>
    <n v="6.33"/>
    <n v="0.66"/>
    <n v="4"/>
    <n v="10"/>
    <n v="8"/>
    <n v="0"/>
    <n v="1"/>
    <n v="3"/>
    <x v="3"/>
    <x v="7"/>
    <x v="0"/>
    <n v="32.99"/>
    <n v="4948.5"/>
    <n v="1484.55"/>
    <x v="0"/>
  </r>
  <r>
    <d v="2017-08-04T00:00:00"/>
    <n v="8"/>
    <n v="4"/>
    <n v="1"/>
    <n v="15"/>
    <n v="11"/>
    <n v="2"/>
    <n v="5"/>
    <n v="2"/>
    <x v="3"/>
    <x v="7"/>
    <x v="1"/>
    <n v="48"/>
    <n v="7200"/>
    <n v="2160"/>
    <x v="0"/>
  </r>
  <r>
    <d v="2017-08-05T00:00:00"/>
    <n v="4.66"/>
    <n v="2.472"/>
    <n v="2"/>
    <n v="13.311999999999999"/>
    <n v="2"/>
    <n v="0"/>
    <n v="0"/>
    <n v="2"/>
    <x v="3"/>
    <x v="7"/>
    <x v="2"/>
    <n v="26.443999999999999"/>
    <n v="3966.6"/>
    <n v="1189.98"/>
    <x v="0"/>
  </r>
  <r>
    <d v="2017-08-06T00:00:00"/>
    <n v="2"/>
    <n v="3.4289999999999998"/>
    <n v="1"/>
    <n v="13"/>
    <n v="6"/>
    <n v="0"/>
    <n v="0"/>
    <n v="3"/>
    <x v="3"/>
    <x v="7"/>
    <x v="3"/>
    <n v="28.429000000000002"/>
    <n v="4264.3500000000004"/>
    <n v="1279.3050000000001"/>
    <x v="0"/>
  </r>
  <r>
    <d v="2017-08-07T00:00:00"/>
    <n v="1"/>
    <n v="5.34"/>
    <n v="3.1"/>
    <n v="16"/>
    <n v="9"/>
    <n v="2"/>
    <n v="0"/>
    <n v="0"/>
    <x v="3"/>
    <x v="7"/>
    <x v="4"/>
    <n v="36.44"/>
    <n v="5466"/>
    <n v="1639.8"/>
    <x v="0"/>
  </r>
  <r>
    <d v="2017-08-08T00:00:00"/>
    <n v="6"/>
    <n v="1.7030000000000001"/>
    <n v="2.1"/>
    <n v="11.188000000000001"/>
    <n v="8"/>
    <n v="0"/>
    <n v="0"/>
    <n v="4.2"/>
    <x v="3"/>
    <x v="7"/>
    <x v="5"/>
    <n v="33.191000000000003"/>
    <n v="4978.6500000000005"/>
    <n v="1493.595"/>
    <x v="0"/>
  </r>
  <r>
    <d v="2017-08-09T00:00:00"/>
    <n v="2.33"/>
    <n v="5.0999999999999996"/>
    <n v="3.15"/>
    <n v="13"/>
    <n v="15"/>
    <n v="0"/>
    <n v="2"/>
    <n v="2.2000000000000002"/>
    <x v="3"/>
    <x v="7"/>
    <x v="6"/>
    <n v="42.78"/>
    <n v="6417"/>
    <n v="1925.1"/>
    <x v="0"/>
  </r>
  <r>
    <d v="2017-08-10T00:00:00"/>
    <n v="0"/>
    <n v="3.99"/>
    <n v="4"/>
    <n v="9"/>
    <n v="19"/>
    <n v="0"/>
    <n v="3"/>
    <n v="1.1000000000000001"/>
    <x v="3"/>
    <x v="7"/>
    <x v="0"/>
    <n v="40.090000000000003"/>
    <n v="6013.5000000000009"/>
    <n v="1804.0500000000002"/>
    <x v="0"/>
  </r>
  <r>
    <d v="2017-08-11T00:00:00"/>
    <n v="4.33"/>
    <n v="1.65"/>
    <n v="5.0999999999999996"/>
    <n v="8"/>
    <n v="6"/>
    <n v="3"/>
    <n v="0"/>
    <n v="0"/>
    <x v="3"/>
    <x v="7"/>
    <x v="1"/>
    <n v="28.08"/>
    <n v="4212"/>
    <n v="1263.5999999999999"/>
    <x v="0"/>
  </r>
  <r>
    <d v="2017-08-12T00:00:00"/>
    <n v="2.69"/>
    <n v="4.9390000000000001"/>
    <n v="2.5"/>
    <n v="22.6"/>
    <n v="4"/>
    <n v="0"/>
    <n v="6"/>
    <n v="2"/>
    <x v="3"/>
    <x v="7"/>
    <x v="2"/>
    <n v="44.728999999999999"/>
    <n v="6709.3499999999995"/>
    <n v="2012.8049999999998"/>
    <x v="0"/>
  </r>
  <r>
    <d v="2017-08-13T00:00:00"/>
    <n v="3.66"/>
    <n v="3.65"/>
    <n v="2.0499999999999998"/>
    <n v="24"/>
    <n v="5"/>
    <n v="0"/>
    <n v="1"/>
    <n v="1"/>
    <x v="3"/>
    <x v="7"/>
    <x v="3"/>
    <n v="40.36"/>
    <n v="6054"/>
    <n v="1816.2"/>
    <x v="0"/>
  </r>
  <r>
    <d v="2017-08-14T00:00:00"/>
    <n v="11.34"/>
    <n v="2.0670000000000002"/>
    <n v="4"/>
    <n v="13"/>
    <n v="4"/>
    <n v="0"/>
    <n v="0"/>
    <n v="2"/>
    <x v="3"/>
    <x v="7"/>
    <x v="4"/>
    <n v="36.406999999999996"/>
    <n v="5461.0499999999993"/>
    <n v="1638.3149999999998"/>
    <x v="0"/>
  </r>
  <r>
    <d v="2017-08-15T00:00:00"/>
    <n v="2.33"/>
    <n v="6.7030000000000003"/>
    <n v="2.15"/>
    <n v="35"/>
    <n v="11"/>
    <n v="0"/>
    <n v="2"/>
    <n v="3"/>
    <x v="3"/>
    <x v="7"/>
    <x v="5"/>
    <n v="62.183"/>
    <n v="9327.4500000000007"/>
    <n v="2798.2350000000001"/>
    <x v="0"/>
  </r>
  <r>
    <d v="2017-08-16T00:00:00"/>
    <n v="5.33"/>
    <n v="3.67"/>
    <n v="1"/>
    <n v="10.45"/>
    <n v="13"/>
    <n v="0"/>
    <n v="4"/>
    <n v="2"/>
    <x v="3"/>
    <x v="7"/>
    <x v="6"/>
    <n v="39.450000000000003"/>
    <n v="5917.5"/>
    <n v="1775.25"/>
    <x v="0"/>
  </r>
  <r>
    <d v="2017-08-17T00:00:00"/>
    <n v="5.16"/>
    <n v="1.33"/>
    <n v="5"/>
    <n v="12"/>
    <n v="8"/>
    <n v="0"/>
    <n v="1"/>
    <n v="1.5"/>
    <x v="3"/>
    <x v="7"/>
    <x v="0"/>
    <n v="33.99"/>
    <n v="5098.5"/>
    <n v="1529.55"/>
    <x v="0"/>
  </r>
  <r>
    <d v="2017-08-18T00:00:00"/>
    <n v="2.33"/>
    <n v="3.99"/>
    <n v="3"/>
    <n v="15"/>
    <n v="4"/>
    <n v="0"/>
    <n v="0"/>
    <n v="3"/>
    <x v="3"/>
    <x v="7"/>
    <x v="1"/>
    <n v="31.32"/>
    <n v="4698"/>
    <n v="1409.3999999999999"/>
    <x v="0"/>
  </r>
  <r>
    <d v="2017-08-19T00:00:00"/>
    <n v="5"/>
    <n v="4.7130000000000001"/>
    <n v="3"/>
    <n v="16"/>
    <n v="10"/>
    <n v="0"/>
    <n v="11"/>
    <n v="2"/>
    <x v="3"/>
    <x v="7"/>
    <x v="2"/>
    <n v="51.713000000000001"/>
    <n v="7756.95"/>
    <n v="2327.085"/>
    <x v="0"/>
  </r>
  <r>
    <d v="2017-08-20T00:00:00"/>
    <n v="4.33"/>
    <n v="2.056"/>
    <n v="6"/>
    <n v="14.4"/>
    <n v="6"/>
    <n v="0"/>
    <n v="2"/>
    <n v="1"/>
    <x v="3"/>
    <x v="7"/>
    <x v="3"/>
    <n v="35.786000000000001"/>
    <n v="5367.9000000000005"/>
    <n v="1610.3700000000001"/>
    <x v="0"/>
  </r>
  <r>
    <d v="2017-08-21T00:00:00"/>
    <n v="9.33"/>
    <n v="3.34"/>
    <n v="2.4"/>
    <n v="19"/>
    <n v="4"/>
    <n v="0"/>
    <n v="0"/>
    <n v="0"/>
    <x v="3"/>
    <x v="7"/>
    <x v="4"/>
    <n v="38.07"/>
    <n v="5710.5"/>
    <n v="1713.1499999999999"/>
    <x v="0"/>
  </r>
  <r>
    <d v="2017-08-22T00:00:00"/>
    <n v="6"/>
    <n v="1.34"/>
    <n v="3.15"/>
    <n v="22.2"/>
    <n v="3"/>
    <n v="0"/>
    <n v="0"/>
    <n v="2"/>
    <x v="3"/>
    <x v="7"/>
    <x v="5"/>
    <n v="37.69"/>
    <n v="5653.5"/>
    <n v="1696.05"/>
    <x v="0"/>
  </r>
  <r>
    <d v="2017-08-23T00:00:00"/>
    <n v="3.33"/>
    <n v="2.33"/>
    <n v="2"/>
    <n v="42"/>
    <n v="8"/>
    <n v="0"/>
    <n v="9"/>
    <n v="3"/>
    <x v="3"/>
    <x v="7"/>
    <x v="6"/>
    <n v="69.66"/>
    <n v="10449"/>
    <n v="3134.7"/>
    <x v="1"/>
  </r>
  <r>
    <d v="2017-08-24T00:00:00"/>
    <n v="8"/>
    <n v="9.0530000000000008"/>
    <n v="2"/>
    <n v="27"/>
    <n v="13"/>
    <n v="0"/>
    <n v="1"/>
    <n v="3"/>
    <x v="3"/>
    <x v="7"/>
    <x v="0"/>
    <n v="63.052999999999997"/>
    <n v="9457.9499999999989"/>
    <n v="2837.3849999999998"/>
    <x v="0"/>
  </r>
  <r>
    <d v="2017-08-25T00:00:00"/>
    <n v="6"/>
    <n v="3.01"/>
    <n v="1"/>
    <n v="20.25"/>
    <n v="17"/>
    <n v="0"/>
    <n v="0"/>
    <n v="1"/>
    <x v="3"/>
    <x v="7"/>
    <x v="1"/>
    <n v="48.26"/>
    <n v="7239"/>
    <n v="2171.6999999999998"/>
    <x v="0"/>
  </r>
  <r>
    <d v="2017-08-26T00:00:00"/>
    <n v="4.99"/>
    <n v="3.516"/>
    <n v="1"/>
    <n v="19"/>
    <n v="10"/>
    <n v="0"/>
    <n v="6"/>
    <n v="2"/>
    <x v="3"/>
    <x v="7"/>
    <x v="2"/>
    <n v="46.506"/>
    <n v="6975.9"/>
    <n v="2092.77"/>
    <x v="0"/>
  </r>
  <r>
    <d v="2017-08-27T00:00:00"/>
    <n v="3"/>
    <n v="5.34"/>
    <n v="1"/>
    <n v="21.3"/>
    <n v="5"/>
    <n v="2"/>
    <n v="7"/>
    <n v="1"/>
    <x v="3"/>
    <x v="7"/>
    <x v="3"/>
    <n v="45.64"/>
    <n v="6846"/>
    <n v="2053.7999999999997"/>
    <x v="0"/>
  </r>
  <r>
    <d v="2017-08-28T00:00:00"/>
    <n v="8"/>
    <n v="7"/>
    <n v="5"/>
    <n v="16"/>
    <n v="12"/>
    <n v="0"/>
    <n v="1"/>
    <n v="3"/>
    <x v="3"/>
    <x v="7"/>
    <x v="4"/>
    <n v="52"/>
    <n v="7800"/>
    <n v="2340"/>
    <x v="0"/>
  </r>
  <r>
    <d v="2017-08-29T00:00:00"/>
    <n v="7"/>
    <n v="3.0659999999999998"/>
    <n v="3.5"/>
    <n v="17"/>
    <n v="5"/>
    <n v="0"/>
    <n v="11"/>
    <n v="2.1"/>
    <x v="3"/>
    <x v="7"/>
    <x v="5"/>
    <n v="48.666000000000004"/>
    <n v="7299.9000000000005"/>
    <n v="2189.9700000000003"/>
    <x v="0"/>
  </r>
  <r>
    <d v="2017-08-30T00:00:00"/>
    <n v="7.67"/>
    <n v="3.99"/>
    <n v="3.15"/>
    <n v="17"/>
    <n v="4"/>
    <n v="3"/>
    <n v="0"/>
    <n v="2"/>
    <x v="3"/>
    <x v="7"/>
    <x v="6"/>
    <n v="40.81"/>
    <n v="6121.5"/>
    <n v="1836.45"/>
    <x v="0"/>
  </r>
  <r>
    <d v="2017-08-31T00:00:00"/>
    <n v="16.68"/>
    <n v="3.0329999999999999"/>
    <n v="3.05"/>
    <n v="17"/>
    <n v="4"/>
    <n v="0"/>
    <n v="0"/>
    <n v="1"/>
    <x v="3"/>
    <x v="7"/>
    <x v="0"/>
    <n v="44.763000000000005"/>
    <n v="6714.4500000000007"/>
    <n v="2014.335"/>
    <x v="0"/>
  </r>
  <r>
    <d v="2017-09-01T00:00:00"/>
    <n v="3.34"/>
    <n v="3"/>
    <n v="5"/>
    <n v="20.6"/>
    <n v="8"/>
    <n v="0"/>
    <n v="2"/>
    <n v="0"/>
    <x v="3"/>
    <x v="8"/>
    <x v="1"/>
    <n v="41.94"/>
    <n v="6291"/>
    <n v="1887.3"/>
    <x v="0"/>
  </r>
  <r>
    <d v="2017-09-02T00:00:00"/>
    <n v="6.34"/>
    <n v="2.13"/>
    <n v="6"/>
    <n v="18.399999999999999"/>
    <n v="8"/>
    <n v="0"/>
    <n v="1"/>
    <n v="3"/>
    <x v="3"/>
    <x v="8"/>
    <x v="2"/>
    <n v="44.87"/>
    <n v="6730.5"/>
    <n v="2019.1499999999999"/>
    <x v="0"/>
  </r>
  <r>
    <d v="2017-09-03T00:00:00"/>
    <n v="6.83"/>
    <n v="5.4619999999999997"/>
    <n v="2"/>
    <n v="18.399999999999999"/>
    <n v="7"/>
    <n v="0"/>
    <n v="1"/>
    <n v="3"/>
    <x v="3"/>
    <x v="8"/>
    <x v="3"/>
    <n v="43.692"/>
    <n v="6553.8"/>
    <n v="1966.1399999999999"/>
    <x v="0"/>
  </r>
  <r>
    <d v="2017-09-04T00:00:00"/>
    <n v="6.5"/>
    <n v="3.33"/>
    <n v="6"/>
    <n v="24"/>
    <n v="7"/>
    <n v="0"/>
    <n v="0"/>
    <n v="3"/>
    <x v="3"/>
    <x v="8"/>
    <x v="4"/>
    <n v="49.83"/>
    <n v="7474.5"/>
    <n v="2242.35"/>
    <x v="0"/>
  </r>
  <r>
    <d v="2017-09-05T00:00:00"/>
    <n v="6.17"/>
    <n v="4.0199999999999996"/>
    <n v="4"/>
    <n v="19.100000000000001"/>
    <n v="7"/>
    <n v="1"/>
    <n v="2"/>
    <n v="1.3"/>
    <x v="3"/>
    <x v="8"/>
    <x v="5"/>
    <n v="44.589999999999996"/>
    <n v="6688.4999999999991"/>
    <n v="2006.5499999999997"/>
    <x v="0"/>
  </r>
  <r>
    <d v="2017-09-06T00:00:00"/>
    <n v="4.33"/>
    <n v="3"/>
    <n v="5"/>
    <n v="32"/>
    <n v="6"/>
    <n v="0"/>
    <n v="3"/>
    <n v="3"/>
    <x v="3"/>
    <x v="8"/>
    <x v="6"/>
    <n v="56.33"/>
    <n v="8449.5"/>
    <n v="2534.85"/>
    <x v="0"/>
  </r>
  <r>
    <d v="2017-09-07T00:00:00"/>
    <n v="3"/>
    <n v="1"/>
    <n v="3.2"/>
    <n v="18"/>
    <n v="2"/>
    <n v="0"/>
    <n v="0"/>
    <n v="2"/>
    <x v="3"/>
    <x v="8"/>
    <x v="0"/>
    <n v="29.2"/>
    <n v="4380"/>
    <n v="1314"/>
    <x v="0"/>
  </r>
  <r>
    <d v="2017-09-08T00:00:00"/>
    <n v="8.83"/>
    <n v="7.32"/>
    <n v="3.1"/>
    <n v="34"/>
    <n v="8"/>
    <n v="0"/>
    <n v="3"/>
    <n v="4"/>
    <x v="3"/>
    <x v="8"/>
    <x v="1"/>
    <n v="68.25"/>
    <n v="10237.5"/>
    <n v="3071.25"/>
    <x v="1"/>
  </r>
  <r>
    <d v="2017-09-09T00:00:00"/>
    <n v="6"/>
    <n v="8.34"/>
    <n v="2.5"/>
    <n v="20"/>
    <n v="7"/>
    <n v="0"/>
    <n v="0"/>
    <n v="4"/>
    <x v="3"/>
    <x v="8"/>
    <x v="2"/>
    <n v="47.84"/>
    <n v="7176.0000000000009"/>
    <n v="2152.8000000000002"/>
    <x v="0"/>
  </r>
  <r>
    <d v="2017-09-10T00:00:00"/>
    <n v="3.34"/>
    <n v="5.35"/>
    <n v="1"/>
    <n v="35.6"/>
    <n v="7"/>
    <n v="0"/>
    <n v="0"/>
    <n v="4.2"/>
    <x v="3"/>
    <x v="8"/>
    <x v="3"/>
    <n v="56.49"/>
    <n v="8473.5"/>
    <n v="2542.0499999999997"/>
    <x v="0"/>
  </r>
  <r>
    <d v="2017-09-11T00:00:00"/>
    <n v="2"/>
    <n v="3.3730000000000002"/>
    <n v="2"/>
    <n v="12"/>
    <n v="16"/>
    <n v="0"/>
    <n v="0"/>
    <n v="2"/>
    <x v="3"/>
    <x v="8"/>
    <x v="4"/>
    <n v="37.373000000000005"/>
    <n v="5605.9500000000007"/>
    <n v="1681.7850000000001"/>
    <x v="0"/>
  </r>
  <r>
    <d v="2017-09-12T00:00:00"/>
    <n v="1"/>
    <n v="4.3499999999999996"/>
    <n v="5.2"/>
    <n v="18.25"/>
    <n v="6"/>
    <n v="1"/>
    <n v="1"/>
    <n v="2.2000000000000002"/>
    <x v="3"/>
    <x v="8"/>
    <x v="5"/>
    <n v="39"/>
    <n v="5850"/>
    <n v="1755"/>
    <x v="0"/>
  </r>
  <r>
    <d v="2017-09-13T00:00:00"/>
    <n v="4"/>
    <n v="0.66"/>
    <n v="2"/>
    <n v="25"/>
    <n v="16"/>
    <n v="0"/>
    <n v="5"/>
    <n v="0"/>
    <x v="3"/>
    <x v="8"/>
    <x v="6"/>
    <n v="52.66"/>
    <n v="7898.9999999999991"/>
    <n v="2369.6999999999998"/>
    <x v="0"/>
  </r>
  <r>
    <d v="2017-09-14T00:00:00"/>
    <n v="5"/>
    <n v="5.34"/>
    <n v="5"/>
    <n v="22.4"/>
    <n v="6"/>
    <n v="0"/>
    <n v="9"/>
    <n v="5"/>
    <x v="3"/>
    <x v="8"/>
    <x v="0"/>
    <n v="57.739999999999995"/>
    <n v="8661"/>
    <n v="2598.2999999999997"/>
    <x v="0"/>
  </r>
  <r>
    <d v="2017-09-15T00:00:00"/>
    <n v="3"/>
    <n v="3"/>
    <n v="3"/>
    <n v="16"/>
    <n v="12"/>
    <n v="1"/>
    <n v="8"/>
    <n v="3"/>
    <x v="3"/>
    <x v="8"/>
    <x v="1"/>
    <n v="49"/>
    <n v="7350"/>
    <n v="2205"/>
    <x v="0"/>
  </r>
  <r>
    <d v="2017-09-16T00:00:00"/>
    <n v="7"/>
    <n v="3"/>
    <n v="3.45"/>
    <n v="27.3"/>
    <n v="11"/>
    <n v="0"/>
    <n v="0"/>
    <n v="1.2"/>
    <x v="3"/>
    <x v="8"/>
    <x v="2"/>
    <n v="52.95"/>
    <n v="7942.5"/>
    <n v="2382.75"/>
    <x v="0"/>
  </r>
  <r>
    <d v="2017-09-17T00:00:00"/>
    <n v="5"/>
    <n v="4.34"/>
    <n v="4"/>
    <n v="32"/>
    <n v="6"/>
    <n v="1"/>
    <n v="7"/>
    <n v="5"/>
    <x v="3"/>
    <x v="8"/>
    <x v="3"/>
    <n v="64.34"/>
    <n v="9651"/>
    <n v="2895.2999999999997"/>
    <x v="0"/>
  </r>
  <r>
    <d v="2017-09-18T00:00:00"/>
    <n v="9"/>
    <n v="4.34"/>
    <n v="1"/>
    <n v="27"/>
    <n v="7"/>
    <n v="0"/>
    <n v="1"/>
    <n v="2"/>
    <x v="3"/>
    <x v="8"/>
    <x v="4"/>
    <n v="51.34"/>
    <n v="7701.0000000000009"/>
    <n v="2310.3000000000002"/>
    <x v="0"/>
  </r>
  <r>
    <d v="2017-09-19T00:00:00"/>
    <n v="3.33"/>
    <n v="6.0330000000000004"/>
    <n v="1"/>
    <n v="43.25"/>
    <n v="6"/>
    <n v="2"/>
    <n v="6"/>
    <n v="9"/>
    <x v="3"/>
    <x v="8"/>
    <x v="5"/>
    <n v="76.613"/>
    <n v="11491.95"/>
    <n v="3447.585"/>
    <x v="1"/>
  </r>
  <r>
    <d v="2017-09-20T00:00:00"/>
    <n v="2"/>
    <n v="2.363"/>
    <n v="0.1"/>
    <n v="35.450000000000003"/>
    <n v="6"/>
    <n v="0"/>
    <n v="6"/>
    <n v="0"/>
    <x v="3"/>
    <x v="8"/>
    <x v="6"/>
    <n v="51.913000000000004"/>
    <n v="7786.9500000000007"/>
    <n v="2336.085"/>
    <x v="0"/>
  </r>
  <r>
    <d v="2017-09-21T00:00:00"/>
    <n v="7.34"/>
    <n v="3.6960000000000002"/>
    <n v="1"/>
    <n v="19.7"/>
    <n v="8"/>
    <n v="2"/>
    <n v="0"/>
    <n v="1"/>
    <x v="3"/>
    <x v="8"/>
    <x v="0"/>
    <n v="42.735999999999997"/>
    <n v="6410.4"/>
    <n v="1923.12"/>
    <x v="0"/>
  </r>
  <r>
    <d v="2017-09-22T00:00:00"/>
    <n v="4.66"/>
    <n v="2.2410000000000001"/>
    <n v="3"/>
    <n v="27.5"/>
    <n v="2"/>
    <n v="0"/>
    <n v="0"/>
    <n v="3"/>
    <x v="3"/>
    <x v="8"/>
    <x v="1"/>
    <n v="42.400999999999996"/>
    <n v="6360.15"/>
    <n v="1908.0449999999998"/>
    <x v="0"/>
  </r>
  <r>
    <d v="2017-09-23T00:00:00"/>
    <n v="9.99"/>
    <n v="6.99"/>
    <n v="3"/>
    <n v="14.45"/>
    <n v="12"/>
    <n v="2"/>
    <n v="0"/>
    <n v="2"/>
    <x v="3"/>
    <x v="8"/>
    <x v="2"/>
    <n v="50.43"/>
    <n v="7564.5"/>
    <n v="2269.35"/>
    <x v="0"/>
  </r>
  <r>
    <d v="2017-09-24T00:00:00"/>
    <n v="3.66"/>
    <n v="4.8259999999999996"/>
    <n v="2"/>
    <n v="52.4"/>
    <n v="7"/>
    <n v="1"/>
    <n v="6"/>
    <n v="1"/>
    <x v="3"/>
    <x v="8"/>
    <x v="3"/>
    <n v="77.885999999999996"/>
    <n v="11682.9"/>
    <n v="3504.87"/>
    <x v="1"/>
  </r>
  <r>
    <d v="2017-09-25T00:00:00"/>
    <n v="1"/>
    <n v="2.5169999999999999"/>
    <n v="1"/>
    <n v="39.200000000000003"/>
    <n v="7"/>
    <n v="3"/>
    <n v="26"/>
    <n v="1"/>
    <x v="3"/>
    <x v="8"/>
    <x v="4"/>
    <n v="80.716999999999999"/>
    <n v="12107.55"/>
    <n v="3632.2649999999999"/>
    <x v="1"/>
  </r>
  <r>
    <d v="2017-09-26T00:00:00"/>
    <n v="2"/>
    <n v="5.67"/>
    <n v="2.1"/>
    <n v="38.6"/>
    <n v="4"/>
    <n v="0"/>
    <n v="6"/>
    <n v="1"/>
    <x v="3"/>
    <x v="8"/>
    <x v="5"/>
    <n v="59.370000000000005"/>
    <n v="8905.5"/>
    <n v="2671.65"/>
    <x v="0"/>
  </r>
  <r>
    <d v="2017-09-27T00:00:00"/>
    <n v="4"/>
    <n v="2.33"/>
    <n v="3"/>
    <n v="38"/>
    <n v="7"/>
    <n v="3"/>
    <n v="3"/>
    <n v="0"/>
    <x v="3"/>
    <x v="8"/>
    <x v="6"/>
    <n v="60.33"/>
    <n v="9049.5"/>
    <n v="2714.85"/>
    <x v="0"/>
  </r>
  <r>
    <d v="2017-09-28T00:00:00"/>
    <n v="3.34"/>
    <n v="2.68"/>
    <n v="2.5"/>
    <n v="37.85"/>
    <n v="3"/>
    <n v="0"/>
    <n v="10"/>
    <n v="0"/>
    <x v="3"/>
    <x v="8"/>
    <x v="0"/>
    <n v="59.370000000000005"/>
    <n v="8905.5"/>
    <n v="2671.65"/>
    <x v="0"/>
  </r>
  <r>
    <d v="2017-09-29T00:00:00"/>
    <n v="1"/>
    <n v="5"/>
    <n v="3"/>
    <n v="35.4"/>
    <n v="8"/>
    <n v="6"/>
    <n v="5"/>
    <n v="1"/>
    <x v="3"/>
    <x v="8"/>
    <x v="1"/>
    <n v="64.400000000000006"/>
    <n v="9660"/>
    <n v="2898"/>
    <x v="0"/>
  </r>
  <r>
    <d v="2017-09-30T00:00:00"/>
    <n v="5.33"/>
    <n v="3.01"/>
    <n v="3"/>
    <n v="61.9"/>
    <n v="6"/>
    <n v="0"/>
    <n v="28"/>
    <n v="0"/>
    <x v="3"/>
    <x v="8"/>
    <x v="2"/>
    <n v="107.24"/>
    <n v="16086"/>
    <n v="4825.8"/>
    <x v="1"/>
  </r>
  <r>
    <d v="2017-10-01T00:00:00"/>
    <n v="4"/>
    <n v="5.891"/>
    <n v="3"/>
    <n v="72.099999999999994"/>
    <n v="7"/>
    <n v="1"/>
    <n v="20"/>
    <n v="1"/>
    <x v="3"/>
    <x v="9"/>
    <x v="3"/>
    <n v="113.991"/>
    <n v="17098.650000000001"/>
    <n v="5129.5950000000003"/>
    <x v="1"/>
  </r>
  <r>
    <d v="2017-10-02T00:00:00"/>
    <n v="8.33"/>
    <n v="2"/>
    <n v="3.15"/>
    <n v="18"/>
    <n v="3"/>
    <n v="1"/>
    <n v="0"/>
    <n v="0"/>
    <x v="3"/>
    <x v="9"/>
    <x v="4"/>
    <n v="35.480000000000004"/>
    <n v="5322.0000000000009"/>
    <n v="1596.6000000000001"/>
    <x v="0"/>
  </r>
  <r>
    <d v="2017-10-03T00:00:00"/>
    <n v="0.34"/>
    <n v="2.1"/>
    <n v="3.15"/>
    <n v="57.2"/>
    <n v="21"/>
    <n v="3"/>
    <n v="5"/>
    <n v="2"/>
    <x v="3"/>
    <x v="9"/>
    <x v="5"/>
    <n v="93.79"/>
    <n v="14068.500000000002"/>
    <n v="4220.55"/>
    <x v="1"/>
  </r>
  <r>
    <d v="2017-10-04T00:00:00"/>
    <n v="2"/>
    <n v="4.33"/>
    <n v="4"/>
    <n v="37"/>
    <n v="6"/>
    <n v="0"/>
    <n v="2"/>
    <n v="1"/>
    <x v="3"/>
    <x v="9"/>
    <x v="6"/>
    <n v="56.33"/>
    <n v="8449.5"/>
    <n v="2534.85"/>
    <x v="0"/>
  </r>
  <r>
    <d v="2017-10-05T00:00:00"/>
    <n v="5.33"/>
    <n v="3.99"/>
    <n v="5"/>
    <n v="40.799999999999997"/>
    <n v="5"/>
    <n v="0"/>
    <n v="11"/>
    <n v="2"/>
    <x v="3"/>
    <x v="9"/>
    <x v="0"/>
    <n v="73.12"/>
    <n v="10968"/>
    <n v="3290.4"/>
    <x v="1"/>
  </r>
  <r>
    <d v="2017-10-06T00:00:00"/>
    <n v="3.99"/>
    <n v="4.66"/>
    <n v="1"/>
    <n v="39.799999999999997"/>
    <n v="7"/>
    <n v="0"/>
    <n v="6"/>
    <n v="2"/>
    <x v="3"/>
    <x v="9"/>
    <x v="1"/>
    <n v="64.449999999999989"/>
    <n v="9667.4999999999982"/>
    <n v="2900.2499999999995"/>
    <x v="0"/>
  </r>
  <r>
    <d v="2017-10-07T00:00:00"/>
    <n v="4"/>
    <n v="2.0230000000000001"/>
    <n v="2"/>
    <n v="35.25"/>
    <n v="4"/>
    <n v="0"/>
    <n v="10"/>
    <n v="1"/>
    <x v="3"/>
    <x v="9"/>
    <x v="2"/>
    <n v="58.272999999999996"/>
    <n v="8740.9499999999989"/>
    <n v="2622.2849999999994"/>
    <x v="0"/>
  </r>
  <r>
    <d v="2017-10-08T00:00:00"/>
    <n v="8.67"/>
    <n v="3.2610000000000001"/>
    <n v="5.2"/>
    <n v="77.099999999999994"/>
    <n v="2"/>
    <n v="0"/>
    <n v="15"/>
    <n v="4"/>
    <x v="3"/>
    <x v="9"/>
    <x v="3"/>
    <n v="115.23099999999999"/>
    <n v="17284.649999999998"/>
    <n v="5185.3949999999995"/>
    <x v="1"/>
  </r>
  <r>
    <d v="2017-10-09T00:00:00"/>
    <n v="0"/>
    <n v="0"/>
    <n v="0"/>
    <n v="0"/>
    <n v="0"/>
    <n v="0"/>
    <n v="0"/>
    <n v="0"/>
    <x v="3"/>
    <x v="9"/>
    <x v="4"/>
    <n v="0"/>
    <n v="0"/>
    <n v="0"/>
    <x v="0"/>
  </r>
  <r>
    <d v="2017-10-10T00:00:00"/>
    <n v="10"/>
    <n v="2.68"/>
    <n v="2"/>
    <n v="25"/>
    <n v="8"/>
    <n v="0"/>
    <n v="11"/>
    <n v="3"/>
    <x v="3"/>
    <x v="9"/>
    <x v="5"/>
    <n v="61.68"/>
    <n v="9252"/>
    <n v="2775.6"/>
    <x v="0"/>
  </r>
  <r>
    <d v="2017-10-11T00:00:00"/>
    <n v="3.5"/>
    <n v="1"/>
    <n v="4.5999999999999996"/>
    <n v="39.4"/>
    <n v="2"/>
    <n v="0"/>
    <n v="6"/>
    <n v="2.5"/>
    <x v="3"/>
    <x v="9"/>
    <x v="6"/>
    <n v="59"/>
    <n v="8850"/>
    <n v="2655"/>
    <x v="0"/>
  </r>
  <r>
    <d v="2017-10-12T00:00:00"/>
    <n v="4"/>
    <n v="2.3929999999999998"/>
    <n v="2.2999999999999998"/>
    <n v="41"/>
    <n v="9"/>
    <n v="0"/>
    <n v="1"/>
    <n v="2"/>
    <x v="3"/>
    <x v="9"/>
    <x v="0"/>
    <n v="61.692999999999998"/>
    <n v="9253.9499999999989"/>
    <n v="2776.1849999999995"/>
    <x v="0"/>
  </r>
  <r>
    <d v="2017-10-13T00:00:00"/>
    <n v="5.33"/>
    <n v="1.3959999999999999"/>
    <n v="0.6"/>
    <n v="38"/>
    <n v="8"/>
    <n v="2"/>
    <n v="3"/>
    <n v="4"/>
    <x v="3"/>
    <x v="9"/>
    <x v="1"/>
    <n v="62.326000000000001"/>
    <n v="9348.9"/>
    <n v="2804.6699999999996"/>
    <x v="0"/>
  </r>
  <r>
    <d v="2017-10-14T00:00:00"/>
    <n v="4.84"/>
    <n v="3.66"/>
    <n v="4"/>
    <n v="42.2"/>
    <n v="9"/>
    <n v="1"/>
    <n v="20"/>
    <n v="0"/>
    <x v="3"/>
    <x v="9"/>
    <x v="2"/>
    <n v="84.7"/>
    <n v="12705"/>
    <n v="3811.5"/>
    <x v="1"/>
  </r>
  <r>
    <d v="2017-10-15T00:00:00"/>
    <n v="6"/>
    <n v="6.68"/>
    <n v="1"/>
    <n v="37"/>
    <n v="5"/>
    <n v="0"/>
    <n v="11"/>
    <n v="2"/>
    <x v="3"/>
    <x v="9"/>
    <x v="3"/>
    <n v="68.680000000000007"/>
    <n v="10302.000000000002"/>
    <n v="3090.6000000000004"/>
    <x v="1"/>
  </r>
  <r>
    <d v="2017-10-16T00:00:00"/>
    <n v="2.33"/>
    <n v="0.67"/>
    <n v="0"/>
    <n v="45.1"/>
    <n v="9"/>
    <n v="0"/>
    <n v="2"/>
    <n v="2"/>
    <x v="3"/>
    <x v="9"/>
    <x v="4"/>
    <n v="61.1"/>
    <n v="9165"/>
    <n v="2749.5"/>
    <x v="0"/>
  </r>
  <r>
    <d v="2017-10-17T00:00:00"/>
    <n v="3.34"/>
    <n v="1.67"/>
    <n v="6"/>
    <n v="26.2"/>
    <n v="9"/>
    <n v="2"/>
    <n v="6"/>
    <n v="1"/>
    <x v="3"/>
    <x v="9"/>
    <x v="5"/>
    <n v="55.21"/>
    <n v="8281.5"/>
    <n v="2484.4499999999998"/>
    <x v="0"/>
  </r>
  <r>
    <d v="2017-10-18T00:00:00"/>
    <n v="5.34"/>
    <n v="1.33"/>
    <n v="1"/>
    <n v="52.85"/>
    <n v="15"/>
    <n v="0"/>
    <n v="1"/>
    <n v="1"/>
    <x v="3"/>
    <x v="9"/>
    <x v="6"/>
    <n v="77.52000000000001"/>
    <n v="11628.000000000002"/>
    <n v="3488.4000000000005"/>
    <x v="1"/>
  </r>
  <r>
    <d v="2017-10-19T00:00:00"/>
    <n v="4.33"/>
    <n v="5.99"/>
    <n v="4.7"/>
    <n v="25.5"/>
    <n v="8"/>
    <n v="0"/>
    <n v="13"/>
    <n v="0"/>
    <x v="3"/>
    <x v="9"/>
    <x v="0"/>
    <n v="61.519999999999996"/>
    <n v="9228"/>
    <n v="2768.4"/>
    <x v="0"/>
  </r>
  <r>
    <d v="2017-10-20T00:00:00"/>
    <n v="2.83"/>
    <n v="4.3630000000000004"/>
    <n v="3"/>
    <n v="36.25"/>
    <n v="15"/>
    <n v="0"/>
    <n v="8"/>
    <n v="0"/>
    <x v="3"/>
    <x v="9"/>
    <x v="1"/>
    <n v="69.442999999999998"/>
    <n v="10416.449999999999"/>
    <n v="3124.9349999999995"/>
    <x v="1"/>
  </r>
  <r>
    <d v="2017-10-21T00:00:00"/>
    <n v="3.33"/>
    <n v="3.7690000000000001"/>
    <n v="3.3"/>
    <n v="25.2"/>
    <n v="9"/>
    <n v="3"/>
    <n v="5"/>
    <n v="4"/>
    <x v="3"/>
    <x v="9"/>
    <x v="2"/>
    <n v="56.599000000000004"/>
    <n v="8489.85"/>
    <n v="2546.9549999999999"/>
    <x v="0"/>
  </r>
  <r>
    <d v="2017-10-22T00:00:00"/>
    <n v="8"/>
    <n v="5"/>
    <n v="5"/>
    <n v="57.8"/>
    <n v="8"/>
    <n v="0"/>
    <n v="9"/>
    <n v="2"/>
    <x v="3"/>
    <x v="9"/>
    <x v="3"/>
    <n v="94.8"/>
    <n v="14220"/>
    <n v="4266"/>
    <x v="1"/>
  </r>
  <r>
    <d v="2017-10-23T00:00:00"/>
    <n v="3.33"/>
    <n v="1.363"/>
    <n v="2"/>
    <n v="28.6"/>
    <n v="4"/>
    <n v="0"/>
    <n v="28"/>
    <n v="1"/>
    <x v="3"/>
    <x v="9"/>
    <x v="4"/>
    <n v="68.293000000000006"/>
    <n v="10243.950000000001"/>
    <n v="3073.1849999999999"/>
    <x v="1"/>
  </r>
  <r>
    <d v="2017-10-24T00:00:00"/>
    <n v="2"/>
    <n v="2"/>
    <n v="10"/>
    <n v="65.2"/>
    <n v="3"/>
    <n v="0"/>
    <n v="10"/>
    <n v="1"/>
    <x v="3"/>
    <x v="9"/>
    <x v="5"/>
    <n v="93.2"/>
    <n v="13980"/>
    <n v="4194"/>
    <x v="1"/>
  </r>
  <r>
    <d v="2017-10-25T00:00:00"/>
    <n v="6.34"/>
    <n v="3.33"/>
    <n v="5.35"/>
    <n v="26.9"/>
    <n v="4"/>
    <n v="0"/>
    <n v="1"/>
    <n v="1"/>
    <x v="3"/>
    <x v="9"/>
    <x v="6"/>
    <n v="47.92"/>
    <n v="7188"/>
    <n v="2156.4"/>
    <x v="0"/>
  </r>
  <r>
    <d v="2017-10-26T00:00:00"/>
    <n v="1.33"/>
    <n v="1.099"/>
    <n v="2"/>
    <n v="38"/>
    <n v="9"/>
    <n v="1"/>
    <n v="5"/>
    <n v="2.2999999999999998"/>
    <x v="3"/>
    <x v="9"/>
    <x v="0"/>
    <n v="59.728999999999999"/>
    <n v="8959.35"/>
    <n v="2687.8049999999998"/>
    <x v="0"/>
  </r>
  <r>
    <d v="2017-10-27T00:00:00"/>
    <n v="6.32"/>
    <n v="2.363"/>
    <n v="6"/>
    <n v="26"/>
    <n v="14"/>
    <n v="1"/>
    <n v="21"/>
    <n v="2"/>
    <x v="3"/>
    <x v="9"/>
    <x v="1"/>
    <n v="78.682999999999993"/>
    <n v="11802.449999999999"/>
    <n v="3540.7349999999997"/>
    <x v="1"/>
  </r>
  <r>
    <d v="2017-10-28T00:00:00"/>
    <n v="5"/>
    <n v="2.33"/>
    <n v="4"/>
    <n v="24.1"/>
    <n v="11"/>
    <n v="0"/>
    <n v="7"/>
    <n v="3"/>
    <x v="3"/>
    <x v="9"/>
    <x v="2"/>
    <n v="56.43"/>
    <n v="8464.5"/>
    <n v="2539.35"/>
    <x v="0"/>
  </r>
  <r>
    <d v="2017-10-29T00:00:00"/>
    <n v="7.66"/>
    <n v="2.3730000000000002"/>
    <n v="1.05"/>
    <n v="36"/>
    <n v="3"/>
    <n v="0"/>
    <n v="1"/>
    <n v="2.2000000000000002"/>
    <x v="3"/>
    <x v="9"/>
    <x v="3"/>
    <n v="53.283000000000001"/>
    <n v="7992.45"/>
    <n v="2397.7349999999997"/>
    <x v="0"/>
  </r>
  <r>
    <d v="2017-10-30T00:00:00"/>
    <n v="1.5"/>
    <n v="3.66"/>
    <n v="2"/>
    <n v="32.799999999999997"/>
    <n v="7"/>
    <n v="0"/>
    <n v="9"/>
    <n v="1"/>
    <x v="3"/>
    <x v="9"/>
    <x v="4"/>
    <n v="56.959999999999994"/>
    <n v="8543.9999999999982"/>
    <n v="2563.1999999999994"/>
    <x v="0"/>
  </r>
  <r>
    <d v="2017-10-31T00:00:00"/>
    <n v="4.33"/>
    <n v="1.363"/>
    <n v="4"/>
    <n v="38"/>
    <n v="2"/>
    <n v="0"/>
    <n v="0"/>
    <n v="1"/>
    <x v="3"/>
    <x v="9"/>
    <x v="5"/>
    <n v="50.692999999999998"/>
    <n v="7603.95"/>
    <n v="2281.1849999999999"/>
    <x v="0"/>
  </r>
  <r>
    <d v="2017-11-01T00:00:00"/>
    <n v="0.67"/>
    <n v="3.4289999999999998"/>
    <n v="2"/>
    <n v="23"/>
    <n v="5"/>
    <n v="0"/>
    <n v="3"/>
    <n v="1"/>
    <x v="3"/>
    <x v="10"/>
    <x v="6"/>
    <n v="38.099000000000004"/>
    <n v="5714.85"/>
    <n v="1714.4550000000002"/>
    <x v="0"/>
  </r>
  <r>
    <d v="2017-11-02T00:00:00"/>
    <n v="4"/>
    <n v="2.0659999999999998"/>
    <n v="1.55"/>
    <n v="22.1"/>
    <n v="5"/>
    <n v="0"/>
    <n v="11"/>
    <n v="3"/>
    <x v="3"/>
    <x v="10"/>
    <x v="0"/>
    <n v="48.716000000000001"/>
    <n v="7307.4000000000005"/>
    <n v="2192.2200000000003"/>
    <x v="0"/>
  </r>
  <r>
    <d v="2017-11-03T00:00:00"/>
    <n v="2.33"/>
    <n v="7.67"/>
    <n v="4.4000000000000004"/>
    <n v="37.4"/>
    <n v="10"/>
    <n v="3"/>
    <n v="6"/>
    <n v="1"/>
    <x v="3"/>
    <x v="10"/>
    <x v="1"/>
    <n v="71.8"/>
    <n v="10770"/>
    <n v="3231"/>
    <x v="1"/>
  </r>
  <r>
    <d v="2017-11-04T00:00:00"/>
    <n v="10.34"/>
    <n v="7.4720000000000004"/>
    <n v="6"/>
    <n v="33"/>
    <n v="5"/>
    <n v="0"/>
    <n v="1"/>
    <n v="3.2"/>
    <x v="3"/>
    <x v="10"/>
    <x v="2"/>
    <n v="66.012"/>
    <n v="9901.7999999999993"/>
    <n v="2970.5399999999995"/>
    <x v="0"/>
  </r>
  <r>
    <d v="2017-11-05T00:00:00"/>
    <n v="6.33"/>
    <n v="5.7990000000000004"/>
    <n v="1.1000000000000001"/>
    <n v="35.450000000000003"/>
    <n v="1"/>
    <n v="0"/>
    <n v="5"/>
    <n v="2"/>
    <x v="3"/>
    <x v="10"/>
    <x v="3"/>
    <n v="56.679000000000002"/>
    <n v="8501.85"/>
    <n v="2550.5549999999998"/>
    <x v="0"/>
  </r>
  <r>
    <d v="2017-11-06T00:00:00"/>
    <n v="8.34"/>
    <n v="3.2"/>
    <n v="2"/>
    <n v="20.2"/>
    <n v="11"/>
    <n v="3"/>
    <n v="8"/>
    <n v="1"/>
    <x v="3"/>
    <x v="10"/>
    <x v="4"/>
    <n v="56.739999999999995"/>
    <n v="8511"/>
    <n v="2553.2999999999997"/>
    <x v="0"/>
  </r>
  <r>
    <d v="2017-11-07T00:00:00"/>
    <n v="0.67"/>
    <n v="4"/>
    <n v="7"/>
    <n v="20"/>
    <n v="4"/>
    <n v="0"/>
    <n v="0"/>
    <n v="1.5"/>
    <x v="3"/>
    <x v="10"/>
    <x v="5"/>
    <n v="37.17"/>
    <n v="5575.5"/>
    <n v="1672.6499999999999"/>
    <x v="0"/>
  </r>
  <r>
    <d v="2017-11-08T00:00:00"/>
    <n v="6"/>
    <n v="1.1000000000000001"/>
    <n v="2"/>
    <n v="9.1999999999999993"/>
    <n v="1"/>
    <n v="0"/>
    <n v="5"/>
    <n v="1"/>
    <x v="3"/>
    <x v="10"/>
    <x v="6"/>
    <n v="25.299999999999997"/>
    <n v="3794.9999999999995"/>
    <n v="1138.4999999999998"/>
    <x v="0"/>
  </r>
  <r>
    <d v="2017-11-09T00:00:00"/>
    <n v="2.67"/>
    <n v="3.746"/>
    <n v="0"/>
    <n v="28.8"/>
    <n v="2"/>
    <n v="0"/>
    <n v="11"/>
    <n v="1"/>
    <x v="3"/>
    <x v="10"/>
    <x v="0"/>
    <n v="49.216000000000001"/>
    <n v="7382.4000000000005"/>
    <n v="2214.7200000000003"/>
    <x v="0"/>
  </r>
  <r>
    <d v="2017-11-10T00:00:00"/>
    <n v="9.34"/>
    <n v="6.66"/>
    <n v="6.2"/>
    <n v="34"/>
    <n v="9"/>
    <n v="0"/>
    <n v="22"/>
    <n v="2"/>
    <x v="3"/>
    <x v="10"/>
    <x v="1"/>
    <n v="89.2"/>
    <n v="13380"/>
    <n v="4014"/>
    <x v="1"/>
  </r>
  <r>
    <d v="2017-11-11T00:00:00"/>
    <n v="8.5"/>
    <n v="3"/>
    <n v="4.0999999999999996"/>
    <n v="32"/>
    <n v="8"/>
    <n v="0"/>
    <n v="2"/>
    <n v="0"/>
    <x v="3"/>
    <x v="10"/>
    <x v="2"/>
    <n v="57.6"/>
    <n v="8640"/>
    <n v="2592"/>
    <x v="0"/>
  </r>
  <r>
    <d v="2017-11-12T00:00:00"/>
    <n v="5"/>
    <n v="3.65"/>
    <n v="6.15"/>
    <n v="40"/>
    <n v="9"/>
    <n v="0"/>
    <n v="3"/>
    <n v="2"/>
    <x v="3"/>
    <x v="10"/>
    <x v="3"/>
    <n v="68.8"/>
    <n v="10320"/>
    <n v="3096"/>
    <x v="1"/>
  </r>
  <r>
    <d v="2017-11-13T00:00:00"/>
    <n v="9.33"/>
    <n v="2.4289999999999998"/>
    <n v="4.2"/>
    <n v="44.2"/>
    <n v="5"/>
    <n v="0"/>
    <n v="5"/>
    <n v="0.2"/>
    <x v="3"/>
    <x v="10"/>
    <x v="4"/>
    <n v="70.359000000000009"/>
    <n v="10553.850000000002"/>
    <n v="3166.1550000000007"/>
    <x v="1"/>
  </r>
  <r>
    <d v="2017-11-14T00:00:00"/>
    <n v="3"/>
    <n v="0.85899999999999999"/>
    <n v="2"/>
    <n v="6.8"/>
    <n v="14"/>
    <n v="0"/>
    <n v="19"/>
    <n v="1"/>
    <x v="3"/>
    <x v="10"/>
    <x v="5"/>
    <n v="46.658999999999999"/>
    <n v="6998.8499999999995"/>
    <n v="2099.6549999999997"/>
    <x v="0"/>
  </r>
  <r>
    <d v="2017-11-15T00:00:00"/>
    <n v="5.33"/>
    <n v="2.726"/>
    <n v="7.7"/>
    <n v="17"/>
    <n v="8"/>
    <n v="3"/>
    <n v="0"/>
    <n v="1"/>
    <x v="3"/>
    <x v="10"/>
    <x v="6"/>
    <n v="44.756"/>
    <n v="6713.4"/>
    <n v="2014.0199999999998"/>
    <x v="0"/>
  </r>
  <r>
    <d v="2017-11-16T00:00:00"/>
    <n v="5.33"/>
    <n v="2"/>
    <n v="3"/>
    <n v="17.600000000000001"/>
    <n v="3"/>
    <n v="0"/>
    <n v="1"/>
    <n v="1"/>
    <x v="3"/>
    <x v="10"/>
    <x v="0"/>
    <n v="32.93"/>
    <n v="4939.5"/>
    <n v="1481.85"/>
    <x v="0"/>
  </r>
  <r>
    <d v="2017-11-17T00:00:00"/>
    <n v="3"/>
    <n v="4.8369999999999997"/>
    <n v="3"/>
    <n v="34"/>
    <n v="5"/>
    <n v="0"/>
    <n v="30"/>
    <n v="2"/>
    <x v="3"/>
    <x v="10"/>
    <x v="1"/>
    <n v="81.837000000000003"/>
    <n v="12275.550000000001"/>
    <n v="3682.6650000000004"/>
    <x v="1"/>
  </r>
  <r>
    <d v="2017-11-18T00:00:00"/>
    <n v="5.33"/>
    <n v="8.4499999999999993"/>
    <n v="2"/>
    <n v="42.5"/>
    <n v="2"/>
    <n v="0"/>
    <n v="8"/>
    <n v="1.2"/>
    <x v="3"/>
    <x v="10"/>
    <x v="2"/>
    <n v="69.48"/>
    <n v="10422"/>
    <n v="3126.6"/>
    <x v="1"/>
  </r>
  <r>
    <d v="2017-11-19T00:00:00"/>
    <n v="4"/>
    <n v="6.88"/>
    <n v="1"/>
    <n v="29"/>
    <n v="3"/>
    <n v="0"/>
    <n v="6"/>
    <n v="2.5"/>
    <x v="3"/>
    <x v="10"/>
    <x v="3"/>
    <n v="52.379999999999995"/>
    <n v="7856.9999999999991"/>
    <n v="2357.0999999999995"/>
    <x v="0"/>
  </r>
  <r>
    <d v="2017-11-20T00:00:00"/>
    <n v="2.34"/>
    <n v="5.34"/>
    <n v="2.4"/>
    <n v="28.8"/>
    <n v="10"/>
    <n v="0"/>
    <n v="2"/>
    <n v="0"/>
    <x v="3"/>
    <x v="10"/>
    <x v="4"/>
    <n v="50.88"/>
    <n v="7632"/>
    <n v="2289.6"/>
    <x v="0"/>
  </r>
  <r>
    <d v="2017-11-21T00:00:00"/>
    <n v="13.33"/>
    <n v="0.68"/>
    <n v="1"/>
    <n v="22.4"/>
    <n v="5"/>
    <n v="0"/>
    <n v="2"/>
    <n v="1"/>
    <x v="3"/>
    <x v="10"/>
    <x v="5"/>
    <n v="45.41"/>
    <n v="6811.4999999999991"/>
    <n v="2043.4499999999996"/>
    <x v="0"/>
  </r>
  <r>
    <d v="2017-11-22T00:00:00"/>
    <n v="2"/>
    <n v="4"/>
    <n v="1"/>
    <n v="26.1"/>
    <n v="20"/>
    <n v="0"/>
    <n v="1"/>
    <n v="1"/>
    <x v="3"/>
    <x v="10"/>
    <x v="6"/>
    <n v="55.1"/>
    <n v="8265"/>
    <n v="2479.5"/>
    <x v="0"/>
  </r>
  <r>
    <d v="2017-11-23T00:00:00"/>
    <n v="9.33"/>
    <n v="5.99"/>
    <n v="6"/>
    <n v="34.299999999999997"/>
    <n v="14"/>
    <n v="0"/>
    <n v="0"/>
    <n v="3"/>
    <x v="3"/>
    <x v="10"/>
    <x v="0"/>
    <n v="72.62"/>
    <n v="10893"/>
    <n v="3267.9"/>
    <x v="1"/>
  </r>
  <r>
    <d v="2017-11-24T00:00:00"/>
    <n v="8"/>
    <n v="3.1320000000000001"/>
    <n v="5"/>
    <n v="34.323999999999998"/>
    <n v="5"/>
    <n v="2"/>
    <n v="2"/>
    <n v="0"/>
    <x v="3"/>
    <x v="10"/>
    <x v="1"/>
    <n v="59.455999999999996"/>
    <n v="8918.4"/>
    <n v="2675.52"/>
    <x v="0"/>
  </r>
  <r>
    <d v="2017-11-25T00:00:00"/>
    <n v="5.33"/>
    <n v="6.0759999999999996"/>
    <n v="4.0999999999999996"/>
    <n v="26.5"/>
    <n v="8"/>
    <n v="0"/>
    <n v="2"/>
    <n v="0"/>
    <x v="3"/>
    <x v="10"/>
    <x v="2"/>
    <n v="52.006"/>
    <n v="7800.9"/>
    <n v="2340.27"/>
    <x v="0"/>
  </r>
  <r>
    <d v="2017-11-26T00:00:00"/>
    <n v="5.66"/>
    <n v="5.7859999999999996"/>
    <n v="1"/>
    <n v="31.2"/>
    <n v="2"/>
    <n v="1"/>
    <n v="12"/>
    <n v="2"/>
    <x v="3"/>
    <x v="10"/>
    <x v="3"/>
    <n v="60.646000000000001"/>
    <n v="9096.9"/>
    <n v="2729.0699999999997"/>
    <x v="0"/>
  </r>
  <r>
    <d v="2017-11-27T00:00:00"/>
    <n v="1.34"/>
    <n v="3.67"/>
    <n v="6.1"/>
    <n v="34.825000000000003"/>
    <n v="4"/>
    <n v="0"/>
    <n v="7"/>
    <n v="3"/>
    <x v="3"/>
    <x v="10"/>
    <x v="4"/>
    <n v="59.935000000000002"/>
    <n v="8990.25"/>
    <n v="2697.0749999999998"/>
    <x v="0"/>
  </r>
  <r>
    <d v="2017-11-28T00:00:00"/>
    <n v="5"/>
    <n v="1.34"/>
    <n v="5.35"/>
    <n v="40.6"/>
    <n v="5"/>
    <n v="3"/>
    <n v="8"/>
    <n v="3"/>
    <x v="3"/>
    <x v="10"/>
    <x v="5"/>
    <n v="71.289999999999992"/>
    <n v="10693.499999999998"/>
    <n v="3208.0499999999993"/>
    <x v="1"/>
  </r>
  <r>
    <d v="2017-11-29T00:00:00"/>
    <n v="6.34"/>
    <n v="2.3969999999999998"/>
    <n v="4.0999999999999996"/>
    <n v="32.6"/>
    <n v="7"/>
    <n v="0"/>
    <n v="5"/>
    <n v="3"/>
    <x v="3"/>
    <x v="10"/>
    <x v="6"/>
    <n v="60.436999999999998"/>
    <n v="9065.5499999999993"/>
    <n v="2719.6649999999995"/>
    <x v="0"/>
  </r>
  <r>
    <d v="2017-11-30T00:00:00"/>
    <n v="5.67"/>
    <n v="1.3959999999999999"/>
    <n v="3"/>
    <n v="30"/>
    <n v="2"/>
    <n v="0"/>
    <n v="9"/>
    <n v="3"/>
    <x v="3"/>
    <x v="10"/>
    <x v="0"/>
    <n v="54.066000000000003"/>
    <n v="8109.9000000000005"/>
    <n v="2432.9700000000003"/>
    <x v="0"/>
  </r>
  <r>
    <d v="2017-12-01T00:00:00"/>
    <n v="10.33"/>
    <n v="7.66"/>
    <n v="1"/>
    <n v="25.4"/>
    <n v="3"/>
    <n v="0"/>
    <n v="5"/>
    <n v="2"/>
    <x v="3"/>
    <x v="11"/>
    <x v="1"/>
    <n v="54.39"/>
    <n v="8158.5"/>
    <n v="2447.5499999999997"/>
    <x v="0"/>
  </r>
  <r>
    <d v="2017-12-02T00:00:00"/>
    <n v="4.33"/>
    <n v="3.67"/>
    <n v="5"/>
    <n v="22"/>
    <n v="11"/>
    <n v="0"/>
    <n v="0"/>
    <n v="1.5"/>
    <x v="3"/>
    <x v="11"/>
    <x v="2"/>
    <n v="47.5"/>
    <n v="7125"/>
    <n v="2137.5"/>
    <x v="0"/>
  </r>
  <r>
    <d v="2017-12-03T00:00:00"/>
    <n v="5.33"/>
    <n v="6.0229999999999997"/>
    <n v="3"/>
    <n v="33.4"/>
    <n v="3"/>
    <n v="0"/>
    <n v="6"/>
    <n v="2"/>
    <x v="3"/>
    <x v="11"/>
    <x v="3"/>
    <n v="58.753"/>
    <n v="8812.9500000000007"/>
    <n v="2643.8850000000002"/>
    <x v="0"/>
  </r>
  <r>
    <d v="2017-12-04T00:00:00"/>
    <n v="1"/>
    <n v="2.363"/>
    <n v="4"/>
    <n v="15.6"/>
    <n v="3"/>
    <n v="0"/>
    <n v="13"/>
    <n v="3"/>
    <x v="3"/>
    <x v="11"/>
    <x v="4"/>
    <n v="41.963000000000001"/>
    <n v="6294.45"/>
    <n v="1888.3349999999998"/>
    <x v="0"/>
  </r>
  <r>
    <d v="2017-12-05T00:00:00"/>
    <n v="3.68"/>
    <n v="3.165"/>
    <n v="4.05"/>
    <n v="17.100000000000001"/>
    <n v="1"/>
    <n v="0"/>
    <n v="6"/>
    <n v="2"/>
    <x v="3"/>
    <x v="11"/>
    <x v="5"/>
    <n v="36.995000000000005"/>
    <n v="5549.2500000000009"/>
    <n v="1664.7750000000003"/>
    <x v="0"/>
  </r>
  <r>
    <d v="2017-12-06T00:00:00"/>
    <n v="4"/>
    <n v="4.3959999999999999"/>
    <n v="2.1"/>
    <n v="29.2"/>
    <n v="12"/>
    <n v="0"/>
    <n v="6"/>
    <n v="1"/>
    <x v="3"/>
    <x v="11"/>
    <x v="6"/>
    <n v="58.695999999999998"/>
    <n v="8804.4"/>
    <n v="2641.3199999999997"/>
    <x v="0"/>
  </r>
  <r>
    <d v="2017-12-07T00:00:00"/>
    <n v="3"/>
    <n v="2.66"/>
    <n v="5.45"/>
    <n v="24.9"/>
    <n v="8"/>
    <n v="0"/>
    <n v="7"/>
    <n v="1"/>
    <x v="3"/>
    <x v="11"/>
    <x v="0"/>
    <n v="52.01"/>
    <n v="7801.5"/>
    <n v="2340.4499999999998"/>
    <x v="0"/>
  </r>
  <r>
    <d v="2017-12-08T00:00:00"/>
    <n v="5.33"/>
    <n v="2.5099999999999998"/>
    <n v="3.5"/>
    <n v="44.2"/>
    <n v="5"/>
    <n v="1"/>
    <n v="7"/>
    <n v="2"/>
    <x v="3"/>
    <x v="11"/>
    <x v="1"/>
    <n v="70.540000000000006"/>
    <n v="10581.000000000002"/>
    <n v="3174.3000000000006"/>
    <x v="1"/>
  </r>
  <r>
    <d v="2017-12-09T00:00:00"/>
    <n v="5"/>
    <n v="2.17"/>
    <n v="5.4"/>
    <n v="36.6"/>
    <n v="14"/>
    <n v="0"/>
    <n v="7"/>
    <n v="2"/>
    <x v="3"/>
    <x v="11"/>
    <x v="2"/>
    <n v="72.17"/>
    <n v="10825.5"/>
    <n v="3247.65"/>
    <x v="1"/>
  </r>
  <r>
    <d v="2017-12-10T00:00:00"/>
    <n v="5"/>
    <n v="2.802"/>
    <n v="5"/>
    <n v="48"/>
    <n v="7"/>
    <n v="0"/>
    <n v="18"/>
    <n v="2"/>
    <x v="3"/>
    <x v="11"/>
    <x v="3"/>
    <n v="87.801999999999992"/>
    <n v="13170.3"/>
    <n v="3951.0899999999997"/>
    <x v="1"/>
  </r>
  <r>
    <d v="2017-12-11T00:00:00"/>
    <n v="8"/>
    <n v="6"/>
    <n v="5.5"/>
    <n v="34.4"/>
    <n v="10"/>
    <n v="0"/>
    <n v="6"/>
    <n v="1"/>
    <x v="3"/>
    <x v="11"/>
    <x v="4"/>
    <n v="70.900000000000006"/>
    <n v="10635"/>
    <n v="3190.5"/>
    <x v="1"/>
  </r>
  <r>
    <d v="2017-12-12T00:00:00"/>
    <n v="1.33"/>
    <n v="5.0659999999999998"/>
    <n v="3"/>
    <n v="44"/>
    <n v="6"/>
    <n v="1"/>
    <n v="12"/>
    <n v="2"/>
    <x v="3"/>
    <x v="11"/>
    <x v="5"/>
    <n v="74.396000000000001"/>
    <n v="11159.4"/>
    <n v="3347.8199999999997"/>
    <x v="1"/>
  </r>
  <r>
    <d v="2017-12-13T00:00:00"/>
    <n v="4"/>
    <n v="3.34"/>
    <n v="2.2999999999999998"/>
    <n v="29"/>
    <n v="9"/>
    <n v="0"/>
    <n v="0"/>
    <n v="1"/>
    <x v="3"/>
    <x v="11"/>
    <x v="6"/>
    <n v="48.64"/>
    <n v="7296"/>
    <n v="2188.7999999999997"/>
    <x v="0"/>
  </r>
  <r>
    <d v="2017-12-14T00:00:00"/>
    <n v="3"/>
    <n v="3"/>
    <n v="3"/>
    <n v="30"/>
    <n v="5"/>
    <n v="0"/>
    <n v="0"/>
    <n v="3"/>
    <x v="3"/>
    <x v="11"/>
    <x v="0"/>
    <n v="47"/>
    <n v="7050"/>
    <n v="2115"/>
    <x v="0"/>
  </r>
  <r>
    <d v="2017-12-15T00:00:00"/>
    <n v="4.18"/>
    <n v="5.01"/>
    <n v="2.5"/>
    <n v="29"/>
    <n v="6"/>
    <n v="0"/>
    <n v="0"/>
    <n v="1"/>
    <x v="3"/>
    <x v="11"/>
    <x v="1"/>
    <n v="47.69"/>
    <n v="7153.5"/>
    <n v="2146.0499999999997"/>
    <x v="0"/>
  </r>
  <r>
    <d v="2017-12-16T00:00:00"/>
    <n v="11"/>
    <n v="6"/>
    <n v="3"/>
    <n v="36.6"/>
    <n v="6"/>
    <n v="1"/>
    <n v="1"/>
    <n v="2"/>
    <x v="3"/>
    <x v="11"/>
    <x v="2"/>
    <n v="66.599999999999994"/>
    <n v="9990"/>
    <n v="2997"/>
    <x v="0"/>
  </r>
  <r>
    <d v="2017-12-17T00:00:00"/>
    <n v="7"/>
    <n v="0.33"/>
    <n v="5.0999999999999996"/>
    <n v="37"/>
    <n v="11"/>
    <n v="0"/>
    <n v="15"/>
    <n v="2"/>
    <x v="3"/>
    <x v="11"/>
    <x v="3"/>
    <n v="77.430000000000007"/>
    <n v="11614.500000000002"/>
    <n v="3484.3500000000004"/>
    <x v="1"/>
  </r>
  <r>
    <d v="2017-12-18T00:00:00"/>
    <n v="0.66"/>
    <n v="4.67"/>
    <n v="6"/>
    <n v="31.6"/>
    <n v="7"/>
    <n v="0"/>
    <n v="8"/>
    <n v="0"/>
    <x v="3"/>
    <x v="11"/>
    <x v="4"/>
    <n v="57.93"/>
    <n v="8689.5"/>
    <n v="2606.85"/>
    <x v="0"/>
  </r>
  <r>
    <d v="2017-12-19T00:00:00"/>
    <n v="0"/>
    <n v="0"/>
    <n v="0"/>
    <n v="0"/>
    <n v="0"/>
    <n v="0"/>
    <n v="0"/>
    <n v="0"/>
    <x v="3"/>
    <x v="11"/>
    <x v="5"/>
    <n v="0"/>
    <n v="0"/>
    <n v="0"/>
    <x v="0"/>
  </r>
  <r>
    <d v="2017-12-20T00:00:00"/>
    <n v="2"/>
    <n v="3.3959999999999999"/>
    <n v="3"/>
    <n v="27.2"/>
    <n v="3"/>
    <n v="0"/>
    <n v="11"/>
    <n v="2"/>
    <x v="3"/>
    <x v="11"/>
    <x v="6"/>
    <n v="51.596000000000004"/>
    <n v="7739.4000000000005"/>
    <n v="2321.8200000000002"/>
    <x v="0"/>
  </r>
  <r>
    <d v="2017-12-21T00:00:00"/>
    <n v="2.02"/>
    <n v="2.66"/>
    <n v="4"/>
    <n v="23.4"/>
    <n v="5"/>
    <n v="0"/>
    <n v="6"/>
    <n v="0"/>
    <x v="3"/>
    <x v="11"/>
    <x v="0"/>
    <n v="43.08"/>
    <n v="6462"/>
    <n v="1938.6"/>
    <x v="0"/>
  </r>
  <r>
    <d v="2017-12-22T00:00:00"/>
    <n v="5.99"/>
    <n v="2.7690000000000001"/>
    <n v="1.5"/>
    <n v="26"/>
    <n v="13"/>
    <n v="0"/>
    <n v="1"/>
    <n v="1.6"/>
    <x v="3"/>
    <x v="11"/>
    <x v="1"/>
    <n v="51.859000000000002"/>
    <n v="7778.85"/>
    <n v="2333.6550000000002"/>
    <x v="0"/>
  </r>
  <r>
    <d v="2017-12-23T00:00:00"/>
    <n v="6"/>
    <n v="4.5049999999999999"/>
    <n v="6.1"/>
    <n v="28.3"/>
    <n v="6"/>
    <n v="0"/>
    <n v="1"/>
    <n v="1"/>
    <x v="3"/>
    <x v="11"/>
    <x v="2"/>
    <n v="52.905000000000001"/>
    <n v="7935.75"/>
    <n v="2380.7249999999999"/>
    <x v="0"/>
  </r>
  <r>
    <d v="2017-12-24T00:00:00"/>
    <n v="7.66"/>
    <n v="3.46"/>
    <n v="2"/>
    <n v="32.200000000000003"/>
    <n v="4"/>
    <n v="0"/>
    <n v="5"/>
    <n v="1"/>
    <x v="3"/>
    <x v="11"/>
    <x v="3"/>
    <n v="55.320000000000007"/>
    <n v="8298.0000000000018"/>
    <n v="2489.4000000000005"/>
    <x v="0"/>
  </r>
  <r>
    <d v="2017-12-25T00:00:00"/>
    <n v="1"/>
    <n v="0.62"/>
    <n v="4.0999999999999996"/>
    <n v="15.53"/>
    <n v="4"/>
    <n v="0"/>
    <n v="6"/>
    <n v="2"/>
    <x v="3"/>
    <x v="11"/>
    <x v="4"/>
    <n v="33.25"/>
    <n v="4987.5"/>
    <n v="1496.25"/>
    <x v="0"/>
  </r>
  <r>
    <d v="2017-12-26T00:00:00"/>
    <n v="2.99"/>
    <n v="4.67"/>
    <n v="3.5"/>
    <n v="56.9"/>
    <n v="9"/>
    <n v="0"/>
    <n v="9"/>
    <n v="2"/>
    <x v="3"/>
    <x v="11"/>
    <x v="5"/>
    <n v="88.06"/>
    <n v="13209"/>
    <n v="3962.7"/>
    <x v="1"/>
  </r>
  <r>
    <d v="2017-12-27T00:00:00"/>
    <n v="7"/>
    <n v="4.8140000000000001"/>
    <n v="5.15"/>
    <n v="32.700000000000003"/>
    <n v="9"/>
    <n v="0"/>
    <n v="3"/>
    <n v="0"/>
    <x v="3"/>
    <x v="11"/>
    <x v="6"/>
    <n v="61.664000000000001"/>
    <n v="9249.6"/>
    <n v="2774.88"/>
    <x v="0"/>
  </r>
  <r>
    <d v="2017-12-28T00:00:00"/>
    <n v="7.33"/>
    <n v="3.4620000000000002"/>
    <n v="5.0999999999999996"/>
    <n v="35.35"/>
    <n v="12"/>
    <n v="3"/>
    <n v="24"/>
    <n v="1"/>
    <x v="3"/>
    <x v="11"/>
    <x v="0"/>
    <n v="91.242000000000004"/>
    <n v="13686.300000000001"/>
    <n v="4105.8900000000003"/>
    <x v="1"/>
  </r>
  <r>
    <d v="2017-12-29T00:00:00"/>
    <n v="9.34"/>
    <n v="2.0659999999999998"/>
    <n v="2.5"/>
    <n v="41.4"/>
    <n v="17"/>
    <n v="0"/>
    <n v="11"/>
    <n v="2"/>
    <x v="3"/>
    <x v="11"/>
    <x v="1"/>
    <n v="85.305999999999997"/>
    <n v="12795.9"/>
    <n v="3838.7699999999995"/>
    <x v="1"/>
  </r>
  <r>
    <d v="2017-12-30T00:00:00"/>
    <n v="8.68"/>
    <n v="8.3629999999999995"/>
    <n v="4"/>
    <n v="50"/>
    <n v="8"/>
    <n v="0"/>
    <n v="10"/>
    <n v="3"/>
    <x v="3"/>
    <x v="11"/>
    <x v="2"/>
    <n v="92.043000000000006"/>
    <n v="13806.45"/>
    <n v="4141.9350000000004"/>
    <x v="1"/>
  </r>
  <r>
    <d v="2017-12-31T00:00:00"/>
    <n v="13.83"/>
    <n v="10.042999999999999"/>
    <n v="5.3"/>
    <n v="70.2"/>
    <n v="9"/>
    <n v="0"/>
    <n v="0"/>
    <n v="1"/>
    <x v="3"/>
    <x v="11"/>
    <x v="3"/>
    <n v="109.373"/>
    <n v="16405.95"/>
    <n v="4921.7849999999999"/>
    <x v="1"/>
  </r>
  <r>
    <d v="2018-01-01T00:00:00"/>
    <n v="0"/>
    <n v="0"/>
    <n v="0"/>
    <n v="0"/>
    <n v="0"/>
    <n v="0"/>
    <n v="0"/>
    <n v="0"/>
    <x v="4"/>
    <x v="0"/>
    <x v="4"/>
    <n v="0"/>
    <n v="0"/>
    <n v="0"/>
    <x v="0"/>
  </r>
  <r>
    <d v="2018-01-02T00:00:00"/>
    <n v="1"/>
    <n v="5.33"/>
    <n v="2.25"/>
    <n v="38"/>
    <n v="3"/>
    <n v="0"/>
    <n v="2"/>
    <n v="2"/>
    <x v="4"/>
    <x v="0"/>
    <x v="5"/>
    <n v="53.58"/>
    <n v="8037"/>
    <n v="2411.1"/>
    <x v="0"/>
  </r>
  <r>
    <d v="2018-01-03T00:00:00"/>
    <n v="4.67"/>
    <n v="2.3969999999999998"/>
    <n v="3"/>
    <n v="54"/>
    <n v="4"/>
    <n v="0"/>
    <n v="10"/>
    <n v="3"/>
    <x v="4"/>
    <x v="0"/>
    <x v="6"/>
    <n v="81.067000000000007"/>
    <n v="12160.050000000001"/>
    <n v="3648.0150000000003"/>
    <x v="1"/>
  </r>
  <r>
    <d v="2018-01-04T00:00:00"/>
    <n v="6"/>
    <n v="1.099"/>
    <n v="1"/>
    <n v="39.200000000000003"/>
    <n v="9"/>
    <n v="0"/>
    <n v="1"/>
    <n v="2"/>
    <x v="4"/>
    <x v="0"/>
    <x v="0"/>
    <n v="59.299000000000007"/>
    <n v="8894.85"/>
    <n v="2668.4549999999999"/>
    <x v="0"/>
  </r>
  <r>
    <d v="2018-01-05T00:00:00"/>
    <n v="12"/>
    <n v="6.8250000000000002"/>
    <n v="3"/>
    <n v="26"/>
    <n v="11"/>
    <n v="0"/>
    <n v="21"/>
    <n v="1"/>
    <x v="4"/>
    <x v="0"/>
    <x v="1"/>
    <n v="80.825000000000003"/>
    <n v="12123.75"/>
    <n v="3637.125"/>
    <x v="1"/>
  </r>
  <r>
    <d v="2018-01-06T00:00:00"/>
    <n v="4.66"/>
    <n v="1.66"/>
    <n v="2.2000000000000002"/>
    <n v="73"/>
    <n v="4"/>
    <n v="0"/>
    <n v="5"/>
    <n v="8"/>
    <x v="4"/>
    <x v="0"/>
    <x v="2"/>
    <n v="98.52"/>
    <n v="14778"/>
    <n v="4433.3999999999996"/>
    <x v="1"/>
  </r>
  <r>
    <d v="2018-01-07T00:00:00"/>
    <n v="0"/>
    <n v="0"/>
    <n v="0"/>
    <n v="0"/>
    <n v="0"/>
    <n v="0"/>
    <n v="0"/>
    <n v="0"/>
    <x v="4"/>
    <x v="0"/>
    <x v="3"/>
    <n v="0"/>
    <n v="0"/>
    <n v="0"/>
    <x v="0"/>
  </r>
  <r>
    <d v="2018-01-08T00:00:00"/>
    <n v="2.33"/>
    <n v="6.53"/>
    <n v="4.2"/>
    <n v="29.6"/>
    <n v="5"/>
    <n v="0"/>
    <n v="0"/>
    <n v="1"/>
    <x v="4"/>
    <x v="0"/>
    <x v="4"/>
    <n v="48.66"/>
    <n v="7298.9999999999991"/>
    <n v="2189.6999999999998"/>
    <x v="0"/>
  </r>
  <r>
    <d v="2018-01-09T00:00:00"/>
    <n v="5.33"/>
    <n v="2.0990000000000002"/>
    <n v="5"/>
    <n v="33.825000000000003"/>
    <n v="9"/>
    <n v="6"/>
    <n v="10"/>
    <n v="1"/>
    <x v="4"/>
    <x v="0"/>
    <x v="5"/>
    <n v="72.254000000000005"/>
    <n v="10838.1"/>
    <n v="3251.43"/>
    <x v="1"/>
  </r>
  <r>
    <d v="2018-01-10T00:00:00"/>
    <n v="9.33"/>
    <n v="7.4059999999999997"/>
    <n v="6"/>
    <n v="44.5"/>
    <n v="12"/>
    <n v="0"/>
    <n v="6"/>
    <n v="2"/>
    <x v="4"/>
    <x v="0"/>
    <x v="6"/>
    <n v="87.236000000000004"/>
    <n v="13085.400000000001"/>
    <n v="3925.6200000000003"/>
    <x v="1"/>
  </r>
  <r>
    <d v="2018-01-11T00:00:00"/>
    <n v="4"/>
    <n v="4.33"/>
    <n v="5.5"/>
    <n v="37.6"/>
    <n v="7"/>
    <n v="0"/>
    <n v="5"/>
    <n v="0"/>
    <x v="4"/>
    <x v="0"/>
    <x v="0"/>
    <n v="63.43"/>
    <n v="9514.5"/>
    <n v="2854.35"/>
    <x v="0"/>
  </r>
  <r>
    <d v="2018-01-12T00:00:00"/>
    <n v="5.66"/>
    <n v="1.33"/>
    <n v="3"/>
    <n v="42"/>
    <n v="11"/>
    <n v="0"/>
    <n v="10"/>
    <n v="0"/>
    <x v="4"/>
    <x v="0"/>
    <x v="1"/>
    <n v="72.990000000000009"/>
    <n v="10948.500000000002"/>
    <n v="3284.5500000000006"/>
    <x v="1"/>
  </r>
  <r>
    <d v="2018-01-13T00:00:00"/>
    <n v="3.5"/>
    <n v="3.4950000000000001"/>
    <n v="3.2"/>
    <n v="32"/>
    <n v="6"/>
    <n v="0"/>
    <n v="8"/>
    <n v="1"/>
    <x v="4"/>
    <x v="0"/>
    <x v="2"/>
    <n v="57.195"/>
    <n v="8579.25"/>
    <n v="2573.7750000000001"/>
    <x v="0"/>
  </r>
  <r>
    <d v="2018-01-14T00:00:00"/>
    <n v="4.33"/>
    <n v="5.1550000000000002"/>
    <n v="1.2"/>
    <n v="36"/>
    <n v="2"/>
    <n v="0"/>
    <n v="5"/>
    <n v="1"/>
    <x v="4"/>
    <x v="0"/>
    <x v="3"/>
    <n v="54.685000000000002"/>
    <n v="8202.75"/>
    <n v="2460.8249999999998"/>
    <x v="0"/>
  </r>
  <r>
    <d v="2018-01-15T00:00:00"/>
    <n v="6.99"/>
    <n v="2"/>
    <n v="5.0999999999999996"/>
    <n v="26"/>
    <n v="8"/>
    <n v="0"/>
    <n v="15"/>
    <n v="2"/>
    <x v="4"/>
    <x v="0"/>
    <x v="4"/>
    <n v="65.09"/>
    <n v="9763.5"/>
    <n v="2929.0499999999997"/>
    <x v="0"/>
  </r>
  <r>
    <d v="2018-01-16T00:00:00"/>
    <n v="6.34"/>
    <n v="2.67"/>
    <n v="3"/>
    <n v="18"/>
    <n v="2"/>
    <n v="0"/>
    <n v="8"/>
    <n v="0"/>
    <x v="4"/>
    <x v="0"/>
    <x v="5"/>
    <n v="40.01"/>
    <n v="6001.5"/>
    <n v="1800.45"/>
    <x v="0"/>
  </r>
  <r>
    <d v="2018-01-17T00:00:00"/>
    <n v="6.67"/>
    <n v="2.85"/>
    <n v="2"/>
    <n v="30.2"/>
    <n v="10"/>
    <n v="2"/>
    <n v="41"/>
    <n v="2"/>
    <x v="4"/>
    <x v="0"/>
    <x v="6"/>
    <n v="96.72"/>
    <n v="14508"/>
    <n v="4352.3999999999996"/>
    <x v="1"/>
  </r>
  <r>
    <d v="2018-01-18T00:00:00"/>
    <n v="4.33"/>
    <n v="3.726"/>
    <n v="4"/>
    <n v="58.4"/>
    <n v="9"/>
    <n v="0"/>
    <n v="2"/>
    <n v="1"/>
    <x v="4"/>
    <x v="0"/>
    <x v="0"/>
    <n v="82.456000000000003"/>
    <n v="12368.4"/>
    <n v="3710.5199999999995"/>
    <x v="1"/>
  </r>
  <r>
    <d v="2018-01-19T00:00:00"/>
    <n v="6.33"/>
    <n v="2.528"/>
    <n v="3"/>
    <n v="23.4"/>
    <n v="12"/>
    <n v="0"/>
    <n v="3"/>
    <n v="1"/>
    <x v="4"/>
    <x v="0"/>
    <x v="1"/>
    <n v="51.257999999999996"/>
    <n v="7688.6999999999989"/>
    <n v="2306.6099999999997"/>
    <x v="0"/>
  </r>
  <r>
    <d v="2018-01-20T00:00:00"/>
    <n v="2.66"/>
    <n v="2.3199999999999998"/>
    <n v="2"/>
    <n v="38"/>
    <n v="2"/>
    <n v="0"/>
    <n v="5"/>
    <n v="0"/>
    <x v="4"/>
    <x v="0"/>
    <x v="2"/>
    <n v="51.980000000000004"/>
    <n v="7797.0000000000009"/>
    <n v="2339.1000000000004"/>
    <x v="0"/>
  </r>
  <r>
    <d v="2018-01-21T00:00:00"/>
    <n v="3.33"/>
    <n v="3.53"/>
    <n v="3.4"/>
    <n v="32.799999999999997"/>
    <n v="6"/>
    <n v="0"/>
    <n v="1"/>
    <n v="3.5"/>
    <x v="4"/>
    <x v="0"/>
    <x v="3"/>
    <n v="53.559999999999995"/>
    <n v="8033.9999999999991"/>
    <n v="2410.1999999999998"/>
    <x v="0"/>
  </r>
  <r>
    <d v="2018-01-22T00:00:00"/>
    <n v="6"/>
    <n v="3.3959999999999999"/>
    <n v="6"/>
    <n v="29"/>
    <n v="5"/>
    <n v="0"/>
    <n v="6"/>
    <n v="1"/>
    <x v="4"/>
    <x v="0"/>
    <x v="4"/>
    <n v="56.396000000000001"/>
    <n v="8459.4"/>
    <n v="2537.8199999999997"/>
    <x v="0"/>
  </r>
  <r>
    <d v="2018-01-23T00:00:00"/>
    <n v="1"/>
    <n v="1.0660000000000001"/>
    <n v="4.5999999999999996"/>
    <n v="38.6"/>
    <n v="4"/>
    <n v="0"/>
    <n v="5"/>
    <n v="1"/>
    <x v="4"/>
    <x v="0"/>
    <x v="5"/>
    <n v="55.265999999999998"/>
    <n v="8289.9"/>
    <n v="2486.9699999999998"/>
    <x v="0"/>
  </r>
  <r>
    <d v="2018-01-24T00:00:00"/>
    <n v="7.33"/>
    <n v="6.67"/>
    <n v="4"/>
    <n v="32"/>
    <n v="13"/>
    <n v="0"/>
    <n v="4"/>
    <n v="1"/>
    <x v="4"/>
    <x v="0"/>
    <x v="6"/>
    <n v="68"/>
    <n v="10200"/>
    <n v="3060"/>
    <x v="1"/>
  </r>
  <r>
    <d v="2018-01-25T00:00:00"/>
    <n v="3.66"/>
    <n v="5.1319999999999997"/>
    <n v="4.2"/>
    <n v="36.799999999999997"/>
    <n v="15"/>
    <n v="0"/>
    <n v="7"/>
    <n v="3"/>
    <x v="4"/>
    <x v="0"/>
    <x v="0"/>
    <n v="74.792000000000002"/>
    <n v="11218.800000000001"/>
    <n v="3365.6400000000003"/>
    <x v="1"/>
  </r>
  <r>
    <d v="2018-01-26T00:00:00"/>
    <n v="3"/>
    <n v="3.0230000000000001"/>
    <n v="0.4"/>
    <n v="62.2"/>
    <n v="9"/>
    <n v="0"/>
    <n v="12"/>
    <n v="1"/>
    <x v="4"/>
    <x v="0"/>
    <x v="1"/>
    <n v="90.623000000000005"/>
    <n v="13593.45"/>
    <n v="4078.0349999999999"/>
    <x v="1"/>
  </r>
  <r>
    <d v="2018-01-27T00:00:00"/>
    <n v="3.34"/>
    <n v="7.33"/>
    <n v="3"/>
    <n v="52.9"/>
    <n v="7"/>
    <n v="0"/>
    <n v="3"/>
    <n v="4"/>
    <x v="4"/>
    <x v="0"/>
    <x v="2"/>
    <n v="80.569999999999993"/>
    <n v="12085.499999999998"/>
    <n v="3625.6499999999992"/>
    <x v="1"/>
  </r>
  <r>
    <d v="2018-01-28T00:00:00"/>
    <n v="1.5"/>
    <n v="2.35"/>
    <n v="5.65"/>
    <n v="55"/>
    <n v="11"/>
    <n v="0"/>
    <n v="10"/>
    <n v="2"/>
    <x v="4"/>
    <x v="0"/>
    <x v="3"/>
    <n v="87.5"/>
    <n v="13125"/>
    <n v="3937.5"/>
    <x v="1"/>
  </r>
  <r>
    <d v="2018-01-29T00:00:00"/>
    <n v="2.33"/>
    <n v="4.3630000000000004"/>
    <n v="4.25"/>
    <n v="47.9"/>
    <n v="10"/>
    <n v="3"/>
    <n v="4"/>
    <n v="1"/>
    <x v="4"/>
    <x v="0"/>
    <x v="4"/>
    <n v="76.843000000000004"/>
    <n v="11526.45"/>
    <n v="3457.9349999999999"/>
    <x v="1"/>
  </r>
  <r>
    <d v="2018-01-30T00:00:00"/>
    <n v="4.33"/>
    <n v="3.76"/>
    <n v="3"/>
    <n v="37"/>
    <n v="11"/>
    <n v="0"/>
    <n v="4"/>
    <n v="3"/>
    <x v="4"/>
    <x v="0"/>
    <x v="5"/>
    <n v="66.09"/>
    <n v="9913.5"/>
    <n v="2974.0499999999997"/>
    <x v="0"/>
  </r>
  <r>
    <d v="2018-01-31T00:00:00"/>
    <n v="0.33"/>
    <n v="5.0759999999999996"/>
    <n v="4"/>
    <n v="30.4"/>
    <n v="12"/>
    <n v="0"/>
    <n v="6"/>
    <n v="1"/>
    <x v="4"/>
    <x v="0"/>
    <x v="6"/>
    <n v="58.805999999999997"/>
    <n v="8820.9"/>
    <n v="2646.27"/>
    <x v="0"/>
  </r>
  <r>
    <d v="2018-02-01T00:00:00"/>
    <n v="5.34"/>
    <n v="4.33"/>
    <n v="6"/>
    <n v="30.5"/>
    <n v="7"/>
    <n v="0"/>
    <n v="6"/>
    <n v="3"/>
    <x v="4"/>
    <x v="1"/>
    <x v="0"/>
    <n v="62.17"/>
    <n v="9325.5"/>
    <n v="2797.65"/>
    <x v="0"/>
  </r>
  <r>
    <d v="2018-02-02T00:00:00"/>
    <n v="2.33"/>
    <n v="4.99"/>
    <n v="4"/>
    <n v="54.6"/>
    <n v="6"/>
    <n v="0"/>
    <n v="6"/>
    <n v="4.4000000000000004"/>
    <x v="4"/>
    <x v="1"/>
    <x v="1"/>
    <n v="82.320000000000007"/>
    <n v="12348.000000000002"/>
    <n v="3704.4000000000005"/>
    <x v="1"/>
  </r>
  <r>
    <d v="2018-02-03T00:00:00"/>
    <n v="4.33"/>
    <n v="7.13"/>
    <n v="3.3"/>
    <n v="67.099999999999994"/>
    <n v="12"/>
    <n v="0"/>
    <n v="5"/>
    <n v="2"/>
    <x v="4"/>
    <x v="1"/>
    <x v="2"/>
    <n v="100.86"/>
    <n v="15129"/>
    <n v="4538.7"/>
    <x v="1"/>
  </r>
  <r>
    <d v="2018-02-04T00:00:00"/>
    <n v="7.99"/>
    <n v="9.0660000000000007"/>
    <n v="2"/>
    <n v="50.6"/>
    <n v="6"/>
    <n v="0"/>
    <n v="3"/>
    <n v="3"/>
    <x v="4"/>
    <x v="1"/>
    <x v="3"/>
    <n v="81.656000000000006"/>
    <n v="12248.400000000001"/>
    <n v="3674.5200000000004"/>
    <x v="1"/>
  </r>
  <r>
    <d v="2018-02-05T00:00:00"/>
    <n v="7.33"/>
    <n v="3.0659999999999998"/>
    <n v="3"/>
    <n v="53"/>
    <n v="18"/>
    <n v="0"/>
    <n v="6"/>
    <n v="0.66"/>
    <x v="4"/>
    <x v="1"/>
    <x v="4"/>
    <n v="91.055999999999997"/>
    <n v="13658.4"/>
    <n v="4097.5199999999995"/>
    <x v="1"/>
  </r>
  <r>
    <d v="2018-02-06T00:00:00"/>
    <n v="4.34"/>
    <n v="1.87"/>
    <n v="6.85"/>
    <n v="51.5"/>
    <n v="8"/>
    <n v="0"/>
    <n v="5"/>
    <n v="1"/>
    <x v="4"/>
    <x v="1"/>
    <x v="5"/>
    <n v="78.56"/>
    <n v="11784"/>
    <n v="3535.2"/>
    <x v="1"/>
  </r>
  <r>
    <d v="2018-02-07T00:00:00"/>
    <n v="4.84"/>
    <n v="8.1319999999999997"/>
    <n v="3.2"/>
    <n v="44.8"/>
    <n v="8"/>
    <n v="0"/>
    <n v="23"/>
    <n v="0"/>
    <x v="4"/>
    <x v="1"/>
    <x v="6"/>
    <n v="91.971999999999994"/>
    <n v="13795.8"/>
    <n v="4138.74"/>
    <x v="1"/>
  </r>
  <r>
    <d v="2018-02-08T00:00:00"/>
    <n v="6.33"/>
    <n v="1.34"/>
    <n v="3"/>
    <n v="47"/>
    <n v="7"/>
    <n v="0"/>
    <n v="1.25"/>
    <n v="0"/>
    <x v="4"/>
    <x v="1"/>
    <x v="0"/>
    <n v="65.92"/>
    <n v="9888"/>
    <n v="2966.4"/>
    <x v="0"/>
  </r>
  <r>
    <d v="2018-02-09T00:00:00"/>
    <n v="3"/>
    <n v="3.69"/>
    <n v="4.25"/>
    <n v="47"/>
    <n v="17"/>
    <n v="0"/>
    <n v="11"/>
    <n v="0"/>
    <x v="4"/>
    <x v="1"/>
    <x v="1"/>
    <n v="85.94"/>
    <n v="12891"/>
    <n v="3867.2999999999997"/>
    <x v="1"/>
  </r>
  <r>
    <d v="2018-02-10T00:00:00"/>
    <n v="10.01"/>
    <n v="5.2309999999999999"/>
    <n v="3.5"/>
    <n v="60.4"/>
    <n v="6"/>
    <n v="0"/>
    <n v="15"/>
    <n v="3"/>
    <x v="4"/>
    <x v="1"/>
    <x v="2"/>
    <n v="103.14099999999999"/>
    <n v="15471.149999999998"/>
    <n v="4641.3449999999993"/>
    <x v="1"/>
  </r>
  <r>
    <d v="2018-02-11T00:00:00"/>
    <n v="6.33"/>
    <n v="5.3959999999999999"/>
    <n v="7.8"/>
    <n v="63.25"/>
    <n v="12"/>
    <n v="0"/>
    <n v="10"/>
    <n v="2"/>
    <x v="4"/>
    <x v="1"/>
    <x v="3"/>
    <n v="106.776"/>
    <n v="16016.4"/>
    <n v="4804.92"/>
    <x v="1"/>
  </r>
  <r>
    <d v="2018-02-12T00:00:00"/>
    <n v="8"/>
    <n v="4.7690000000000001"/>
    <n v="10"/>
    <n v="36.299999999999997"/>
    <n v="14"/>
    <n v="1"/>
    <n v="1"/>
    <n v="1"/>
    <x v="4"/>
    <x v="1"/>
    <x v="4"/>
    <n v="76.068999999999988"/>
    <n v="11410.349999999999"/>
    <n v="3423.1049999999996"/>
    <x v="1"/>
  </r>
  <r>
    <d v="2018-02-13T00:00:00"/>
    <n v="6"/>
    <n v="8.0329999999999995"/>
    <n v="5"/>
    <n v="17.8"/>
    <n v="10"/>
    <n v="0"/>
    <n v="10"/>
    <n v="3"/>
    <x v="4"/>
    <x v="1"/>
    <x v="5"/>
    <n v="59.832999999999998"/>
    <n v="8974.9499999999989"/>
    <n v="2692.4849999999997"/>
    <x v="0"/>
  </r>
  <r>
    <d v="2018-02-14T00:00:00"/>
    <n v="1"/>
    <n v="6.33"/>
    <n v="2.1"/>
    <n v="50.3"/>
    <n v="15"/>
    <n v="0"/>
    <n v="14"/>
    <n v="0"/>
    <x v="4"/>
    <x v="1"/>
    <x v="6"/>
    <n v="88.72999999999999"/>
    <n v="13309.499999999998"/>
    <n v="3992.8499999999995"/>
    <x v="1"/>
  </r>
  <r>
    <d v="2018-02-15T00:00:00"/>
    <n v="1.5"/>
    <n v="6.9450000000000003"/>
    <n v="0.85"/>
    <n v="74.599999999999994"/>
    <n v="6"/>
    <n v="0"/>
    <n v="10"/>
    <n v="0"/>
    <x v="4"/>
    <x v="1"/>
    <x v="0"/>
    <n v="99.894999999999996"/>
    <n v="14984.25"/>
    <n v="4495.2749999999996"/>
    <x v="1"/>
  </r>
  <r>
    <d v="2018-02-16T00:00:00"/>
    <n v="7.68"/>
    <n v="7.1749999999999998"/>
    <n v="1.2"/>
    <n v="65.162000000000006"/>
    <n v="10"/>
    <n v="0"/>
    <n v="0"/>
    <n v="1"/>
    <x v="4"/>
    <x v="1"/>
    <x v="1"/>
    <n v="92.217000000000013"/>
    <n v="13832.550000000001"/>
    <n v="4149.7650000000003"/>
    <x v="1"/>
  </r>
  <r>
    <d v="2018-02-17T00:00:00"/>
    <n v="1.33"/>
    <n v="3.64"/>
    <n v="2"/>
    <n v="50.4"/>
    <n v="5"/>
    <n v="0"/>
    <n v="9"/>
    <n v="0"/>
    <x v="4"/>
    <x v="1"/>
    <x v="2"/>
    <n v="71.37"/>
    <n v="10705.5"/>
    <n v="3211.65"/>
    <x v="1"/>
  </r>
  <r>
    <d v="2018-02-18T00:00:00"/>
    <n v="6"/>
    <n v="6.726"/>
    <n v="7.55"/>
    <n v="44"/>
    <n v="2"/>
    <n v="0"/>
    <n v="4"/>
    <n v="1"/>
    <x v="4"/>
    <x v="1"/>
    <x v="3"/>
    <n v="71.275999999999996"/>
    <n v="10691.4"/>
    <n v="3207.4199999999996"/>
    <x v="1"/>
  </r>
  <r>
    <d v="2018-02-19T00:00:00"/>
    <n v="1"/>
    <n v="3.34"/>
    <n v="1.7"/>
    <n v="27"/>
    <n v="6"/>
    <n v="0"/>
    <n v="12"/>
    <n v="2"/>
    <x v="4"/>
    <x v="1"/>
    <x v="4"/>
    <n v="53.04"/>
    <n v="7956"/>
    <n v="2386.7999999999997"/>
    <x v="0"/>
  </r>
  <r>
    <d v="2018-02-20T00:00:00"/>
    <n v="4.18"/>
    <n v="2.286"/>
    <n v="4.2"/>
    <n v="30.2"/>
    <n v="6"/>
    <n v="0"/>
    <n v="2"/>
    <n v="3"/>
    <x v="4"/>
    <x v="1"/>
    <x v="5"/>
    <n v="51.866"/>
    <n v="7779.9"/>
    <n v="2333.9699999999998"/>
    <x v="0"/>
  </r>
  <r>
    <d v="2018-02-21T00:00:00"/>
    <n v="1.34"/>
    <n v="7.01"/>
    <n v="9.5"/>
    <n v="27.4"/>
    <n v="5"/>
    <n v="0"/>
    <n v="6"/>
    <n v="1"/>
    <x v="4"/>
    <x v="1"/>
    <x v="6"/>
    <n v="57.25"/>
    <n v="8587.5"/>
    <n v="2576.25"/>
    <x v="0"/>
  </r>
  <r>
    <d v="2018-02-22T00:00:00"/>
    <n v="5"/>
    <n v="6.33"/>
    <n v="3.15"/>
    <n v="30"/>
    <n v="6"/>
    <n v="0"/>
    <n v="20"/>
    <n v="0"/>
    <x v="4"/>
    <x v="1"/>
    <x v="0"/>
    <n v="70.48"/>
    <n v="10572"/>
    <n v="3171.6"/>
    <x v="1"/>
  </r>
  <r>
    <d v="2018-02-23T00:00:00"/>
    <n v="5.83"/>
    <n v="2.9790000000000001"/>
    <n v="1"/>
    <n v="34.200000000000003"/>
    <n v="6"/>
    <n v="0"/>
    <n v="12"/>
    <n v="0"/>
    <x v="4"/>
    <x v="1"/>
    <x v="1"/>
    <n v="62.009"/>
    <n v="9301.35"/>
    <n v="2790.4050000000002"/>
    <x v="0"/>
  </r>
  <r>
    <d v="2018-02-24T00:00:00"/>
    <n v="8"/>
    <n v="5.68"/>
    <n v="7"/>
    <n v="43.5"/>
    <n v="10"/>
    <n v="0"/>
    <n v="8"/>
    <n v="3"/>
    <x v="4"/>
    <x v="1"/>
    <x v="2"/>
    <n v="85.18"/>
    <n v="12777.000000000002"/>
    <n v="3833.1000000000004"/>
    <x v="1"/>
  </r>
  <r>
    <d v="2018-02-25T00:00:00"/>
    <n v="4"/>
    <n v="1.68"/>
    <n v="2"/>
    <n v="36.799999999999997"/>
    <n v="10"/>
    <n v="0"/>
    <n v="10"/>
    <n v="2"/>
    <x v="4"/>
    <x v="1"/>
    <x v="3"/>
    <n v="66.47999999999999"/>
    <n v="9971.9999999999982"/>
    <n v="2991.5999999999995"/>
    <x v="0"/>
  </r>
  <r>
    <d v="2018-02-26T00:00:00"/>
    <n v="1"/>
    <n v="0.66"/>
    <n v="2"/>
    <n v="46.6"/>
    <n v="9"/>
    <n v="0"/>
    <n v="7"/>
    <n v="1"/>
    <x v="4"/>
    <x v="1"/>
    <x v="4"/>
    <n v="67.260000000000005"/>
    <n v="10089"/>
    <n v="3026.7"/>
    <x v="1"/>
  </r>
  <r>
    <d v="2018-02-27T00:00:00"/>
    <n v="3.33"/>
    <n v="2.65"/>
    <n v="3.4"/>
    <n v="26.7"/>
    <n v="20"/>
    <n v="9"/>
    <n v="8"/>
    <n v="1"/>
    <x v="4"/>
    <x v="1"/>
    <x v="5"/>
    <n v="74.08"/>
    <n v="11112"/>
    <n v="3333.6"/>
    <x v="1"/>
  </r>
  <r>
    <d v="2018-02-28T00:00:00"/>
    <n v="1"/>
    <n v="2.33"/>
    <n v="5.0999999999999996"/>
    <n v="44.661999999999999"/>
    <n v="21"/>
    <n v="2"/>
    <n v="0"/>
    <n v="1"/>
    <x v="4"/>
    <x v="1"/>
    <x v="6"/>
    <n v="77.091999999999999"/>
    <n v="11563.8"/>
    <n v="3469.14"/>
    <x v="1"/>
  </r>
  <r>
    <d v="2018-03-01T00:00:00"/>
    <n v="1"/>
    <n v="6.0330000000000004"/>
    <n v="1.05"/>
    <n v="26.4"/>
    <n v="26"/>
    <n v="1"/>
    <n v="12"/>
    <n v="1"/>
    <x v="4"/>
    <x v="2"/>
    <x v="0"/>
    <n v="74.483000000000004"/>
    <n v="11172.45"/>
    <n v="3351.7350000000001"/>
    <x v="1"/>
  </r>
  <r>
    <d v="2018-03-02T00:00:00"/>
    <n v="4"/>
    <n v="3"/>
    <n v="9.5"/>
    <n v="38.4"/>
    <n v="24"/>
    <n v="3"/>
    <n v="17"/>
    <n v="5.5"/>
    <x v="4"/>
    <x v="2"/>
    <x v="1"/>
    <n v="104.4"/>
    <n v="15660"/>
    <n v="4698"/>
    <x v="1"/>
  </r>
  <r>
    <d v="2018-03-03T00:00:00"/>
    <n v="8"/>
    <n v="2.363"/>
    <n v="8.15"/>
    <n v="40.186999999999998"/>
    <n v="12"/>
    <n v="1"/>
    <n v="10"/>
    <n v="4"/>
    <x v="4"/>
    <x v="2"/>
    <x v="2"/>
    <n v="85.699999999999989"/>
    <n v="12854.999999999998"/>
    <n v="3856.4999999999991"/>
    <x v="1"/>
  </r>
  <r>
    <d v="2018-03-04T00:00:00"/>
    <n v="1"/>
    <n v="3.7360000000000002"/>
    <n v="4"/>
    <n v="33.6"/>
    <n v="3"/>
    <n v="0"/>
    <n v="14"/>
    <n v="1"/>
    <x v="4"/>
    <x v="2"/>
    <x v="3"/>
    <n v="60.335999999999999"/>
    <n v="9050.4"/>
    <n v="2715.12"/>
    <x v="0"/>
  </r>
  <r>
    <d v="2018-03-05T00:00:00"/>
    <n v="4.33"/>
    <n v="5.33"/>
    <n v="6.1"/>
    <n v="25"/>
    <n v="6"/>
    <n v="0"/>
    <n v="17"/>
    <n v="1"/>
    <x v="4"/>
    <x v="2"/>
    <x v="4"/>
    <n v="64.759999999999991"/>
    <n v="9713.9999999999982"/>
    <n v="2914.1999999999994"/>
    <x v="0"/>
  </r>
  <r>
    <d v="2018-03-06T00:00:00"/>
    <n v="9.5"/>
    <n v="6.33"/>
    <n v="5.85"/>
    <n v="22.2"/>
    <n v="22"/>
    <n v="8"/>
    <n v="2"/>
    <n v="1"/>
    <x v="4"/>
    <x v="2"/>
    <x v="5"/>
    <n v="76.88"/>
    <n v="11532"/>
    <n v="3459.6"/>
    <x v="1"/>
  </r>
  <r>
    <d v="2018-03-07T00:00:00"/>
    <n v="4.5"/>
    <n v="1.67"/>
    <n v="4"/>
    <n v="20.2"/>
    <n v="31"/>
    <n v="5"/>
    <n v="11"/>
    <n v="1.4"/>
    <x v="4"/>
    <x v="2"/>
    <x v="6"/>
    <n v="78.77000000000001"/>
    <n v="11815.500000000002"/>
    <n v="3544.6500000000005"/>
    <x v="1"/>
  </r>
  <r>
    <d v="2018-03-08T00:00:00"/>
    <n v="1.33"/>
    <n v="2.7690000000000001"/>
    <n v="4"/>
    <n v="25.8"/>
    <n v="10"/>
    <n v="0"/>
    <n v="0"/>
    <n v="4"/>
    <x v="4"/>
    <x v="2"/>
    <x v="0"/>
    <n v="47.899000000000001"/>
    <n v="7184.85"/>
    <n v="2155.4549999999999"/>
    <x v="0"/>
  </r>
  <r>
    <d v="2018-03-09T00:00:00"/>
    <n v="6.33"/>
    <n v="2.1800000000000002"/>
    <n v="4.2"/>
    <n v="41"/>
    <n v="11"/>
    <n v="1"/>
    <n v="10"/>
    <n v="0"/>
    <x v="4"/>
    <x v="2"/>
    <x v="1"/>
    <n v="75.710000000000008"/>
    <n v="11356.500000000002"/>
    <n v="3406.9500000000003"/>
    <x v="1"/>
  </r>
  <r>
    <d v="2018-03-10T00:00:00"/>
    <n v="6"/>
    <n v="4.109"/>
    <n v="4"/>
    <n v="21.7"/>
    <n v="11"/>
    <n v="3"/>
    <n v="17"/>
    <n v="6"/>
    <x v="4"/>
    <x v="2"/>
    <x v="2"/>
    <n v="72.808999999999997"/>
    <n v="10921.35"/>
    <n v="3276.4050000000002"/>
    <x v="1"/>
  </r>
  <r>
    <d v="2018-03-11T00:00:00"/>
    <n v="4.66"/>
    <n v="7.54"/>
    <n v="5.6"/>
    <n v="68"/>
    <n v="0"/>
    <n v="0"/>
    <n v="11"/>
    <n v="3"/>
    <x v="4"/>
    <x v="2"/>
    <x v="3"/>
    <n v="99.8"/>
    <n v="14970"/>
    <n v="4491"/>
    <x v="1"/>
  </r>
  <r>
    <d v="2018-03-12T00:00:00"/>
    <n v="9"/>
    <n v="4.3449999999999998"/>
    <n v="3"/>
    <n v="22.2"/>
    <n v="9"/>
    <n v="0"/>
    <n v="13"/>
    <n v="8"/>
    <x v="4"/>
    <x v="2"/>
    <x v="4"/>
    <n v="68.545000000000002"/>
    <n v="10281.75"/>
    <n v="3084.5250000000001"/>
    <x v="1"/>
  </r>
  <r>
    <d v="2018-03-13T00:00:00"/>
    <n v="2"/>
    <n v="5.0659999999999998"/>
    <n v="5.2"/>
    <n v="15.2"/>
    <n v="18"/>
    <n v="0"/>
    <n v="21"/>
    <n v="5"/>
    <x v="4"/>
    <x v="2"/>
    <x v="5"/>
    <n v="71.466000000000008"/>
    <n v="10719.900000000001"/>
    <n v="3215.9700000000003"/>
    <x v="1"/>
  </r>
  <r>
    <d v="2018-03-14T00:00:00"/>
    <n v="2.34"/>
    <n v="2.34"/>
    <n v="0"/>
    <n v="31"/>
    <n v="14"/>
    <n v="2"/>
    <n v="8"/>
    <n v="4"/>
    <x v="4"/>
    <x v="2"/>
    <x v="6"/>
    <n v="63.68"/>
    <n v="9552"/>
    <n v="2865.6"/>
    <x v="0"/>
  </r>
  <r>
    <d v="2018-03-15T00:00:00"/>
    <n v="3.34"/>
    <n v="2.1320000000000001"/>
    <n v="3"/>
    <n v="23.9"/>
    <n v="10"/>
    <n v="0"/>
    <n v="10"/>
    <n v="0"/>
    <x v="4"/>
    <x v="2"/>
    <x v="0"/>
    <n v="52.372"/>
    <n v="7855.8"/>
    <n v="2356.7399999999998"/>
    <x v="0"/>
  </r>
  <r>
    <d v="2018-03-16T00:00:00"/>
    <n v="3.33"/>
    <n v="3.0659999999999998"/>
    <n v="1"/>
    <n v="29"/>
    <n v="7"/>
    <n v="0"/>
    <n v="2"/>
    <n v="1"/>
    <x v="4"/>
    <x v="2"/>
    <x v="1"/>
    <n v="46.396000000000001"/>
    <n v="6959.4000000000005"/>
    <n v="2087.8200000000002"/>
    <x v="0"/>
  </r>
  <r>
    <d v="2018-03-17T00:00:00"/>
    <n v="3.99"/>
    <n v="1.66"/>
    <n v="3.15"/>
    <n v="65"/>
    <n v="11"/>
    <n v="0"/>
    <n v="5"/>
    <n v="4"/>
    <x v="4"/>
    <x v="2"/>
    <x v="2"/>
    <n v="93.8"/>
    <n v="14070"/>
    <n v="4221"/>
    <x v="1"/>
  </r>
  <r>
    <d v="2018-03-18T00:00:00"/>
    <n v="7.33"/>
    <n v="2.9289999999999998"/>
    <n v="4.3"/>
    <n v="21.5"/>
    <n v="8"/>
    <n v="0"/>
    <n v="2"/>
    <n v="2"/>
    <x v="4"/>
    <x v="2"/>
    <x v="3"/>
    <n v="48.058999999999997"/>
    <n v="7208.8499999999995"/>
    <n v="2162.6549999999997"/>
    <x v="0"/>
  </r>
  <r>
    <d v="2018-03-19T00:00:00"/>
    <n v="4.34"/>
    <n v="1"/>
    <n v="0"/>
    <n v="19.600000000000001"/>
    <n v="11"/>
    <n v="2"/>
    <n v="18"/>
    <n v="1"/>
    <x v="4"/>
    <x v="2"/>
    <x v="4"/>
    <n v="56.94"/>
    <n v="8541"/>
    <n v="2562.2999999999997"/>
    <x v="0"/>
  </r>
  <r>
    <d v="2018-03-20T00:00:00"/>
    <n v="2.67"/>
    <n v="3.67"/>
    <n v="9"/>
    <n v="48.6"/>
    <n v="7"/>
    <n v="0"/>
    <n v="15"/>
    <n v="5"/>
    <x v="4"/>
    <x v="2"/>
    <x v="5"/>
    <n v="90.94"/>
    <n v="13641"/>
    <n v="4092.2999999999997"/>
    <x v="1"/>
  </r>
  <r>
    <d v="2018-03-21T00:00:00"/>
    <n v="2"/>
    <n v="2"/>
    <n v="2"/>
    <n v="27"/>
    <n v="4"/>
    <n v="0"/>
    <n v="9"/>
    <n v="0"/>
    <x v="4"/>
    <x v="2"/>
    <x v="6"/>
    <n v="46"/>
    <n v="6900"/>
    <n v="2070"/>
    <x v="0"/>
  </r>
  <r>
    <d v="2018-03-22T00:00:00"/>
    <n v="3"/>
    <n v="3.67"/>
    <n v="1.55"/>
    <n v="24.6"/>
    <n v="4"/>
    <n v="0"/>
    <n v="0"/>
    <n v="1"/>
    <x v="4"/>
    <x v="2"/>
    <x v="0"/>
    <n v="37.82"/>
    <n v="5673"/>
    <n v="1701.8999999999999"/>
    <x v="0"/>
  </r>
  <r>
    <d v="2018-03-23T00:00:00"/>
    <n v="5"/>
    <n v="5.3959999999999999"/>
    <n v="5.15"/>
    <n v="34"/>
    <n v="8"/>
    <n v="0"/>
    <n v="11"/>
    <n v="8.5"/>
    <x v="4"/>
    <x v="2"/>
    <x v="1"/>
    <n v="77.045999999999992"/>
    <n v="11556.9"/>
    <n v="3467.0699999999997"/>
    <x v="1"/>
  </r>
  <r>
    <d v="2018-03-24T00:00:00"/>
    <n v="7"/>
    <n v="2.34"/>
    <n v="5"/>
    <n v="40"/>
    <n v="7"/>
    <n v="1"/>
    <n v="2"/>
    <n v="0"/>
    <x v="4"/>
    <x v="2"/>
    <x v="2"/>
    <n v="64.34"/>
    <n v="9651"/>
    <n v="2895.2999999999997"/>
    <x v="0"/>
  </r>
  <r>
    <d v="2018-03-25T00:00:00"/>
    <n v="4"/>
    <n v="2.66"/>
    <n v="3.2"/>
    <n v="47.311999999999998"/>
    <n v="9"/>
    <n v="0"/>
    <n v="3"/>
    <n v="2"/>
    <x v="4"/>
    <x v="2"/>
    <x v="3"/>
    <n v="71.171999999999997"/>
    <n v="10675.8"/>
    <n v="3202.74"/>
    <x v="1"/>
  </r>
  <r>
    <d v="2018-03-26T00:00:00"/>
    <n v="5"/>
    <n v="9.66"/>
    <n v="0.2"/>
    <n v="27.6"/>
    <n v="15"/>
    <n v="4"/>
    <n v="5"/>
    <n v="3.3"/>
    <x v="4"/>
    <x v="2"/>
    <x v="4"/>
    <n v="69.760000000000005"/>
    <n v="10464"/>
    <n v="3139.2"/>
    <x v="1"/>
  </r>
  <r>
    <d v="2018-03-27T00:00:00"/>
    <n v="4.34"/>
    <n v="3.33"/>
    <n v="5.0999999999999996"/>
    <n v="28"/>
    <n v="14"/>
    <n v="1"/>
    <n v="5"/>
    <n v="2"/>
    <x v="4"/>
    <x v="2"/>
    <x v="5"/>
    <n v="62.769999999999996"/>
    <n v="9415.5"/>
    <n v="2824.65"/>
    <x v="0"/>
  </r>
  <r>
    <d v="2018-03-28T00:00:00"/>
    <n v="5.5"/>
    <n v="1.66"/>
    <n v="1"/>
    <n v="11.923999999999999"/>
    <n v="23"/>
    <n v="2"/>
    <n v="6"/>
    <n v="1.5"/>
    <x v="4"/>
    <x v="2"/>
    <x v="6"/>
    <n v="52.584000000000003"/>
    <n v="7887.6"/>
    <n v="2366.2800000000002"/>
    <x v="0"/>
  </r>
  <r>
    <d v="2018-03-29T00:00:00"/>
    <n v="7"/>
    <n v="2.33"/>
    <n v="3"/>
    <n v="28.2"/>
    <n v="5"/>
    <n v="0"/>
    <n v="7"/>
    <n v="3.3"/>
    <x v="4"/>
    <x v="2"/>
    <x v="0"/>
    <n v="55.83"/>
    <n v="8374.5"/>
    <n v="2512.35"/>
    <x v="0"/>
  </r>
  <r>
    <d v="2018-03-30T00:00:00"/>
    <n v="5.33"/>
    <n v="4.46"/>
    <n v="9"/>
    <n v="42"/>
    <n v="33"/>
    <n v="8"/>
    <n v="3"/>
    <n v="2"/>
    <x v="4"/>
    <x v="2"/>
    <x v="1"/>
    <n v="106.78999999999999"/>
    <n v="16018.499999999998"/>
    <n v="4805.5499999999993"/>
    <x v="1"/>
  </r>
  <r>
    <d v="2018-03-31T00:00:00"/>
    <n v="9"/>
    <n v="2.99"/>
    <n v="2"/>
    <n v="50"/>
    <n v="8"/>
    <n v="0"/>
    <n v="3"/>
    <n v="4"/>
    <x v="4"/>
    <x v="2"/>
    <x v="2"/>
    <n v="78.990000000000009"/>
    <n v="11848.500000000002"/>
    <n v="3554.5500000000006"/>
    <x v="1"/>
  </r>
  <r>
    <d v="2018-04-01T00:00:00"/>
    <n v="6.83"/>
    <n v="3.34"/>
    <n v="0"/>
    <n v="37"/>
    <n v="19"/>
    <n v="1"/>
    <n v="22"/>
    <n v="5"/>
    <x v="4"/>
    <x v="3"/>
    <x v="3"/>
    <n v="94.17"/>
    <n v="14125.5"/>
    <n v="4237.6499999999996"/>
    <x v="1"/>
  </r>
  <r>
    <d v="2018-04-02T00:00:00"/>
    <n v="5.66"/>
    <n v="4.3959999999999999"/>
    <n v="6.3"/>
    <n v="30"/>
    <n v="31"/>
    <n v="0"/>
    <n v="10"/>
    <n v="10"/>
    <x v="4"/>
    <x v="3"/>
    <x v="4"/>
    <n v="97.355999999999995"/>
    <n v="14603.4"/>
    <n v="4381.0199999999995"/>
    <x v="1"/>
  </r>
  <r>
    <d v="2018-04-03T00:00:00"/>
    <n v="1"/>
    <n v="2.5289999999999999"/>
    <n v="2"/>
    <n v="38"/>
    <n v="10"/>
    <n v="6"/>
    <n v="5"/>
    <n v="3.5"/>
    <x v="4"/>
    <x v="3"/>
    <x v="5"/>
    <n v="68.028999999999996"/>
    <n v="10204.349999999999"/>
    <n v="3061.3049999999994"/>
    <x v="1"/>
  </r>
  <r>
    <d v="2018-04-04T00:00:00"/>
    <n v="6.01"/>
    <n v="5.2"/>
    <n v="3"/>
    <n v="29"/>
    <n v="9"/>
    <n v="0"/>
    <n v="1"/>
    <n v="8"/>
    <x v="4"/>
    <x v="3"/>
    <x v="6"/>
    <n v="61.21"/>
    <n v="9181.5"/>
    <n v="2754.45"/>
    <x v="0"/>
  </r>
  <r>
    <d v="2018-04-05T00:00:00"/>
    <n v="6.33"/>
    <n v="3.67"/>
    <n v="5.4"/>
    <n v="39"/>
    <n v="16"/>
    <n v="1"/>
    <n v="16"/>
    <n v="3"/>
    <x v="4"/>
    <x v="3"/>
    <x v="0"/>
    <n v="90.4"/>
    <n v="13560"/>
    <n v="4068"/>
    <x v="1"/>
  </r>
  <r>
    <d v="2018-04-06T00:00:00"/>
    <n v="3.67"/>
    <n v="3"/>
    <n v="4.2"/>
    <n v="33.524999999999999"/>
    <n v="13"/>
    <n v="0"/>
    <n v="23"/>
    <n v="5"/>
    <x v="4"/>
    <x v="3"/>
    <x v="1"/>
    <n v="85.394999999999996"/>
    <n v="12809.25"/>
    <n v="3842.7749999999996"/>
    <x v="1"/>
  </r>
  <r>
    <d v="2018-04-07T00:00:00"/>
    <n v="16.18"/>
    <n v="4.5060000000000002"/>
    <n v="2"/>
    <n v="40"/>
    <n v="4"/>
    <n v="0"/>
    <n v="5"/>
    <n v="7"/>
    <x v="4"/>
    <x v="3"/>
    <x v="2"/>
    <n v="78.686000000000007"/>
    <n v="11802.900000000001"/>
    <n v="3540.8700000000003"/>
    <x v="1"/>
  </r>
  <r>
    <d v="2018-04-08T00:00:00"/>
    <n v="0"/>
    <n v="0"/>
    <n v="0"/>
    <n v="0"/>
    <n v="0"/>
    <n v="0"/>
    <n v="0"/>
    <n v="0"/>
    <x v="4"/>
    <x v="3"/>
    <x v="3"/>
    <n v="0"/>
    <n v="0"/>
    <n v="0"/>
    <x v="0"/>
  </r>
  <r>
    <d v="2018-04-09T00:00:00"/>
    <n v="5"/>
    <n v="3"/>
    <n v="6"/>
    <n v="25"/>
    <n v="6"/>
    <n v="0"/>
    <n v="10"/>
    <n v="6"/>
    <x v="4"/>
    <x v="3"/>
    <x v="4"/>
    <n v="61"/>
    <n v="9150"/>
    <n v="2745"/>
    <x v="0"/>
  </r>
  <r>
    <d v="2018-04-10T00:00:00"/>
    <n v="2"/>
    <n v="3.0670000000000002"/>
    <n v="2"/>
    <n v="38.299999999999997"/>
    <n v="18"/>
    <n v="3"/>
    <n v="7"/>
    <n v="10"/>
    <x v="4"/>
    <x v="3"/>
    <x v="5"/>
    <n v="83.36699999999999"/>
    <n v="12505.05"/>
    <n v="3751.5149999999994"/>
    <x v="1"/>
  </r>
  <r>
    <d v="2018-04-11T00:00:00"/>
    <n v="6.67"/>
    <n v="3.01"/>
    <n v="2"/>
    <n v="28"/>
    <n v="12"/>
    <n v="0"/>
    <n v="3"/>
    <n v="11"/>
    <x v="4"/>
    <x v="3"/>
    <x v="6"/>
    <n v="65.680000000000007"/>
    <n v="9852.0000000000018"/>
    <n v="2955.6000000000004"/>
    <x v="0"/>
  </r>
  <r>
    <d v="2018-04-12T00:00:00"/>
    <n v="5"/>
    <n v="4.7590000000000003"/>
    <n v="3.5"/>
    <n v="17.399999999999999"/>
    <n v="9"/>
    <n v="0"/>
    <n v="6"/>
    <n v="4.5"/>
    <x v="4"/>
    <x v="3"/>
    <x v="0"/>
    <n v="50.158999999999999"/>
    <n v="7523.8499999999995"/>
    <n v="2257.1549999999997"/>
    <x v="0"/>
  </r>
  <r>
    <d v="2018-04-13T00:00:00"/>
    <n v="4.5"/>
    <n v="2.0329999999999999"/>
    <n v="5"/>
    <n v="23"/>
    <n v="12"/>
    <n v="0"/>
    <n v="23"/>
    <n v="4"/>
    <x v="4"/>
    <x v="3"/>
    <x v="1"/>
    <n v="73.533000000000001"/>
    <n v="11029.95"/>
    <n v="3308.9850000000001"/>
    <x v="1"/>
  </r>
  <r>
    <d v="2018-04-14T00:00:00"/>
    <n v="8"/>
    <n v="3.68"/>
    <n v="2"/>
    <n v="24"/>
    <n v="2"/>
    <n v="0"/>
    <n v="3"/>
    <n v="12"/>
    <x v="4"/>
    <x v="3"/>
    <x v="2"/>
    <n v="54.68"/>
    <n v="8202"/>
    <n v="2460.6"/>
    <x v="0"/>
  </r>
  <r>
    <d v="2018-04-15T00:00:00"/>
    <n v="7.66"/>
    <n v="2.7589999999999999"/>
    <n v="3"/>
    <n v="20"/>
    <n v="5"/>
    <n v="0"/>
    <n v="0"/>
    <n v="6"/>
    <x v="4"/>
    <x v="3"/>
    <x v="3"/>
    <n v="44.418999999999997"/>
    <n v="6662.8499999999995"/>
    <n v="1998.8549999999998"/>
    <x v="0"/>
  </r>
  <r>
    <d v="2018-04-16T00:00:00"/>
    <n v="2"/>
    <n v="6.02"/>
    <n v="0.25"/>
    <n v="40.5"/>
    <n v="9"/>
    <n v="0"/>
    <n v="4"/>
    <n v="3"/>
    <x v="4"/>
    <x v="3"/>
    <x v="4"/>
    <n v="64.77"/>
    <n v="9715.5"/>
    <n v="2914.65"/>
    <x v="0"/>
  </r>
  <r>
    <d v="2018-04-17T00:00:00"/>
    <n v="3.34"/>
    <n v="1.4059999999999999"/>
    <n v="0.15"/>
    <n v="16"/>
    <n v="10"/>
    <n v="0"/>
    <n v="6"/>
    <n v="6"/>
    <x v="4"/>
    <x v="3"/>
    <x v="5"/>
    <n v="42.896000000000001"/>
    <n v="6434.4000000000005"/>
    <n v="1930.3200000000002"/>
    <x v="0"/>
  </r>
  <r>
    <d v="2018-04-18T00:00:00"/>
    <n v="5"/>
    <n v="0.54"/>
    <n v="3.25"/>
    <n v="25.25"/>
    <n v="5"/>
    <n v="0"/>
    <n v="7"/>
    <n v="1"/>
    <x v="4"/>
    <x v="3"/>
    <x v="6"/>
    <n v="47.04"/>
    <n v="7056"/>
    <n v="2116.7999999999997"/>
    <x v="0"/>
  </r>
  <r>
    <d v="2018-04-19T00:00:00"/>
    <n v="5"/>
    <n v="5.67"/>
    <n v="1"/>
    <n v="31.375"/>
    <n v="3"/>
    <n v="0"/>
    <n v="1"/>
    <n v="7"/>
    <x v="4"/>
    <x v="3"/>
    <x v="0"/>
    <n v="54.045000000000002"/>
    <n v="8106.75"/>
    <n v="2432.0250000000001"/>
    <x v="0"/>
  </r>
  <r>
    <d v="2018-04-20T00:00:00"/>
    <n v="5"/>
    <n v="4.5060000000000002"/>
    <n v="0"/>
    <n v="15"/>
    <n v="10"/>
    <n v="0"/>
    <n v="6"/>
    <n v="9"/>
    <x v="4"/>
    <x v="3"/>
    <x v="1"/>
    <n v="49.506"/>
    <n v="7425.9"/>
    <n v="2227.77"/>
    <x v="0"/>
  </r>
  <r>
    <d v="2018-04-21T00:00:00"/>
    <n v="3.5"/>
    <n v="3.4390000000000001"/>
    <n v="2"/>
    <n v="40.4"/>
    <n v="7"/>
    <n v="0"/>
    <n v="4"/>
    <n v="6.2"/>
    <x v="4"/>
    <x v="3"/>
    <x v="2"/>
    <n v="66.539000000000001"/>
    <n v="9980.85"/>
    <n v="2994.2550000000001"/>
    <x v="0"/>
  </r>
  <r>
    <d v="2018-04-22T00:00:00"/>
    <n v="6"/>
    <n v="5.09"/>
    <n v="3.5"/>
    <n v="42.5"/>
    <n v="7"/>
    <n v="0"/>
    <n v="0"/>
    <n v="6.5"/>
    <x v="4"/>
    <x v="3"/>
    <x v="3"/>
    <n v="70.59"/>
    <n v="10588.5"/>
    <n v="3176.5499999999997"/>
    <x v="1"/>
  </r>
  <r>
    <d v="2018-04-23T00:00:00"/>
    <n v="7"/>
    <n v="0.69299999999999995"/>
    <n v="1"/>
    <n v="15.561999999999999"/>
    <n v="7"/>
    <n v="0"/>
    <n v="2"/>
    <n v="9"/>
    <x v="4"/>
    <x v="3"/>
    <x v="4"/>
    <n v="42.254999999999995"/>
    <n v="6338.2499999999991"/>
    <n v="1901.4749999999997"/>
    <x v="0"/>
  </r>
  <r>
    <d v="2018-04-24T00:00:00"/>
    <n v="6"/>
    <n v="4.4619999999999997"/>
    <n v="6"/>
    <n v="20"/>
    <n v="9"/>
    <n v="0"/>
    <n v="1"/>
    <n v="12"/>
    <x v="4"/>
    <x v="3"/>
    <x v="5"/>
    <n v="58.462000000000003"/>
    <n v="8769.3000000000011"/>
    <n v="2630.7900000000004"/>
    <x v="0"/>
  </r>
  <r>
    <d v="2018-04-25T00:00:00"/>
    <n v="9"/>
    <n v="7.66"/>
    <n v="5"/>
    <n v="18.100000000000001"/>
    <n v="8"/>
    <n v="2"/>
    <n v="30"/>
    <n v="9"/>
    <x v="4"/>
    <x v="3"/>
    <x v="6"/>
    <n v="88.76"/>
    <n v="13314"/>
    <n v="3994.2"/>
    <x v="1"/>
  </r>
  <r>
    <d v="2018-04-26T00:00:00"/>
    <n v="5.33"/>
    <n v="1.099"/>
    <n v="2"/>
    <n v="18"/>
    <n v="8"/>
    <n v="0"/>
    <n v="7"/>
    <n v="5"/>
    <x v="4"/>
    <x v="3"/>
    <x v="0"/>
    <n v="46.429000000000002"/>
    <n v="6964.35"/>
    <n v="2089.3049999999998"/>
    <x v="0"/>
  </r>
  <r>
    <d v="2018-04-27T00:00:00"/>
    <n v="6.68"/>
    <n v="3.5289999999999999"/>
    <n v="3"/>
    <n v="43"/>
    <n v="12"/>
    <n v="0"/>
    <n v="6"/>
    <n v="4"/>
    <x v="4"/>
    <x v="3"/>
    <x v="1"/>
    <n v="78.209000000000003"/>
    <n v="11731.35"/>
    <n v="3519.4050000000002"/>
    <x v="1"/>
  </r>
  <r>
    <d v="2018-04-28T00:00:00"/>
    <n v="9.33"/>
    <n v="2"/>
    <n v="2.0499999999999998"/>
    <n v="27.25"/>
    <n v="11"/>
    <n v="1"/>
    <n v="6"/>
    <n v="7"/>
    <x v="4"/>
    <x v="3"/>
    <x v="2"/>
    <n v="65.63"/>
    <n v="9844.5"/>
    <n v="2953.35"/>
    <x v="0"/>
  </r>
  <r>
    <d v="2018-04-29T00:00:00"/>
    <n v="7.33"/>
    <n v="6"/>
    <n v="6"/>
    <n v="14"/>
    <n v="5"/>
    <n v="0"/>
    <n v="14"/>
    <n v="10.4"/>
    <x v="4"/>
    <x v="3"/>
    <x v="3"/>
    <n v="62.73"/>
    <n v="9409.5"/>
    <n v="2822.85"/>
    <x v="0"/>
  </r>
  <r>
    <d v="2018-04-30T00:00:00"/>
    <n v="5"/>
    <n v="6.66"/>
    <n v="3"/>
    <n v="14.125"/>
    <n v="12"/>
    <n v="0"/>
    <n v="1"/>
    <n v="7"/>
    <x v="4"/>
    <x v="3"/>
    <x v="4"/>
    <n v="48.784999999999997"/>
    <n v="7317.7499999999991"/>
    <n v="2195.3249999999998"/>
    <x v="0"/>
  </r>
  <r>
    <d v="2018-05-01T00:00:00"/>
    <n v="2.34"/>
    <n v="0"/>
    <n v="1"/>
    <n v="6.2"/>
    <n v="0"/>
    <n v="0"/>
    <n v="1"/>
    <n v="8"/>
    <x v="4"/>
    <x v="4"/>
    <x v="5"/>
    <n v="18.54"/>
    <n v="2781"/>
    <n v="834.3"/>
    <x v="0"/>
  </r>
  <r>
    <d v="2018-05-02T00:00:00"/>
    <n v="6"/>
    <n v="3.5259999999999998"/>
    <n v="2"/>
    <n v="38.200000000000003"/>
    <n v="7"/>
    <n v="0"/>
    <n v="3"/>
    <n v="9"/>
    <x v="4"/>
    <x v="4"/>
    <x v="6"/>
    <n v="68.725999999999999"/>
    <n v="10308.9"/>
    <n v="3092.6699999999996"/>
    <x v="1"/>
  </r>
  <r>
    <d v="2018-05-03T00:00:00"/>
    <n v="2.33"/>
    <n v="1.7789999999999999"/>
    <n v="2"/>
    <n v="27.262"/>
    <n v="10"/>
    <n v="0"/>
    <n v="16"/>
    <n v="10"/>
    <x v="4"/>
    <x v="4"/>
    <x v="0"/>
    <n v="69.371000000000009"/>
    <n v="10405.650000000001"/>
    <n v="3121.6950000000002"/>
    <x v="1"/>
  </r>
  <r>
    <d v="2018-05-04T00:00:00"/>
    <n v="1"/>
    <n v="2.93"/>
    <n v="5"/>
    <n v="8.75"/>
    <n v="6"/>
    <n v="0"/>
    <n v="2"/>
    <n v="10.5"/>
    <x v="4"/>
    <x v="4"/>
    <x v="1"/>
    <n v="36.18"/>
    <n v="5427"/>
    <n v="1628.1"/>
    <x v="0"/>
  </r>
  <r>
    <d v="2018-05-05T00:00:00"/>
    <n v="9"/>
    <n v="3.34"/>
    <n v="5"/>
    <n v="24"/>
    <n v="9"/>
    <n v="0"/>
    <n v="0"/>
    <n v="7"/>
    <x v="4"/>
    <x v="4"/>
    <x v="2"/>
    <n v="57.34"/>
    <n v="8601"/>
    <n v="2580.2999999999997"/>
    <x v="0"/>
  </r>
  <r>
    <d v="2018-05-06T00:00:00"/>
    <n v="3.34"/>
    <n v="10.66"/>
    <n v="0.25"/>
    <n v="18.2"/>
    <n v="9"/>
    <n v="0"/>
    <n v="3"/>
    <n v="13.5"/>
    <x v="4"/>
    <x v="4"/>
    <x v="3"/>
    <n v="57.95"/>
    <n v="8692.5"/>
    <n v="2607.75"/>
    <x v="0"/>
  </r>
  <r>
    <d v="2018-05-07T00:00:00"/>
    <n v="9.66"/>
    <n v="3.3000000000000002E-2"/>
    <n v="0"/>
    <n v="22"/>
    <n v="13"/>
    <n v="0"/>
    <n v="7"/>
    <n v="3"/>
    <x v="4"/>
    <x v="4"/>
    <x v="4"/>
    <n v="54.692999999999998"/>
    <n v="8203.9499999999989"/>
    <n v="2461.1849999999995"/>
    <x v="0"/>
  </r>
  <r>
    <d v="2018-05-08T00:00:00"/>
    <n v="10.5"/>
    <n v="5.84"/>
    <n v="1"/>
    <n v="15"/>
    <n v="14"/>
    <n v="2"/>
    <n v="1"/>
    <n v="9"/>
    <x v="4"/>
    <x v="4"/>
    <x v="5"/>
    <n v="58.34"/>
    <n v="8751"/>
    <n v="2625.2999999999997"/>
    <x v="0"/>
  </r>
  <r>
    <d v="2018-05-09T00:00:00"/>
    <n v="9.34"/>
    <n v="2.33"/>
    <n v="7"/>
    <n v="24.4"/>
    <n v="8"/>
    <n v="2"/>
    <n v="2"/>
    <n v="5"/>
    <x v="4"/>
    <x v="4"/>
    <x v="6"/>
    <n v="60.07"/>
    <n v="9010.5"/>
    <n v="2703.15"/>
    <x v="0"/>
  </r>
  <r>
    <d v="2018-05-10T00:00:00"/>
    <n v="8.5"/>
    <n v="5.32"/>
    <n v="6"/>
    <n v="39"/>
    <n v="12"/>
    <n v="0"/>
    <n v="1"/>
    <n v="6"/>
    <x v="4"/>
    <x v="4"/>
    <x v="0"/>
    <n v="77.819999999999993"/>
    <n v="11672.999999999998"/>
    <n v="3501.8999999999992"/>
    <x v="1"/>
  </r>
  <r>
    <d v="2018-05-11T00:00:00"/>
    <n v="9.33"/>
    <n v="1.34"/>
    <n v="3"/>
    <n v="19"/>
    <n v="6"/>
    <n v="0"/>
    <n v="2"/>
    <n v="10"/>
    <x v="4"/>
    <x v="4"/>
    <x v="1"/>
    <n v="50.67"/>
    <n v="7600.5"/>
    <n v="2280.15"/>
    <x v="0"/>
  </r>
  <r>
    <d v="2018-05-12T00:00:00"/>
    <n v="1.33"/>
    <n v="3.66"/>
    <n v="5.15"/>
    <n v="27"/>
    <n v="10"/>
    <n v="0"/>
    <n v="11"/>
    <n v="8"/>
    <x v="4"/>
    <x v="4"/>
    <x v="2"/>
    <n v="66.14"/>
    <n v="9921"/>
    <n v="2976.2999999999997"/>
    <x v="0"/>
  </r>
  <r>
    <d v="2018-05-13T00:00:00"/>
    <n v="5.16"/>
    <n v="5.7590000000000003"/>
    <n v="3"/>
    <n v="14.4"/>
    <n v="3"/>
    <n v="0"/>
    <n v="7"/>
    <n v="10"/>
    <x v="4"/>
    <x v="4"/>
    <x v="3"/>
    <n v="48.319000000000003"/>
    <n v="7247.85"/>
    <n v="2174.355"/>
    <x v="0"/>
  </r>
  <r>
    <d v="2018-05-14T00:00:00"/>
    <n v="6"/>
    <n v="6.5389999999999997"/>
    <n v="1"/>
    <n v="20"/>
    <n v="4"/>
    <n v="1"/>
    <n v="37"/>
    <n v="3"/>
    <x v="4"/>
    <x v="4"/>
    <x v="4"/>
    <n v="78.539000000000001"/>
    <n v="11780.85"/>
    <n v="3534.2550000000001"/>
    <x v="1"/>
  </r>
  <r>
    <d v="2018-05-15T00:00:00"/>
    <n v="4"/>
    <n v="0.67"/>
    <n v="2"/>
    <n v="14"/>
    <n v="11"/>
    <n v="0"/>
    <n v="5"/>
    <n v="7"/>
    <x v="4"/>
    <x v="4"/>
    <x v="5"/>
    <n v="43.67"/>
    <n v="6550.5"/>
    <n v="1965.1499999999999"/>
    <x v="0"/>
  </r>
  <r>
    <d v="2018-05-16T00:00:00"/>
    <n v="4.01"/>
    <n v="2.33"/>
    <n v="2.5"/>
    <n v="13.4"/>
    <n v="9"/>
    <n v="0"/>
    <n v="2"/>
    <n v="8"/>
    <x v="4"/>
    <x v="4"/>
    <x v="6"/>
    <n v="41.24"/>
    <n v="6186"/>
    <n v="1855.8"/>
    <x v="0"/>
  </r>
  <r>
    <d v="2018-05-17T00:00:00"/>
    <n v="2"/>
    <n v="2.78"/>
    <n v="3.5"/>
    <n v="16"/>
    <n v="11"/>
    <n v="0"/>
    <n v="1"/>
    <n v="4"/>
    <x v="4"/>
    <x v="4"/>
    <x v="0"/>
    <n v="40.28"/>
    <n v="6042"/>
    <n v="1812.6"/>
    <x v="0"/>
  </r>
  <r>
    <d v="2018-05-18T00:00:00"/>
    <n v="2.34"/>
    <n v="1.3959999999999999"/>
    <n v="6"/>
    <n v="30"/>
    <n v="11"/>
    <n v="0"/>
    <n v="2"/>
    <n v="2.4"/>
    <x v="4"/>
    <x v="4"/>
    <x v="1"/>
    <n v="55.136000000000003"/>
    <n v="8270.4"/>
    <n v="2481.12"/>
    <x v="0"/>
  </r>
  <r>
    <d v="2018-05-19T00:00:00"/>
    <n v="2.34"/>
    <n v="2.5609999999999999"/>
    <n v="1"/>
    <n v="18.399999999999999"/>
    <n v="7"/>
    <n v="5"/>
    <n v="0"/>
    <n v="5"/>
    <x v="4"/>
    <x v="4"/>
    <x v="2"/>
    <n v="41.301000000000002"/>
    <n v="6195.1500000000005"/>
    <n v="1858.5450000000001"/>
    <x v="0"/>
  </r>
  <r>
    <d v="2018-05-20T00:00:00"/>
    <n v="7"/>
    <n v="8.01"/>
    <n v="1"/>
    <n v="45"/>
    <n v="6"/>
    <n v="1"/>
    <n v="0"/>
    <n v="10"/>
    <x v="4"/>
    <x v="4"/>
    <x v="3"/>
    <n v="78.009999999999991"/>
    <n v="11701.499999999998"/>
    <n v="3510.4499999999994"/>
    <x v="1"/>
  </r>
  <r>
    <d v="2018-05-21T00:00:00"/>
    <n v="12"/>
    <n v="2.7589999999999999"/>
    <n v="2.15"/>
    <n v="14.6"/>
    <n v="18"/>
    <n v="0"/>
    <n v="11"/>
    <n v="5"/>
    <x v="4"/>
    <x v="4"/>
    <x v="4"/>
    <n v="65.509"/>
    <n v="9826.35"/>
    <n v="2947.9050000000002"/>
    <x v="0"/>
  </r>
  <r>
    <d v="2018-05-22T00:00:00"/>
    <n v="3.67"/>
    <n v="2.33"/>
    <n v="3"/>
    <n v="8.0619999999999994"/>
    <n v="7"/>
    <n v="0"/>
    <n v="6"/>
    <n v="6"/>
    <x v="4"/>
    <x v="4"/>
    <x v="5"/>
    <n v="36.061999999999998"/>
    <n v="5409.2999999999993"/>
    <n v="1622.7899999999997"/>
    <x v="0"/>
  </r>
  <r>
    <d v="2018-05-23T00:00:00"/>
    <n v="1.5"/>
    <n v="3.66"/>
    <n v="0"/>
    <n v="11"/>
    <n v="7"/>
    <n v="0"/>
    <n v="0"/>
    <n v="7"/>
    <x v="4"/>
    <x v="4"/>
    <x v="6"/>
    <n v="30.16"/>
    <n v="4524"/>
    <n v="1357.2"/>
    <x v="0"/>
  </r>
  <r>
    <d v="2018-05-24T00:00:00"/>
    <n v="2"/>
    <n v="1.99"/>
    <n v="5"/>
    <n v="20.2"/>
    <n v="6"/>
    <n v="1"/>
    <n v="10"/>
    <n v="1"/>
    <x v="4"/>
    <x v="4"/>
    <x v="0"/>
    <n v="47.19"/>
    <n v="7078.5"/>
    <n v="2123.5499999999997"/>
    <x v="0"/>
  </r>
  <r>
    <d v="2018-05-25T00:00:00"/>
    <n v="2.33"/>
    <n v="2.33"/>
    <n v="2"/>
    <n v="16.399999999999999"/>
    <n v="9"/>
    <n v="0"/>
    <n v="1"/>
    <n v="2"/>
    <x v="4"/>
    <x v="4"/>
    <x v="1"/>
    <n v="35.06"/>
    <n v="5259"/>
    <n v="1577.7"/>
    <x v="0"/>
  </r>
  <r>
    <d v="2018-05-26T00:00:00"/>
    <n v="3.33"/>
    <n v="2.7589999999999999"/>
    <n v="7"/>
    <n v="16.262"/>
    <n v="7"/>
    <n v="0"/>
    <n v="3"/>
    <n v="5"/>
    <x v="4"/>
    <x v="4"/>
    <x v="2"/>
    <n v="44.350999999999999"/>
    <n v="6652.65"/>
    <n v="1995.7949999999998"/>
    <x v="0"/>
  </r>
  <r>
    <d v="2018-05-27T00:00:00"/>
    <n v="6.33"/>
    <n v="4.5179999999999998"/>
    <n v="5"/>
    <n v="49.262"/>
    <n v="6"/>
    <n v="1"/>
    <n v="0"/>
    <n v="11"/>
    <x v="4"/>
    <x v="4"/>
    <x v="3"/>
    <n v="83.11"/>
    <n v="12466.5"/>
    <n v="3739.95"/>
    <x v="1"/>
  </r>
  <r>
    <d v="2018-05-28T00:00:00"/>
    <n v="7"/>
    <n v="3.01"/>
    <n v="1.2"/>
    <n v="19.600000000000001"/>
    <n v="7"/>
    <n v="0"/>
    <n v="7"/>
    <n v="6"/>
    <x v="4"/>
    <x v="4"/>
    <x v="4"/>
    <n v="50.81"/>
    <n v="7621.5"/>
    <n v="2286.4499999999998"/>
    <x v="0"/>
  </r>
  <r>
    <d v="2018-05-29T00:00:00"/>
    <n v="9"/>
    <n v="4.0330000000000004"/>
    <n v="3.3"/>
    <n v="21.25"/>
    <n v="7"/>
    <n v="0"/>
    <n v="4"/>
    <n v="6"/>
    <x v="4"/>
    <x v="4"/>
    <x v="5"/>
    <n v="54.582999999999998"/>
    <n v="8187.45"/>
    <n v="2456.2349999999997"/>
    <x v="0"/>
  </r>
  <r>
    <d v="2018-05-30T00:00:00"/>
    <n v="4.34"/>
    <n v="1.67"/>
    <n v="2"/>
    <n v="16.399999999999999"/>
    <n v="9"/>
    <n v="0"/>
    <n v="14"/>
    <n v="10"/>
    <x v="4"/>
    <x v="4"/>
    <x v="6"/>
    <n v="57.41"/>
    <n v="8611.5"/>
    <n v="2583.4499999999998"/>
    <x v="0"/>
  </r>
  <r>
    <d v="2018-05-31T00:00:00"/>
    <n v="3.5"/>
    <n v="3.66"/>
    <n v="1.35"/>
    <n v="11.4"/>
    <n v="10"/>
    <n v="0"/>
    <n v="8"/>
    <n v="5.64"/>
    <x v="4"/>
    <x v="4"/>
    <x v="0"/>
    <n v="43.55"/>
    <n v="6532.5"/>
    <n v="1959.75"/>
    <x v="0"/>
  </r>
  <r>
    <d v="2018-06-01T00:00:00"/>
    <n v="12.33"/>
    <n v="2.1800000000000002"/>
    <n v="4"/>
    <n v="29"/>
    <n v="9"/>
    <n v="0"/>
    <n v="5"/>
    <n v="3"/>
    <x v="4"/>
    <x v="5"/>
    <x v="1"/>
    <n v="64.509999999999991"/>
    <n v="9676.4999999999982"/>
    <n v="2902.9499999999994"/>
    <x v="0"/>
  </r>
  <r>
    <d v="2018-06-02T00:00:00"/>
    <n v="8"/>
    <n v="3.0859999999999999"/>
    <n v="4"/>
    <n v="23"/>
    <n v="9"/>
    <n v="3"/>
    <n v="7"/>
    <n v="9"/>
    <x v="4"/>
    <x v="5"/>
    <x v="2"/>
    <n v="66.085999999999999"/>
    <n v="9912.9"/>
    <n v="2973.87"/>
    <x v="0"/>
  </r>
  <r>
    <d v="2018-06-03T00:00:00"/>
    <n v="5"/>
    <n v="2.746"/>
    <n v="1"/>
    <n v="22.4"/>
    <n v="8"/>
    <n v="1"/>
    <n v="0"/>
    <n v="2"/>
    <x v="4"/>
    <x v="5"/>
    <x v="3"/>
    <n v="42.146000000000001"/>
    <n v="6321.9000000000005"/>
    <n v="1896.5700000000002"/>
    <x v="0"/>
  </r>
  <r>
    <d v="2018-06-04T00:00:00"/>
    <n v="3.33"/>
    <n v="3"/>
    <n v="6"/>
    <n v="19"/>
    <n v="3"/>
    <n v="0"/>
    <n v="6"/>
    <n v="6"/>
    <x v="4"/>
    <x v="5"/>
    <x v="4"/>
    <n v="46.33"/>
    <n v="6949.5"/>
    <n v="2084.85"/>
    <x v="0"/>
  </r>
  <r>
    <d v="2018-06-05T00:00:00"/>
    <n v="4.33"/>
    <n v="3.67"/>
    <n v="1.05"/>
    <n v="20"/>
    <n v="7"/>
    <n v="2"/>
    <n v="0"/>
    <n v="7"/>
    <x v="4"/>
    <x v="5"/>
    <x v="5"/>
    <n v="45.05"/>
    <n v="6757.5"/>
    <n v="2027.25"/>
    <x v="0"/>
  </r>
  <r>
    <d v="2018-06-06T00:00:00"/>
    <n v="6"/>
    <n v="2.34"/>
    <n v="0.15"/>
    <n v="17.25"/>
    <n v="16"/>
    <n v="3"/>
    <n v="0"/>
    <n v="2"/>
    <x v="4"/>
    <x v="5"/>
    <x v="6"/>
    <n v="46.74"/>
    <n v="7011"/>
    <n v="2103.2999999999997"/>
    <x v="0"/>
  </r>
  <r>
    <d v="2018-06-07T00:00:00"/>
    <n v="2"/>
    <n v="4.5279999999999996"/>
    <n v="0.25"/>
    <n v="19"/>
    <n v="11"/>
    <n v="1"/>
    <n v="10"/>
    <n v="2"/>
    <x v="4"/>
    <x v="5"/>
    <x v="0"/>
    <n v="49.777999999999999"/>
    <n v="7466.7"/>
    <n v="2240.0099999999998"/>
    <x v="0"/>
  </r>
  <r>
    <d v="2018-06-08T00:00:00"/>
    <n v="4"/>
    <n v="1.33"/>
    <n v="2"/>
    <n v="9"/>
    <n v="6"/>
    <n v="0"/>
    <n v="2"/>
    <n v="4.4000000000000004"/>
    <x v="4"/>
    <x v="5"/>
    <x v="1"/>
    <n v="28.729999999999997"/>
    <n v="4309.4999999999991"/>
    <n v="1292.8499999999997"/>
    <x v="0"/>
  </r>
  <r>
    <d v="2018-06-09T00:00:00"/>
    <n v="8"/>
    <n v="6.4619999999999997"/>
    <n v="3"/>
    <n v="21"/>
    <n v="11"/>
    <n v="0"/>
    <n v="5"/>
    <n v="0"/>
    <x v="4"/>
    <x v="5"/>
    <x v="2"/>
    <n v="54.462000000000003"/>
    <n v="8169.3"/>
    <n v="2450.79"/>
    <x v="0"/>
  </r>
  <r>
    <d v="2018-06-10T00:00:00"/>
    <n v="2.66"/>
    <n v="4.6929999999999996"/>
    <n v="5"/>
    <n v="33.200000000000003"/>
    <n v="7"/>
    <n v="0"/>
    <n v="0"/>
    <n v="3"/>
    <x v="4"/>
    <x v="5"/>
    <x v="3"/>
    <n v="55.553000000000004"/>
    <n v="8332.9500000000007"/>
    <n v="2499.8850000000002"/>
    <x v="0"/>
  </r>
  <r>
    <d v="2018-06-11T00:00:00"/>
    <n v="8"/>
    <n v="8.33"/>
    <n v="3.1"/>
    <n v="17"/>
    <n v="17"/>
    <n v="0"/>
    <n v="0"/>
    <n v="6"/>
    <x v="4"/>
    <x v="5"/>
    <x v="4"/>
    <n v="59.43"/>
    <n v="8914.5"/>
    <n v="2674.35"/>
    <x v="0"/>
  </r>
  <r>
    <d v="2018-06-12T00:00:00"/>
    <n v="2.34"/>
    <n v="4.5"/>
    <n v="4"/>
    <n v="18.186"/>
    <n v="3"/>
    <n v="0"/>
    <n v="1"/>
    <n v="7.4"/>
    <x v="4"/>
    <x v="5"/>
    <x v="5"/>
    <n v="40.425999999999995"/>
    <n v="6063.9"/>
    <n v="1819.1699999999998"/>
    <x v="0"/>
  </r>
  <r>
    <d v="2018-06-13T00:00:00"/>
    <n v="12"/>
    <n v="4.33"/>
    <n v="1.2"/>
    <n v="22.25"/>
    <n v="1"/>
    <n v="0"/>
    <n v="0"/>
    <n v="2"/>
    <x v="4"/>
    <x v="5"/>
    <x v="6"/>
    <n v="42.78"/>
    <n v="6417"/>
    <n v="1925.1"/>
    <x v="0"/>
  </r>
  <r>
    <d v="2018-06-14T00:00:00"/>
    <n v="0"/>
    <n v="1"/>
    <n v="1"/>
    <n v="22"/>
    <n v="11"/>
    <n v="0"/>
    <n v="0"/>
    <n v="2"/>
    <x v="4"/>
    <x v="5"/>
    <x v="0"/>
    <n v="37"/>
    <n v="5550"/>
    <n v="1665"/>
    <x v="0"/>
  </r>
  <r>
    <d v="2018-06-15T00:00:00"/>
    <n v="1"/>
    <n v="6.6000000000000003E-2"/>
    <n v="0.3"/>
    <n v="11.132999999999999"/>
    <n v="10"/>
    <n v="0"/>
    <n v="8"/>
    <n v="2"/>
    <x v="4"/>
    <x v="5"/>
    <x v="1"/>
    <n v="32.498999999999995"/>
    <n v="4874.8499999999995"/>
    <n v="1462.4549999999997"/>
    <x v="0"/>
  </r>
  <r>
    <d v="2018-06-16T00:00:00"/>
    <n v="3.34"/>
    <n v="6.383"/>
    <n v="5"/>
    <n v="10"/>
    <n v="5"/>
    <n v="0"/>
    <n v="2"/>
    <n v="7"/>
    <x v="4"/>
    <x v="5"/>
    <x v="2"/>
    <n v="38.722999999999999"/>
    <n v="5808.45"/>
    <n v="1742.5349999999999"/>
    <x v="0"/>
  </r>
  <r>
    <d v="2018-06-17T00:00:00"/>
    <n v="4.84"/>
    <n v="6.5860000000000003"/>
    <n v="6"/>
    <n v="24"/>
    <n v="10"/>
    <n v="0"/>
    <n v="5"/>
    <n v="4"/>
    <x v="4"/>
    <x v="5"/>
    <x v="3"/>
    <n v="60.426000000000002"/>
    <n v="9063.9"/>
    <n v="2719.1699999999996"/>
    <x v="0"/>
  </r>
  <r>
    <d v="2018-06-18T00:00:00"/>
    <n v="4.5"/>
    <n v="1.33"/>
    <n v="2.1"/>
    <n v="14"/>
    <n v="4"/>
    <n v="0"/>
    <n v="1"/>
    <n v="6"/>
    <x v="4"/>
    <x v="5"/>
    <x v="4"/>
    <n v="32.93"/>
    <n v="4939.5"/>
    <n v="1481.85"/>
    <x v="0"/>
  </r>
  <r>
    <d v="2018-06-19T00:00:00"/>
    <n v="4"/>
    <n v="3.34"/>
    <n v="4"/>
    <n v="23"/>
    <n v="8"/>
    <n v="0"/>
    <n v="5"/>
    <n v="3"/>
    <x v="4"/>
    <x v="5"/>
    <x v="5"/>
    <n v="50.34"/>
    <n v="7551.0000000000009"/>
    <n v="2265.3000000000002"/>
    <x v="0"/>
  </r>
  <r>
    <d v="2018-06-20T00:00:00"/>
    <n v="3.66"/>
    <n v="4.5279999999999996"/>
    <n v="2.5"/>
    <n v="15.061999999999999"/>
    <n v="8"/>
    <n v="3"/>
    <n v="11"/>
    <n v="2.6"/>
    <x v="4"/>
    <x v="5"/>
    <x v="6"/>
    <n v="50.35"/>
    <n v="7552.5"/>
    <n v="2265.75"/>
    <x v="0"/>
  </r>
  <r>
    <d v="2018-06-21T00:00:00"/>
    <n v="3.35"/>
    <n v="2.9129999999999998"/>
    <n v="4"/>
    <n v="36"/>
    <n v="5"/>
    <n v="0"/>
    <n v="5"/>
    <n v="10.5"/>
    <x v="4"/>
    <x v="5"/>
    <x v="0"/>
    <n v="66.763000000000005"/>
    <n v="10014.450000000001"/>
    <n v="3004.335"/>
    <x v="1"/>
  </r>
  <r>
    <d v="2018-06-22T00:00:00"/>
    <n v="5"/>
    <n v="5.0990000000000002"/>
    <n v="4.1500000000000004"/>
    <n v="12"/>
    <n v="3"/>
    <n v="0"/>
    <n v="6"/>
    <n v="5.5"/>
    <x v="4"/>
    <x v="5"/>
    <x v="1"/>
    <n v="40.749000000000002"/>
    <n v="6112.35"/>
    <n v="1833.7050000000002"/>
    <x v="0"/>
  </r>
  <r>
    <d v="2018-06-23T00:00:00"/>
    <n v="5.33"/>
    <n v="7.343"/>
    <n v="2"/>
    <n v="14"/>
    <n v="7"/>
    <n v="0"/>
    <n v="1"/>
    <n v="2"/>
    <x v="4"/>
    <x v="5"/>
    <x v="2"/>
    <n v="38.673000000000002"/>
    <n v="5800.9500000000007"/>
    <n v="1740.2850000000001"/>
    <x v="0"/>
  </r>
  <r>
    <d v="2018-06-24T00:00:00"/>
    <n v="1.67"/>
    <n v="4.7460000000000004"/>
    <n v="2"/>
    <n v="29"/>
    <n v="10"/>
    <n v="0"/>
    <n v="0"/>
    <n v="3"/>
    <x v="4"/>
    <x v="5"/>
    <x v="3"/>
    <n v="50.415999999999997"/>
    <n v="7562.4"/>
    <n v="2268.7199999999998"/>
    <x v="0"/>
  </r>
  <r>
    <d v="2018-06-25T00:00:00"/>
    <n v="3.33"/>
    <n v="3.0990000000000002"/>
    <n v="0"/>
    <n v="31.062000000000001"/>
    <n v="12"/>
    <n v="3"/>
    <n v="5"/>
    <n v="2"/>
    <x v="4"/>
    <x v="5"/>
    <x v="4"/>
    <n v="59.491"/>
    <n v="8923.65"/>
    <n v="2677.0949999999998"/>
    <x v="0"/>
  </r>
  <r>
    <d v="2018-06-26T00:00:00"/>
    <n v="10.33"/>
    <n v="5.67"/>
    <n v="3"/>
    <n v="15"/>
    <n v="6"/>
    <n v="0"/>
    <n v="9"/>
    <n v="4.4000000000000004"/>
    <x v="4"/>
    <x v="5"/>
    <x v="5"/>
    <n v="53.4"/>
    <n v="8010"/>
    <n v="2403"/>
    <x v="0"/>
  </r>
  <r>
    <d v="2018-06-27T00:00:00"/>
    <n v="2"/>
    <n v="2.3959999999999999"/>
    <n v="3"/>
    <n v="11"/>
    <n v="10"/>
    <n v="0"/>
    <n v="2"/>
    <n v="3"/>
    <x v="4"/>
    <x v="5"/>
    <x v="6"/>
    <n v="33.396000000000001"/>
    <n v="5009.4000000000005"/>
    <n v="1502.8200000000002"/>
    <x v="0"/>
  </r>
  <r>
    <d v="2018-06-28T00:00:00"/>
    <n v="3"/>
    <n v="2.1920000000000002"/>
    <n v="4"/>
    <n v="10"/>
    <n v="13"/>
    <n v="0"/>
    <n v="5"/>
    <n v="2"/>
    <x v="4"/>
    <x v="5"/>
    <x v="0"/>
    <n v="39.192"/>
    <n v="5878.8"/>
    <n v="1763.64"/>
    <x v="0"/>
  </r>
  <r>
    <d v="2018-06-29T00:00:00"/>
    <n v="1"/>
    <n v="3"/>
    <n v="2"/>
    <n v="10"/>
    <n v="8"/>
    <n v="0"/>
    <n v="0"/>
    <n v="4"/>
    <x v="4"/>
    <x v="5"/>
    <x v="1"/>
    <n v="28"/>
    <n v="4200"/>
    <n v="1260"/>
    <x v="0"/>
  </r>
  <r>
    <d v="2018-06-30T00:00:00"/>
    <n v="6.84"/>
    <n v="3.34"/>
    <n v="7"/>
    <n v="26.8"/>
    <n v="10"/>
    <n v="2"/>
    <n v="0"/>
    <n v="4"/>
    <x v="4"/>
    <x v="5"/>
    <x v="2"/>
    <n v="59.980000000000004"/>
    <n v="8997"/>
    <n v="2699.1"/>
    <x v="0"/>
  </r>
  <r>
    <d v="2018-07-01T00:00:00"/>
    <n v="2"/>
    <n v="3.6930000000000001"/>
    <n v="1"/>
    <n v="22"/>
    <n v="7"/>
    <n v="0"/>
    <n v="10"/>
    <n v="4"/>
    <x v="4"/>
    <x v="6"/>
    <x v="3"/>
    <n v="49.692999999999998"/>
    <n v="7453.95"/>
    <n v="2236.1849999999999"/>
    <x v="0"/>
  </r>
  <r>
    <d v="2018-07-02T00:00:00"/>
    <n v="3.33"/>
    <n v="6.33"/>
    <n v="3"/>
    <n v="24.6"/>
    <n v="18"/>
    <n v="0"/>
    <n v="3"/>
    <n v="7"/>
    <x v="4"/>
    <x v="6"/>
    <x v="4"/>
    <n v="65.260000000000005"/>
    <n v="9789"/>
    <n v="2936.7"/>
    <x v="0"/>
  </r>
  <r>
    <d v="2018-07-03T00:00:00"/>
    <n v="6.34"/>
    <n v="2.33"/>
    <n v="1"/>
    <n v="13.6"/>
    <n v="9"/>
    <n v="0"/>
    <n v="8"/>
    <n v="3"/>
    <x v="4"/>
    <x v="6"/>
    <x v="5"/>
    <n v="43.269999999999996"/>
    <n v="6490.4999999999991"/>
    <n v="1947.1499999999996"/>
    <x v="0"/>
  </r>
  <r>
    <d v="2018-07-04T00:00:00"/>
    <n v="1"/>
    <n v="2.83"/>
    <n v="3.5"/>
    <n v="16.25"/>
    <n v="6"/>
    <n v="0"/>
    <n v="22"/>
    <n v="7"/>
    <x v="4"/>
    <x v="6"/>
    <x v="6"/>
    <n v="58.58"/>
    <n v="8787"/>
    <n v="2636.1"/>
    <x v="0"/>
  </r>
  <r>
    <d v="2018-07-05T00:00:00"/>
    <n v="4.33"/>
    <n v="2.7589999999999999"/>
    <n v="4"/>
    <n v="15"/>
    <n v="6"/>
    <n v="3"/>
    <n v="3"/>
    <n v="1"/>
    <x v="4"/>
    <x v="6"/>
    <x v="0"/>
    <n v="39.088999999999999"/>
    <n v="5863.3499999999995"/>
    <n v="1759.0049999999999"/>
    <x v="0"/>
  </r>
  <r>
    <d v="2018-07-06T00:00:00"/>
    <n v="2.33"/>
    <n v="5.33"/>
    <n v="1.25"/>
    <n v="20"/>
    <n v="15"/>
    <n v="0"/>
    <n v="0"/>
    <n v="6"/>
    <x v="4"/>
    <x v="6"/>
    <x v="1"/>
    <n v="49.91"/>
    <n v="7486.4999999999991"/>
    <n v="2245.9499999999998"/>
    <x v="0"/>
  </r>
  <r>
    <d v="2018-07-07T00:00:00"/>
    <n v="6.33"/>
    <n v="8.52"/>
    <n v="7"/>
    <n v="19"/>
    <n v="14"/>
    <n v="0"/>
    <n v="0"/>
    <n v="5.5"/>
    <x v="4"/>
    <x v="6"/>
    <x v="2"/>
    <n v="60.35"/>
    <n v="9052.5"/>
    <n v="2715.75"/>
    <x v="0"/>
  </r>
  <r>
    <d v="2018-07-08T00:00:00"/>
    <n v="7.33"/>
    <n v="5.2110000000000003"/>
    <n v="2"/>
    <n v="28"/>
    <n v="10"/>
    <n v="0"/>
    <n v="5"/>
    <n v="4"/>
    <x v="4"/>
    <x v="6"/>
    <x v="3"/>
    <n v="61.540999999999997"/>
    <n v="9231.15"/>
    <n v="2769.3449999999998"/>
    <x v="0"/>
  </r>
  <r>
    <d v="2018-07-09T00:00:00"/>
    <n v="3.33"/>
    <n v="2"/>
    <n v="4"/>
    <n v="31"/>
    <n v="12"/>
    <n v="3"/>
    <n v="0"/>
    <n v="3"/>
    <x v="4"/>
    <x v="6"/>
    <x v="4"/>
    <n v="58.33"/>
    <n v="8749.5"/>
    <n v="2624.85"/>
    <x v="0"/>
  </r>
  <r>
    <d v="2018-07-10T00:00:00"/>
    <n v="6"/>
    <n v="6.36"/>
    <n v="4"/>
    <n v="34"/>
    <n v="9"/>
    <n v="2"/>
    <n v="2"/>
    <n v="4"/>
    <x v="4"/>
    <x v="6"/>
    <x v="5"/>
    <n v="67.36"/>
    <n v="10104"/>
    <n v="3031.2"/>
    <x v="1"/>
  </r>
  <r>
    <d v="2018-07-11T00:00:00"/>
    <n v="10"/>
    <n v="3.363"/>
    <n v="3"/>
    <n v="29.4"/>
    <n v="13"/>
    <n v="0"/>
    <n v="6"/>
    <n v="2"/>
    <x v="4"/>
    <x v="6"/>
    <x v="6"/>
    <n v="66.763000000000005"/>
    <n v="10014.450000000001"/>
    <n v="3004.335"/>
    <x v="1"/>
  </r>
  <r>
    <d v="2018-07-12T00:00:00"/>
    <n v="3"/>
    <n v="4.34"/>
    <n v="7"/>
    <n v="24"/>
    <n v="11"/>
    <n v="4"/>
    <n v="0"/>
    <n v="3"/>
    <x v="4"/>
    <x v="6"/>
    <x v="0"/>
    <n v="56.34"/>
    <n v="8451"/>
    <n v="2535.2999999999997"/>
    <x v="0"/>
  </r>
  <r>
    <d v="2018-07-13T00:00:00"/>
    <n v="1.34"/>
    <n v="2.67"/>
    <n v="1.1499999999999999"/>
    <n v="22"/>
    <n v="5"/>
    <n v="0"/>
    <n v="2"/>
    <n v="3"/>
    <x v="4"/>
    <x v="6"/>
    <x v="1"/>
    <n v="37.159999999999997"/>
    <n v="5573.9999999999991"/>
    <n v="1672.1999999999996"/>
    <x v="0"/>
  </r>
  <r>
    <d v="2018-07-14T00:00:00"/>
    <n v="0"/>
    <n v="3.2"/>
    <n v="0"/>
    <n v="26"/>
    <n v="8"/>
    <n v="0"/>
    <n v="0"/>
    <n v="1.4"/>
    <x v="4"/>
    <x v="6"/>
    <x v="2"/>
    <n v="38.6"/>
    <n v="5790"/>
    <n v="1737"/>
    <x v="0"/>
  </r>
  <r>
    <d v="2018-07-15T00:00:00"/>
    <n v="10"/>
    <n v="9.42"/>
    <n v="3.5"/>
    <n v="23"/>
    <n v="4"/>
    <n v="0"/>
    <n v="1"/>
    <n v="7"/>
    <x v="4"/>
    <x v="6"/>
    <x v="3"/>
    <n v="57.92"/>
    <n v="8688"/>
    <n v="2606.4"/>
    <x v="0"/>
  </r>
  <r>
    <d v="2018-07-16T00:00:00"/>
    <n v="9.33"/>
    <n v="5.0229999999999997"/>
    <n v="1"/>
    <n v="22"/>
    <n v="8"/>
    <n v="0"/>
    <n v="0"/>
    <n v="3"/>
    <x v="4"/>
    <x v="6"/>
    <x v="4"/>
    <n v="48.353000000000002"/>
    <n v="7252.95"/>
    <n v="2175.8849999999998"/>
    <x v="0"/>
  </r>
  <r>
    <d v="2018-07-17T00:00:00"/>
    <n v="2.33"/>
    <n v="3.66"/>
    <n v="2"/>
    <n v="29.4"/>
    <n v="13"/>
    <n v="0"/>
    <n v="0"/>
    <n v="6"/>
    <x v="4"/>
    <x v="6"/>
    <x v="5"/>
    <n v="56.39"/>
    <n v="8458.5"/>
    <n v="2537.5499999999997"/>
    <x v="0"/>
  </r>
  <r>
    <d v="2018-07-18T00:00:00"/>
    <n v="2.5"/>
    <n v="2.8370000000000002"/>
    <n v="5"/>
    <n v="10"/>
    <n v="17"/>
    <n v="0"/>
    <n v="12"/>
    <n v="6"/>
    <x v="4"/>
    <x v="6"/>
    <x v="6"/>
    <n v="55.337000000000003"/>
    <n v="8300.5500000000011"/>
    <n v="2490.1650000000004"/>
    <x v="0"/>
  </r>
  <r>
    <d v="2018-07-19T00:00:00"/>
    <n v="6.84"/>
    <n v="4"/>
    <n v="3"/>
    <n v="16"/>
    <n v="14"/>
    <n v="1"/>
    <n v="0"/>
    <n v="3"/>
    <x v="4"/>
    <x v="6"/>
    <x v="0"/>
    <n v="47.84"/>
    <n v="7176.0000000000009"/>
    <n v="2152.8000000000002"/>
    <x v="0"/>
  </r>
  <r>
    <d v="2018-07-20T00:00:00"/>
    <n v="5"/>
    <n v="7.1769999999999996"/>
    <n v="5"/>
    <n v="35.200000000000003"/>
    <n v="2"/>
    <n v="1"/>
    <n v="2"/>
    <n v="4"/>
    <x v="4"/>
    <x v="6"/>
    <x v="1"/>
    <n v="61.377000000000002"/>
    <n v="9206.5500000000011"/>
    <n v="2761.9650000000001"/>
    <x v="0"/>
  </r>
  <r>
    <d v="2018-07-21T00:00:00"/>
    <n v="4"/>
    <n v="5.0199999999999996"/>
    <n v="0.3"/>
    <n v="22"/>
    <n v="7"/>
    <n v="0"/>
    <n v="5"/>
    <n v="1"/>
    <x v="4"/>
    <x v="6"/>
    <x v="2"/>
    <n v="44.32"/>
    <n v="6648"/>
    <n v="1994.3999999999999"/>
    <x v="0"/>
  </r>
  <r>
    <d v="2018-07-22T00:00:00"/>
    <n v="3.66"/>
    <n v="4.34"/>
    <n v="0"/>
    <n v="31"/>
    <n v="4"/>
    <n v="0"/>
    <n v="5"/>
    <n v="6"/>
    <x v="4"/>
    <x v="6"/>
    <x v="3"/>
    <n v="54"/>
    <n v="8100"/>
    <n v="2430"/>
    <x v="0"/>
  </r>
  <r>
    <d v="2018-07-23T00:00:00"/>
    <n v="8.68"/>
    <n v="1.863"/>
    <n v="2.1"/>
    <n v="12"/>
    <n v="15"/>
    <n v="1"/>
    <n v="0"/>
    <n v="5.3"/>
    <x v="4"/>
    <x v="6"/>
    <x v="4"/>
    <n v="45.942999999999998"/>
    <n v="6891.45"/>
    <n v="2067.4349999999999"/>
    <x v="0"/>
  </r>
  <r>
    <d v="2018-07-24T00:00:00"/>
    <n v="9.68"/>
    <n v="4"/>
    <n v="2"/>
    <n v="22"/>
    <n v="4"/>
    <n v="1"/>
    <n v="2"/>
    <n v="2"/>
    <x v="4"/>
    <x v="6"/>
    <x v="5"/>
    <n v="46.68"/>
    <n v="7002"/>
    <n v="2100.6"/>
    <x v="0"/>
  </r>
  <r>
    <d v="2018-07-25T00:00:00"/>
    <n v="5"/>
    <n v="2.68"/>
    <n v="2"/>
    <n v="16"/>
    <n v="7"/>
    <n v="0"/>
    <n v="0"/>
    <n v="2"/>
    <x v="4"/>
    <x v="6"/>
    <x v="6"/>
    <n v="34.68"/>
    <n v="5202"/>
    <n v="1560.6"/>
    <x v="0"/>
  </r>
  <r>
    <d v="2018-07-26T00:00:00"/>
    <n v="4.33"/>
    <n v="1.827"/>
    <n v="5"/>
    <n v="24"/>
    <n v="4"/>
    <n v="0"/>
    <n v="1"/>
    <n v="4"/>
    <x v="4"/>
    <x v="6"/>
    <x v="0"/>
    <n v="44.156999999999996"/>
    <n v="6623.5499999999993"/>
    <n v="1987.0649999999996"/>
    <x v="0"/>
  </r>
  <r>
    <d v="2018-07-27T00:00:00"/>
    <n v="2.34"/>
    <n v="3.34"/>
    <n v="3"/>
    <n v="19.399999999999999"/>
    <n v="11"/>
    <n v="0"/>
    <n v="1"/>
    <n v="6"/>
    <x v="4"/>
    <x v="6"/>
    <x v="1"/>
    <n v="46.08"/>
    <n v="6912"/>
    <n v="2073.6"/>
    <x v="0"/>
  </r>
  <r>
    <d v="2018-07-28T00:00:00"/>
    <n v="6"/>
    <n v="4.01"/>
    <n v="1"/>
    <n v="24.5"/>
    <n v="9"/>
    <n v="0"/>
    <n v="0"/>
    <n v="3"/>
    <x v="4"/>
    <x v="6"/>
    <x v="2"/>
    <n v="47.51"/>
    <n v="7126.5"/>
    <n v="2137.9499999999998"/>
    <x v="0"/>
  </r>
  <r>
    <d v="2018-07-29T00:00:00"/>
    <n v="3.5"/>
    <n v="4.3499999999999996"/>
    <n v="2.1"/>
    <n v="9"/>
    <n v="7"/>
    <n v="1"/>
    <n v="0"/>
    <n v="3"/>
    <x v="4"/>
    <x v="6"/>
    <x v="3"/>
    <n v="29.95"/>
    <n v="4492.5"/>
    <n v="1347.75"/>
    <x v="0"/>
  </r>
  <r>
    <d v="2018-07-30T00:00:00"/>
    <n v="3"/>
    <n v="6.33"/>
    <n v="5.3"/>
    <n v="26"/>
    <n v="9"/>
    <n v="2"/>
    <n v="0"/>
    <n v="4"/>
    <x v="4"/>
    <x v="6"/>
    <x v="4"/>
    <n v="55.629999999999995"/>
    <n v="8344.5"/>
    <n v="2503.35"/>
    <x v="0"/>
  </r>
  <r>
    <d v="2018-07-31T00:00:00"/>
    <n v="7.33"/>
    <n v="3.7360000000000002"/>
    <n v="3"/>
    <n v="13"/>
    <n v="5"/>
    <n v="0"/>
    <n v="0"/>
    <n v="3"/>
    <x v="4"/>
    <x v="6"/>
    <x v="5"/>
    <n v="35.066000000000003"/>
    <n v="5259.9000000000005"/>
    <n v="1577.97"/>
    <x v="0"/>
  </r>
  <r>
    <d v="2018-08-01T00:00:00"/>
    <n v="1"/>
    <n v="2.34"/>
    <n v="1"/>
    <n v="14"/>
    <n v="9"/>
    <n v="1"/>
    <n v="1"/>
    <n v="7"/>
    <x v="4"/>
    <x v="7"/>
    <x v="6"/>
    <n v="36.340000000000003"/>
    <n v="5451.0000000000009"/>
    <n v="1635.3000000000002"/>
    <x v="0"/>
  </r>
  <r>
    <d v="2018-08-02T00:00:00"/>
    <n v="0"/>
    <n v="1"/>
    <n v="0"/>
    <n v="11"/>
    <n v="11"/>
    <n v="0"/>
    <n v="2"/>
    <n v="5"/>
    <x v="4"/>
    <x v="7"/>
    <x v="0"/>
    <n v="30"/>
    <n v="4500"/>
    <n v="1350"/>
    <x v="0"/>
  </r>
  <r>
    <d v="2018-08-03T00:00:00"/>
    <n v="4.01"/>
    <n v="2.67"/>
    <n v="2"/>
    <n v="21"/>
    <n v="9"/>
    <n v="0"/>
    <n v="0"/>
    <n v="1"/>
    <x v="4"/>
    <x v="7"/>
    <x v="1"/>
    <n v="39.68"/>
    <n v="5952"/>
    <n v="1785.6"/>
    <x v="0"/>
  </r>
  <r>
    <d v="2018-08-04T00:00:00"/>
    <n v="5"/>
    <n v="3.87"/>
    <n v="2"/>
    <n v="8"/>
    <n v="11"/>
    <n v="3"/>
    <n v="0"/>
    <n v="8"/>
    <x v="4"/>
    <x v="7"/>
    <x v="2"/>
    <n v="40.870000000000005"/>
    <n v="6130.5000000000009"/>
    <n v="1839.1500000000003"/>
    <x v="0"/>
  </r>
  <r>
    <d v="2018-08-05T00:00:00"/>
    <n v="6"/>
    <n v="0.99"/>
    <n v="5"/>
    <n v="13"/>
    <n v="4"/>
    <n v="2"/>
    <n v="6"/>
    <n v="1.3"/>
    <x v="4"/>
    <x v="7"/>
    <x v="3"/>
    <n v="38.29"/>
    <n v="5743.5"/>
    <n v="1723.05"/>
    <x v="0"/>
  </r>
  <r>
    <d v="2018-08-06T00:00:00"/>
    <n v="8.33"/>
    <n v="6.165"/>
    <n v="2"/>
    <n v="21.388000000000002"/>
    <n v="7"/>
    <n v="0"/>
    <n v="6"/>
    <n v="2"/>
    <x v="4"/>
    <x v="7"/>
    <x v="4"/>
    <n v="52.883000000000003"/>
    <n v="7932.4500000000007"/>
    <n v="2379.7350000000001"/>
    <x v="0"/>
  </r>
  <r>
    <d v="2018-08-07T00:00:00"/>
    <n v="2.33"/>
    <n v="2.67"/>
    <n v="8"/>
    <n v="15"/>
    <n v="7"/>
    <n v="1"/>
    <n v="1"/>
    <n v="3"/>
    <x v="4"/>
    <x v="7"/>
    <x v="5"/>
    <n v="40"/>
    <n v="6000"/>
    <n v="1800"/>
    <x v="0"/>
  </r>
  <r>
    <d v="2018-08-08T00:00:00"/>
    <n v="4.33"/>
    <n v="2.7930000000000001"/>
    <n v="2"/>
    <n v="10"/>
    <n v="13"/>
    <n v="0"/>
    <n v="0"/>
    <n v="2"/>
    <x v="4"/>
    <x v="7"/>
    <x v="6"/>
    <n v="34.123000000000005"/>
    <n v="5118.4500000000007"/>
    <n v="1535.5350000000001"/>
    <x v="0"/>
  </r>
  <r>
    <d v="2018-08-09T00:00:00"/>
    <n v="2.67"/>
    <n v="3.0659999999999998"/>
    <n v="1"/>
    <n v="29.4"/>
    <n v="13"/>
    <n v="0"/>
    <n v="0"/>
    <n v="2"/>
    <x v="4"/>
    <x v="7"/>
    <x v="0"/>
    <n v="51.135999999999996"/>
    <n v="7670.4"/>
    <n v="2301.12"/>
    <x v="0"/>
  </r>
  <r>
    <d v="2018-08-10T00:00:00"/>
    <n v="6"/>
    <n v="4"/>
    <n v="4"/>
    <n v="19"/>
    <n v="4"/>
    <n v="0"/>
    <n v="0"/>
    <n v="2"/>
    <x v="4"/>
    <x v="7"/>
    <x v="1"/>
    <n v="39"/>
    <n v="5850"/>
    <n v="1755"/>
    <x v="0"/>
  </r>
  <r>
    <d v="2018-08-11T00:00:00"/>
    <n v="4"/>
    <n v="4.133"/>
    <n v="6"/>
    <n v="37"/>
    <n v="16"/>
    <n v="1"/>
    <n v="5"/>
    <n v="10"/>
    <x v="4"/>
    <x v="7"/>
    <x v="2"/>
    <n v="83.132999999999996"/>
    <n v="12469.949999999999"/>
    <n v="3740.9849999999997"/>
    <x v="1"/>
  </r>
  <r>
    <d v="2018-08-12T00:00:00"/>
    <n v="10.99"/>
    <n v="4.99"/>
    <n v="6"/>
    <n v="16"/>
    <n v="6"/>
    <n v="0"/>
    <n v="1"/>
    <n v="2"/>
    <x v="4"/>
    <x v="7"/>
    <x v="3"/>
    <n v="46.980000000000004"/>
    <n v="7047.0000000000009"/>
    <n v="2114.1000000000004"/>
    <x v="0"/>
  </r>
  <r>
    <d v="2018-08-13T00:00:00"/>
    <n v="3.33"/>
    <n v="5.0199999999999996"/>
    <n v="2"/>
    <n v="23.25"/>
    <n v="15"/>
    <n v="0"/>
    <n v="3"/>
    <n v="2"/>
    <x v="4"/>
    <x v="7"/>
    <x v="4"/>
    <n v="53.6"/>
    <n v="8040"/>
    <n v="2412"/>
    <x v="0"/>
  </r>
  <r>
    <d v="2018-08-14T00:00:00"/>
    <n v="1.33"/>
    <n v="2.7360000000000002"/>
    <n v="5"/>
    <n v="12"/>
    <n v="9"/>
    <n v="0"/>
    <n v="4"/>
    <n v="5"/>
    <x v="4"/>
    <x v="7"/>
    <x v="5"/>
    <n v="39.066000000000003"/>
    <n v="5859.9000000000005"/>
    <n v="1757.97"/>
    <x v="0"/>
  </r>
  <r>
    <d v="2018-08-15T00:00:00"/>
    <n v="8.34"/>
    <n v="4.1989999999999998"/>
    <n v="2"/>
    <n v="32.200000000000003"/>
    <n v="13"/>
    <n v="2"/>
    <n v="0"/>
    <n v="1"/>
    <x v="4"/>
    <x v="7"/>
    <x v="6"/>
    <n v="62.739000000000004"/>
    <n v="9410.85"/>
    <n v="2823.2550000000001"/>
    <x v="0"/>
  </r>
  <r>
    <d v="2018-08-16T00:00:00"/>
    <n v="3.33"/>
    <n v="8.7289999999999992"/>
    <n v="4"/>
    <n v="27.4"/>
    <n v="6"/>
    <n v="3"/>
    <n v="5"/>
    <n v="5"/>
    <x v="4"/>
    <x v="7"/>
    <x v="0"/>
    <n v="62.458999999999996"/>
    <n v="9368.8499999999985"/>
    <n v="2810.6549999999993"/>
    <x v="0"/>
  </r>
  <r>
    <d v="2018-08-17T00:00:00"/>
    <n v="2.33"/>
    <n v="2.99"/>
    <n v="2.4"/>
    <n v="23"/>
    <n v="5"/>
    <n v="1"/>
    <n v="5"/>
    <n v="1"/>
    <x v="4"/>
    <x v="7"/>
    <x v="1"/>
    <n v="42.72"/>
    <n v="6408"/>
    <n v="1922.3999999999999"/>
    <x v="0"/>
  </r>
  <r>
    <d v="2018-08-18T00:00:00"/>
    <n v="6.33"/>
    <n v="5.34"/>
    <n v="0"/>
    <n v="32.1"/>
    <n v="5"/>
    <n v="1"/>
    <n v="6"/>
    <n v="0"/>
    <x v="4"/>
    <x v="7"/>
    <x v="2"/>
    <n v="55.77"/>
    <n v="8365.5"/>
    <n v="2509.65"/>
    <x v="0"/>
  </r>
  <r>
    <d v="2018-08-19T00:00:00"/>
    <n v="6.33"/>
    <n v="4.4950000000000001"/>
    <n v="1"/>
    <n v="19.899999999999999"/>
    <n v="3"/>
    <n v="0"/>
    <n v="5"/>
    <n v="6"/>
    <x v="4"/>
    <x v="7"/>
    <x v="3"/>
    <n v="45.724999999999994"/>
    <n v="6858.7499999999991"/>
    <n v="2057.6249999999995"/>
    <x v="0"/>
  </r>
  <r>
    <d v="2018-08-20T00:00:00"/>
    <n v="4"/>
    <n v="5.68"/>
    <n v="4.2"/>
    <n v="21.4"/>
    <n v="7"/>
    <n v="0"/>
    <n v="20"/>
    <n v="3"/>
    <x v="4"/>
    <x v="7"/>
    <x v="4"/>
    <n v="65.28"/>
    <n v="9792"/>
    <n v="2937.6"/>
    <x v="0"/>
  </r>
  <r>
    <d v="2018-08-21T00:00:00"/>
    <n v="2.34"/>
    <n v="3"/>
    <n v="2.15"/>
    <n v="26.2"/>
    <n v="4"/>
    <n v="1"/>
    <n v="1"/>
    <n v="4"/>
    <x v="4"/>
    <x v="7"/>
    <x v="5"/>
    <n v="43.69"/>
    <n v="6553.5"/>
    <n v="1966.05"/>
    <x v="0"/>
  </r>
  <r>
    <d v="2018-08-22T00:00:00"/>
    <n v="5"/>
    <n v="4.33"/>
    <n v="0"/>
    <n v="18"/>
    <n v="4"/>
    <n v="1"/>
    <n v="0"/>
    <n v="4"/>
    <x v="4"/>
    <x v="7"/>
    <x v="6"/>
    <n v="36.33"/>
    <n v="5449.5"/>
    <n v="1634.85"/>
    <x v="0"/>
  </r>
  <r>
    <d v="2018-08-23T00:00:00"/>
    <n v="5"/>
    <n v="4.0670000000000002"/>
    <n v="4"/>
    <n v="35"/>
    <n v="8"/>
    <n v="0"/>
    <n v="23"/>
    <n v="3"/>
    <x v="4"/>
    <x v="7"/>
    <x v="0"/>
    <n v="82.067000000000007"/>
    <n v="12310.050000000001"/>
    <n v="3693.0150000000003"/>
    <x v="1"/>
  </r>
  <r>
    <d v="2018-08-24T00:00:00"/>
    <n v="4"/>
    <n v="2.34"/>
    <n v="1"/>
    <n v="38.5"/>
    <n v="7"/>
    <n v="0"/>
    <n v="21"/>
    <n v="4"/>
    <x v="4"/>
    <x v="7"/>
    <x v="1"/>
    <n v="77.84"/>
    <n v="11676"/>
    <n v="3502.7999999999997"/>
    <x v="1"/>
  </r>
  <r>
    <d v="2018-08-25T00:00:00"/>
    <n v="3.67"/>
    <n v="4.01"/>
    <n v="3.2"/>
    <n v="27"/>
    <n v="4"/>
    <n v="0"/>
    <n v="6"/>
    <n v="2.5"/>
    <x v="4"/>
    <x v="7"/>
    <x v="2"/>
    <n v="50.379999999999995"/>
    <n v="7556.9999999999991"/>
    <n v="2267.0999999999995"/>
    <x v="0"/>
  </r>
  <r>
    <d v="2018-08-26T00:00:00"/>
    <n v="11.33"/>
    <n v="6.67"/>
    <n v="4"/>
    <n v="57"/>
    <n v="10"/>
    <n v="0"/>
    <n v="8"/>
    <n v="4.3"/>
    <x v="4"/>
    <x v="7"/>
    <x v="3"/>
    <n v="101.3"/>
    <n v="15195"/>
    <n v="4558.5"/>
    <x v="1"/>
  </r>
  <r>
    <d v="2018-08-27T00:00:00"/>
    <n v="3.34"/>
    <n v="1"/>
    <n v="9"/>
    <n v="16"/>
    <n v="6"/>
    <n v="0"/>
    <n v="1"/>
    <n v="1"/>
    <x v="4"/>
    <x v="7"/>
    <x v="4"/>
    <n v="37.340000000000003"/>
    <n v="5601.0000000000009"/>
    <n v="1680.3000000000002"/>
    <x v="0"/>
  </r>
  <r>
    <d v="2018-08-28T00:00:00"/>
    <n v="2"/>
    <n v="2.68"/>
    <n v="1"/>
    <n v="26.4"/>
    <n v="7"/>
    <n v="1"/>
    <n v="0"/>
    <n v="3"/>
    <x v="4"/>
    <x v="7"/>
    <x v="5"/>
    <n v="43.08"/>
    <n v="6462"/>
    <n v="1938.6"/>
    <x v="0"/>
  </r>
  <r>
    <d v="2018-08-29T00:00:00"/>
    <n v="6.67"/>
    <n v="2.67"/>
    <n v="1.3"/>
    <n v="28.5"/>
    <n v="10"/>
    <n v="1"/>
    <n v="5"/>
    <n v="3"/>
    <x v="4"/>
    <x v="7"/>
    <x v="6"/>
    <n v="58.14"/>
    <n v="8721"/>
    <n v="2616.2999999999997"/>
    <x v="0"/>
  </r>
  <r>
    <d v="2018-08-30T00:00:00"/>
    <n v="2.33"/>
    <n v="2.7360000000000002"/>
    <n v="3"/>
    <n v="38"/>
    <n v="7"/>
    <n v="0"/>
    <n v="4"/>
    <n v="2"/>
    <x v="4"/>
    <x v="7"/>
    <x v="0"/>
    <n v="59.066000000000003"/>
    <n v="8859.9"/>
    <n v="2657.97"/>
    <x v="0"/>
  </r>
  <r>
    <d v="2018-08-31T00:00:00"/>
    <n v="4.34"/>
    <n v="3.34"/>
    <n v="0"/>
    <n v="17.2"/>
    <n v="13"/>
    <n v="1"/>
    <n v="20"/>
    <n v="4"/>
    <x v="4"/>
    <x v="7"/>
    <x v="1"/>
    <n v="62.879999999999995"/>
    <n v="9432"/>
    <n v="2829.6"/>
    <x v="0"/>
  </r>
  <r>
    <d v="2018-09-01T00:00:00"/>
    <n v="2.34"/>
    <n v="0"/>
    <n v="2.2000000000000002"/>
    <n v="19"/>
    <n v="6"/>
    <n v="1"/>
    <n v="1"/>
    <n v="2"/>
    <x v="4"/>
    <x v="8"/>
    <x v="2"/>
    <n v="33.54"/>
    <n v="5031"/>
    <n v="1509.3"/>
    <x v="0"/>
  </r>
  <r>
    <d v="2018-09-02T00:00:00"/>
    <n v="6.68"/>
    <n v="5.3730000000000002"/>
    <n v="3"/>
    <n v="20"/>
    <n v="5"/>
    <n v="0"/>
    <n v="5"/>
    <n v="2"/>
    <x v="4"/>
    <x v="8"/>
    <x v="3"/>
    <n v="47.052999999999997"/>
    <n v="7057.95"/>
    <n v="2117.3849999999998"/>
    <x v="0"/>
  </r>
  <r>
    <d v="2018-09-03T00:00:00"/>
    <n v="1"/>
    <n v="2.02"/>
    <n v="2"/>
    <n v="27.4"/>
    <n v="12"/>
    <n v="0"/>
    <n v="0"/>
    <n v="4"/>
    <x v="4"/>
    <x v="8"/>
    <x v="4"/>
    <n v="48.42"/>
    <n v="7263"/>
    <n v="2178.9"/>
    <x v="0"/>
  </r>
  <r>
    <d v="2018-09-04T00:00:00"/>
    <n v="4"/>
    <n v="1.0860000000000001"/>
    <n v="1"/>
    <n v="22"/>
    <n v="7"/>
    <n v="0"/>
    <n v="3"/>
    <n v="2"/>
    <x v="4"/>
    <x v="8"/>
    <x v="5"/>
    <n v="40.085999999999999"/>
    <n v="6012.9"/>
    <n v="1803.87"/>
    <x v="0"/>
  </r>
  <r>
    <d v="2018-09-05T00:00:00"/>
    <n v="6.5"/>
    <n v="3.33"/>
    <n v="1.5"/>
    <n v="28"/>
    <n v="11"/>
    <n v="0"/>
    <n v="3"/>
    <n v="2"/>
    <x v="4"/>
    <x v="8"/>
    <x v="6"/>
    <n v="55.33"/>
    <n v="8299.5"/>
    <n v="2489.85"/>
    <x v="0"/>
  </r>
  <r>
    <d v="2018-09-06T00:00:00"/>
    <n v="6.66"/>
    <n v="4.056"/>
    <n v="3"/>
    <n v="18.399999999999999"/>
    <n v="13"/>
    <n v="0"/>
    <n v="5"/>
    <n v="0"/>
    <x v="4"/>
    <x v="8"/>
    <x v="0"/>
    <n v="50.116"/>
    <n v="7517.4"/>
    <n v="2255.2199999999998"/>
    <x v="0"/>
  </r>
  <r>
    <d v="2018-09-07T00:00:00"/>
    <n v="2"/>
    <n v="1.746"/>
    <n v="4"/>
    <n v="42"/>
    <n v="6"/>
    <n v="0"/>
    <n v="22"/>
    <n v="7.7"/>
    <x v="4"/>
    <x v="8"/>
    <x v="1"/>
    <n v="85.446000000000012"/>
    <n v="12816.900000000001"/>
    <n v="3845.07"/>
    <x v="1"/>
  </r>
  <r>
    <d v="2018-09-08T00:00:00"/>
    <n v="10"/>
    <n v="2.34"/>
    <n v="6.1"/>
    <n v="35.4"/>
    <n v="12"/>
    <n v="0"/>
    <n v="10"/>
    <n v="1"/>
    <x v="4"/>
    <x v="8"/>
    <x v="2"/>
    <n v="76.84"/>
    <n v="11526"/>
    <n v="3457.7999999999997"/>
    <x v="1"/>
  </r>
  <r>
    <d v="2018-09-09T00:00:00"/>
    <n v="4"/>
    <n v="5.944"/>
    <n v="0"/>
    <n v="50"/>
    <n v="2"/>
    <n v="0"/>
    <n v="0"/>
    <n v="5"/>
    <x v="4"/>
    <x v="8"/>
    <x v="3"/>
    <n v="66.944000000000003"/>
    <n v="10041.6"/>
    <n v="3012.48"/>
    <x v="1"/>
  </r>
  <r>
    <d v="2018-09-10T00:00:00"/>
    <n v="7"/>
    <n v="2.4060000000000001"/>
    <n v="2"/>
    <n v="49.4"/>
    <n v="14"/>
    <n v="3"/>
    <n v="1"/>
    <n v="2"/>
    <x v="4"/>
    <x v="8"/>
    <x v="4"/>
    <n v="80.805999999999997"/>
    <n v="12120.9"/>
    <n v="3636.27"/>
    <x v="1"/>
  </r>
  <r>
    <d v="2018-09-11T00:00:00"/>
    <n v="9"/>
    <n v="2.726"/>
    <n v="3"/>
    <n v="50.6"/>
    <n v="15"/>
    <n v="0"/>
    <n v="6"/>
    <n v="4"/>
    <x v="4"/>
    <x v="8"/>
    <x v="5"/>
    <n v="90.325999999999993"/>
    <n v="13548.9"/>
    <n v="4064.6699999999996"/>
    <x v="1"/>
  </r>
  <r>
    <d v="2018-09-12T00:00:00"/>
    <n v="4"/>
    <n v="3"/>
    <n v="2"/>
    <n v="35"/>
    <n v="18"/>
    <n v="0"/>
    <n v="5"/>
    <n v="0"/>
    <x v="4"/>
    <x v="8"/>
    <x v="6"/>
    <n v="67"/>
    <n v="10050"/>
    <n v="3015"/>
    <x v="1"/>
  </r>
  <r>
    <d v="2018-09-13T00:00:00"/>
    <n v="2.83"/>
    <n v="3.0859999999999999"/>
    <n v="1"/>
    <n v="20.6"/>
    <n v="5"/>
    <n v="2"/>
    <n v="12"/>
    <n v="2"/>
    <x v="4"/>
    <x v="8"/>
    <x v="0"/>
    <n v="48.516000000000005"/>
    <n v="7277.4000000000005"/>
    <n v="2183.2200000000003"/>
    <x v="0"/>
  </r>
  <r>
    <d v="2018-09-14T00:00:00"/>
    <n v="8"/>
    <n v="7.02"/>
    <n v="4"/>
    <n v="54"/>
    <n v="7"/>
    <n v="0"/>
    <n v="1"/>
    <n v="2"/>
    <x v="4"/>
    <x v="8"/>
    <x v="1"/>
    <n v="83.02"/>
    <n v="12453"/>
    <n v="3735.8999999999996"/>
    <x v="1"/>
  </r>
  <r>
    <d v="2018-09-15T00:00:00"/>
    <n v="6"/>
    <n v="2.0099999999999998"/>
    <n v="4"/>
    <n v="19.7"/>
    <n v="6"/>
    <n v="0"/>
    <n v="10"/>
    <n v="4.4000000000000004"/>
    <x v="4"/>
    <x v="8"/>
    <x v="2"/>
    <n v="52.11"/>
    <n v="7816.5"/>
    <n v="2344.9499999999998"/>
    <x v="0"/>
  </r>
  <r>
    <d v="2018-09-16T00:00:00"/>
    <n v="3.33"/>
    <n v="0.67"/>
    <n v="3.25"/>
    <n v="24.25"/>
    <n v="6"/>
    <n v="1"/>
    <n v="7"/>
    <n v="3"/>
    <x v="4"/>
    <x v="8"/>
    <x v="3"/>
    <n v="48.5"/>
    <n v="7275"/>
    <n v="2182.5"/>
    <x v="0"/>
  </r>
  <r>
    <d v="2018-09-17T00:00:00"/>
    <n v="3"/>
    <n v="2.33"/>
    <n v="3.75"/>
    <n v="44.4"/>
    <n v="10"/>
    <n v="1"/>
    <n v="5"/>
    <n v="0"/>
    <x v="4"/>
    <x v="8"/>
    <x v="4"/>
    <n v="69.47999999999999"/>
    <n v="10421.999999999998"/>
    <n v="3126.5999999999995"/>
    <x v="1"/>
  </r>
  <r>
    <d v="2018-09-18T00:00:00"/>
    <n v="4.34"/>
    <n v="3"/>
    <n v="3.7"/>
    <n v="20"/>
    <n v="6"/>
    <n v="0"/>
    <n v="1"/>
    <n v="5"/>
    <x v="4"/>
    <x v="8"/>
    <x v="5"/>
    <n v="43.04"/>
    <n v="6456"/>
    <n v="1936.8"/>
    <x v="0"/>
  </r>
  <r>
    <d v="2018-09-19T00:00:00"/>
    <n v="6"/>
    <n v="3.68"/>
    <n v="2"/>
    <n v="26"/>
    <n v="10"/>
    <n v="0"/>
    <n v="9"/>
    <n v="7"/>
    <x v="4"/>
    <x v="8"/>
    <x v="6"/>
    <n v="63.68"/>
    <n v="9552"/>
    <n v="2865.6"/>
    <x v="0"/>
  </r>
  <r>
    <d v="2018-09-20T00:00:00"/>
    <n v="2"/>
    <n v="4.0670000000000002"/>
    <n v="2"/>
    <n v="24.2"/>
    <n v="13"/>
    <n v="1"/>
    <n v="0"/>
    <n v="5"/>
    <x v="4"/>
    <x v="8"/>
    <x v="0"/>
    <n v="51.266999999999996"/>
    <n v="7690.0499999999993"/>
    <n v="2307.0149999999999"/>
    <x v="0"/>
  </r>
  <r>
    <d v="2018-09-21T00:00:00"/>
    <n v="4.66"/>
    <n v="5.8369999999999997"/>
    <n v="1"/>
    <n v="33.1"/>
    <n v="10"/>
    <n v="0"/>
    <n v="1"/>
    <n v="3"/>
    <x v="4"/>
    <x v="8"/>
    <x v="1"/>
    <n v="58.597000000000001"/>
    <n v="8789.5500000000011"/>
    <n v="2636.8650000000002"/>
    <x v="0"/>
  </r>
  <r>
    <d v="2018-09-22T00:00:00"/>
    <n v="6"/>
    <n v="3.8330000000000002"/>
    <n v="1.5"/>
    <n v="31.6"/>
    <n v="6"/>
    <n v="1"/>
    <n v="23"/>
    <n v="3"/>
    <x v="4"/>
    <x v="8"/>
    <x v="2"/>
    <n v="75.932999999999993"/>
    <n v="11389.949999999999"/>
    <n v="3416.9849999999997"/>
    <x v="1"/>
  </r>
  <r>
    <d v="2018-09-23T00:00:00"/>
    <n v="7.34"/>
    <n v="9.4390000000000001"/>
    <n v="3.25"/>
    <n v="42.862000000000002"/>
    <n v="9"/>
    <n v="0"/>
    <n v="8"/>
    <n v="5"/>
    <x v="4"/>
    <x v="8"/>
    <x v="3"/>
    <n v="84.891000000000005"/>
    <n v="12733.650000000001"/>
    <n v="3820.0950000000003"/>
    <x v="1"/>
  </r>
  <r>
    <d v="2018-09-24T00:00:00"/>
    <n v="7.33"/>
    <n v="3.67"/>
    <n v="5.5"/>
    <n v="53.8"/>
    <n v="7"/>
    <n v="0"/>
    <n v="9"/>
    <n v="2"/>
    <x v="4"/>
    <x v="8"/>
    <x v="4"/>
    <n v="88.3"/>
    <n v="13245"/>
    <n v="3973.5"/>
    <x v="1"/>
  </r>
  <r>
    <d v="2018-09-25T00:00:00"/>
    <n v="6"/>
    <n v="4.7359999999999998"/>
    <n v="3.3"/>
    <n v="53.85"/>
    <n v="11"/>
    <n v="0"/>
    <n v="22"/>
    <n v="2"/>
    <x v="4"/>
    <x v="8"/>
    <x v="5"/>
    <n v="102.886"/>
    <n v="15432.9"/>
    <n v="4629.87"/>
    <x v="1"/>
  </r>
  <r>
    <d v="2018-09-26T00:00:00"/>
    <n v="3"/>
    <n v="9"/>
    <n v="6"/>
    <n v="41.4"/>
    <n v="9"/>
    <n v="1"/>
    <n v="0"/>
    <n v="3"/>
    <x v="4"/>
    <x v="8"/>
    <x v="6"/>
    <n v="72.400000000000006"/>
    <n v="10860"/>
    <n v="3258"/>
    <x v="1"/>
  </r>
  <r>
    <d v="2018-09-27T00:00:00"/>
    <n v="4"/>
    <n v="6.5670000000000002"/>
    <n v="4.5999999999999996"/>
    <n v="19"/>
    <n v="11"/>
    <n v="0"/>
    <n v="7"/>
    <n v="3"/>
    <x v="4"/>
    <x v="8"/>
    <x v="0"/>
    <n v="55.167000000000002"/>
    <n v="8275.0500000000011"/>
    <n v="2482.5150000000003"/>
    <x v="0"/>
  </r>
  <r>
    <d v="2018-09-28T00:00:00"/>
    <n v="2"/>
    <n v="4.68"/>
    <n v="3.7"/>
    <n v="40.6"/>
    <n v="3"/>
    <n v="0"/>
    <n v="5"/>
    <n v="3"/>
    <x v="4"/>
    <x v="8"/>
    <x v="1"/>
    <n v="61.980000000000004"/>
    <n v="9297"/>
    <n v="2789.1"/>
    <x v="0"/>
  </r>
  <r>
    <d v="2018-09-29T00:00:00"/>
    <n v="3.5"/>
    <n v="5.33"/>
    <n v="2.15"/>
    <n v="57.7"/>
    <n v="4"/>
    <n v="0"/>
    <n v="21"/>
    <n v="1"/>
    <x v="4"/>
    <x v="8"/>
    <x v="2"/>
    <n v="94.68"/>
    <n v="14202.000000000002"/>
    <n v="4260.6000000000004"/>
    <x v="1"/>
  </r>
  <r>
    <d v="2018-09-30T00:00:00"/>
    <n v="11.01"/>
    <n v="2.0099999999999998"/>
    <n v="2"/>
    <n v="54"/>
    <n v="9"/>
    <n v="1"/>
    <n v="3"/>
    <n v="3"/>
    <x v="4"/>
    <x v="8"/>
    <x v="3"/>
    <n v="85.02"/>
    <n v="12753"/>
    <n v="3825.8999999999996"/>
    <x v="1"/>
  </r>
  <r>
    <d v="2018-10-01T00:00:00"/>
    <n v="3"/>
    <n v="4.9320000000000004"/>
    <n v="1"/>
    <n v="53"/>
    <n v="10"/>
    <n v="0"/>
    <n v="21"/>
    <n v="3"/>
    <x v="4"/>
    <x v="9"/>
    <x v="4"/>
    <n v="95.932000000000002"/>
    <n v="14389.800000000001"/>
    <n v="4316.9400000000005"/>
    <x v="1"/>
  </r>
  <r>
    <d v="2018-10-02T00:00:00"/>
    <n v="6"/>
    <n v="3.91"/>
    <n v="3.5"/>
    <n v="18.600000000000001"/>
    <n v="7"/>
    <n v="0"/>
    <n v="6"/>
    <n v="0"/>
    <x v="4"/>
    <x v="9"/>
    <x v="5"/>
    <n v="45.010000000000005"/>
    <n v="6751.5000000000009"/>
    <n v="2025.4500000000003"/>
    <x v="0"/>
  </r>
  <r>
    <d v="2018-10-03T00:00:00"/>
    <n v="6"/>
    <n v="3.33"/>
    <n v="3"/>
    <n v="34.9"/>
    <n v="12"/>
    <n v="2"/>
    <n v="5"/>
    <n v="4"/>
    <x v="4"/>
    <x v="9"/>
    <x v="6"/>
    <n v="70.22999999999999"/>
    <n v="10534.499999999998"/>
    <n v="3160.3499999999995"/>
    <x v="1"/>
  </r>
  <r>
    <d v="2018-10-04T00:00:00"/>
    <n v="6"/>
    <n v="3.36"/>
    <n v="2"/>
    <n v="32"/>
    <n v="12"/>
    <n v="1"/>
    <n v="5"/>
    <n v="0"/>
    <x v="4"/>
    <x v="9"/>
    <x v="0"/>
    <n v="61.36"/>
    <n v="9204"/>
    <n v="2761.2"/>
    <x v="0"/>
  </r>
  <r>
    <d v="2018-10-05T00:00:00"/>
    <n v="4.84"/>
    <n v="3.3969999999999998"/>
    <n v="1.1000000000000001"/>
    <n v="22.8"/>
    <n v="7"/>
    <n v="0"/>
    <n v="14"/>
    <n v="1"/>
    <x v="4"/>
    <x v="9"/>
    <x v="1"/>
    <n v="54.137"/>
    <n v="8120.55"/>
    <n v="2436.165"/>
    <x v="0"/>
  </r>
  <r>
    <d v="2018-10-06T00:00:00"/>
    <n v="2"/>
    <n v="5.36"/>
    <n v="3.2"/>
    <n v="59.25"/>
    <n v="4"/>
    <n v="0"/>
    <n v="3"/>
    <n v="0.1"/>
    <x v="4"/>
    <x v="9"/>
    <x v="2"/>
    <n v="76.91"/>
    <n v="11536.5"/>
    <n v="3460.95"/>
    <x v="1"/>
  </r>
  <r>
    <d v="2018-10-07T00:00:00"/>
    <n v="2.68"/>
    <n v="7.35"/>
    <n v="2"/>
    <n v="42.4"/>
    <n v="8"/>
    <n v="0"/>
    <n v="9"/>
    <n v="1"/>
    <x v="4"/>
    <x v="9"/>
    <x v="3"/>
    <n v="72.430000000000007"/>
    <n v="10864.500000000002"/>
    <n v="3259.3500000000004"/>
    <x v="1"/>
  </r>
  <r>
    <d v="2018-10-08T00:00:00"/>
    <n v="4"/>
    <n v="1.68"/>
    <n v="3"/>
    <n v="30"/>
    <n v="18"/>
    <n v="5"/>
    <n v="0"/>
    <n v="3"/>
    <x v="4"/>
    <x v="9"/>
    <x v="4"/>
    <n v="64.680000000000007"/>
    <n v="9702.0000000000018"/>
    <n v="2910.6000000000004"/>
    <x v="0"/>
  </r>
  <r>
    <d v="2018-10-09T00:00:00"/>
    <n v="2"/>
    <n v="1.67"/>
    <n v="1"/>
    <n v="30"/>
    <n v="18"/>
    <n v="0"/>
    <n v="29"/>
    <n v="1"/>
    <x v="4"/>
    <x v="9"/>
    <x v="5"/>
    <n v="82.67"/>
    <n v="12400.5"/>
    <n v="3720.1499999999996"/>
    <x v="1"/>
  </r>
  <r>
    <d v="2018-10-10T00:00:00"/>
    <n v="9"/>
    <n v="8.01"/>
    <n v="4.0999999999999996"/>
    <n v="41.2"/>
    <n v="13"/>
    <n v="0"/>
    <n v="20"/>
    <n v="2"/>
    <x v="4"/>
    <x v="9"/>
    <x v="6"/>
    <n v="97.31"/>
    <n v="14596.5"/>
    <n v="4378.95"/>
    <x v="1"/>
  </r>
  <r>
    <d v="2018-10-11T00:00:00"/>
    <n v="2"/>
    <n v="2.33"/>
    <n v="2.1"/>
    <n v="31"/>
    <n v="15"/>
    <n v="0"/>
    <n v="0"/>
    <n v="1"/>
    <x v="4"/>
    <x v="9"/>
    <x v="0"/>
    <n v="53.43"/>
    <n v="8014.5"/>
    <n v="2404.35"/>
    <x v="0"/>
  </r>
  <r>
    <d v="2018-10-12T00:00:00"/>
    <n v="6.33"/>
    <n v="4.3630000000000004"/>
    <n v="1"/>
    <n v="26"/>
    <n v="6"/>
    <n v="0"/>
    <n v="1"/>
    <n v="6"/>
    <x v="4"/>
    <x v="9"/>
    <x v="1"/>
    <n v="50.692999999999998"/>
    <n v="7603.95"/>
    <n v="2281.1849999999999"/>
    <x v="0"/>
  </r>
  <r>
    <d v="2018-10-13T00:00:00"/>
    <n v="6.99"/>
    <n v="4.5069999999999997"/>
    <n v="3.25"/>
    <n v="29.6"/>
    <n v="8"/>
    <n v="0"/>
    <n v="6"/>
    <n v="3"/>
    <x v="4"/>
    <x v="9"/>
    <x v="2"/>
    <n v="61.347000000000001"/>
    <n v="9202.0500000000011"/>
    <n v="2760.6150000000002"/>
    <x v="0"/>
  </r>
  <r>
    <d v="2018-10-14T00:00:00"/>
    <n v="2.34"/>
    <n v="6.01"/>
    <n v="6.2"/>
    <n v="51.7"/>
    <n v="9"/>
    <n v="2"/>
    <n v="0"/>
    <n v="6"/>
    <x v="4"/>
    <x v="9"/>
    <x v="3"/>
    <n v="83.25"/>
    <n v="12487.5"/>
    <n v="3746.25"/>
    <x v="1"/>
  </r>
  <r>
    <d v="2018-10-15T00:00:00"/>
    <n v="7.17"/>
    <n v="6.6000000000000003E-2"/>
    <n v="3"/>
    <n v="47.6"/>
    <n v="12"/>
    <n v="0"/>
    <n v="5"/>
    <n v="6"/>
    <x v="4"/>
    <x v="9"/>
    <x v="4"/>
    <n v="80.835999999999999"/>
    <n v="12125.4"/>
    <n v="3637.62"/>
    <x v="1"/>
  </r>
  <r>
    <d v="2018-10-16T00:00:00"/>
    <n v="6"/>
    <n v="5.3220000000000001"/>
    <n v="2"/>
    <n v="27.3"/>
    <n v="5"/>
    <n v="3"/>
    <n v="6"/>
    <n v="0"/>
    <x v="4"/>
    <x v="9"/>
    <x v="5"/>
    <n v="54.622"/>
    <n v="8193.2999999999993"/>
    <n v="2457.9899999999998"/>
    <x v="0"/>
  </r>
  <r>
    <d v="2018-10-17T00:00:00"/>
    <n v="2.33"/>
    <n v="6"/>
    <n v="4"/>
    <n v="52.2"/>
    <n v="5"/>
    <n v="0"/>
    <n v="1"/>
    <n v="4"/>
    <x v="4"/>
    <x v="9"/>
    <x v="6"/>
    <n v="74.53"/>
    <n v="11179.5"/>
    <n v="3353.85"/>
    <x v="1"/>
  </r>
  <r>
    <d v="2018-10-18T00:00:00"/>
    <n v="4.34"/>
    <n v="3"/>
    <n v="1.1000000000000001"/>
    <n v="14"/>
    <n v="9"/>
    <n v="1"/>
    <n v="10"/>
    <n v="5"/>
    <x v="4"/>
    <x v="9"/>
    <x v="0"/>
    <n v="47.44"/>
    <n v="7116"/>
    <n v="2134.7999999999997"/>
    <x v="0"/>
  </r>
  <r>
    <d v="2018-10-19T00:00:00"/>
    <n v="4"/>
    <n v="2.0659999999999998"/>
    <n v="0"/>
    <n v="10.6"/>
    <n v="5"/>
    <n v="2"/>
    <n v="6"/>
    <n v="4"/>
    <x v="4"/>
    <x v="9"/>
    <x v="1"/>
    <n v="33.665999999999997"/>
    <n v="5049.8999999999996"/>
    <n v="1514.9699999999998"/>
    <x v="0"/>
  </r>
  <r>
    <d v="2018-10-20T00:00:00"/>
    <n v="2.34"/>
    <n v="2.02"/>
    <n v="2"/>
    <n v="33"/>
    <n v="9"/>
    <n v="0"/>
    <n v="34"/>
    <n v="5"/>
    <x v="4"/>
    <x v="9"/>
    <x v="2"/>
    <n v="87.36"/>
    <n v="13104"/>
    <n v="3931.2"/>
    <x v="1"/>
  </r>
  <r>
    <d v="2018-10-21T00:00:00"/>
    <n v="6.67"/>
    <n v="8.69"/>
    <n v="1"/>
    <n v="56.3"/>
    <n v="5"/>
    <n v="3"/>
    <n v="5"/>
    <n v="1"/>
    <x v="4"/>
    <x v="9"/>
    <x v="3"/>
    <n v="86.66"/>
    <n v="12999"/>
    <n v="3899.7"/>
    <x v="1"/>
  </r>
  <r>
    <d v="2018-10-22T00:00:00"/>
    <n v="2.66"/>
    <n v="7.01"/>
    <n v="3.3"/>
    <n v="18.8"/>
    <n v="8"/>
    <n v="0"/>
    <n v="28"/>
    <n v="1.3"/>
    <x v="4"/>
    <x v="9"/>
    <x v="4"/>
    <n v="69.069999999999993"/>
    <n v="10360.499999999998"/>
    <n v="3108.1499999999992"/>
    <x v="1"/>
  </r>
  <r>
    <d v="2018-10-23T00:00:00"/>
    <n v="2.34"/>
    <n v="2"/>
    <n v="0.45"/>
    <n v="44.8"/>
    <n v="9"/>
    <n v="1"/>
    <n v="11"/>
    <n v="3"/>
    <x v="4"/>
    <x v="9"/>
    <x v="5"/>
    <n v="73.59"/>
    <n v="11038.5"/>
    <n v="3311.5499999999997"/>
    <x v="1"/>
  </r>
  <r>
    <d v="2018-10-24T00:00:00"/>
    <n v="4"/>
    <n v="2.109"/>
    <n v="5"/>
    <n v="37.200000000000003"/>
    <n v="7"/>
    <n v="0"/>
    <n v="10"/>
    <n v="1.5"/>
    <x v="4"/>
    <x v="9"/>
    <x v="6"/>
    <n v="66.808999999999997"/>
    <n v="10021.35"/>
    <n v="3006.4050000000002"/>
    <x v="1"/>
  </r>
  <r>
    <d v="2018-10-25T00:00:00"/>
    <n v="5.33"/>
    <n v="5.4290000000000003"/>
    <n v="3"/>
    <n v="52.2"/>
    <n v="12"/>
    <n v="0"/>
    <n v="33"/>
    <n v="3"/>
    <x v="4"/>
    <x v="9"/>
    <x v="0"/>
    <n v="113.959"/>
    <n v="17093.850000000002"/>
    <n v="5128.1550000000007"/>
    <x v="1"/>
  </r>
  <r>
    <d v="2018-10-26T00:00:00"/>
    <n v="4"/>
    <n v="5.3730000000000002"/>
    <n v="4.5999999999999996"/>
    <n v="44"/>
    <n v="14"/>
    <n v="1"/>
    <n v="14"/>
    <n v="1"/>
    <x v="4"/>
    <x v="9"/>
    <x v="1"/>
    <n v="87.972999999999999"/>
    <n v="13195.95"/>
    <n v="3958.7849999999999"/>
    <x v="1"/>
  </r>
  <r>
    <d v="2018-10-27T00:00:00"/>
    <n v="8.34"/>
    <n v="3.4260000000000002"/>
    <n v="2.2000000000000002"/>
    <n v="49.975000000000001"/>
    <n v="12"/>
    <n v="1"/>
    <n v="7"/>
    <n v="2"/>
    <x v="4"/>
    <x v="9"/>
    <x v="2"/>
    <n v="85.941000000000003"/>
    <n v="12891.15"/>
    <n v="3867.3449999999998"/>
    <x v="1"/>
  </r>
  <r>
    <d v="2018-10-28T00:00:00"/>
    <n v="5.33"/>
    <n v="5.33"/>
    <n v="1.6"/>
    <n v="53.75"/>
    <n v="9"/>
    <n v="3"/>
    <n v="13"/>
    <n v="3"/>
    <x v="4"/>
    <x v="9"/>
    <x v="3"/>
    <n v="94.01"/>
    <n v="14101.5"/>
    <n v="4230.45"/>
    <x v="1"/>
  </r>
  <r>
    <d v="2018-10-29T00:00:00"/>
    <n v="5.35"/>
    <n v="2.67"/>
    <n v="2.35"/>
    <n v="32.799999999999997"/>
    <n v="5"/>
    <n v="0"/>
    <n v="10"/>
    <n v="3"/>
    <x v="4"/>
    <x v="9"/>
    <x v="4"/>
    <n v="61.169999999999995"/>
    <n v="9175.5"/>
    <n v="2752.65"/>
    <x v="0"/>
  </r>
  <r>
    <d v="2018-10-30T00:00:00"/>
    <n v="9.33"/>
    <n v="4"/>
    <n v="1"/>
    <n v="18.2"/>
    <n v="7"/>
    <n v="0"/>
    <n v="13"/>
    <n v="1"/>
    <x v="4"/>
    <x v="9"/>
    <x v="5"/>
    <n v="53.53"/>
    <n v="8029.5"/>
    <n v="2408.85"/>
    <x v="0"/>
  </r>
  <r>
    <d v="2018-10-31T00:00:00"/>
    <n v="2"/>
    <n v="4.68"/>
    <n v="3"/>
    <n v="34.1"/>
    <n v="7"/>
    <n v="0"/>
    <n v="2"/>
    <n v="2"/>
    <x v="4"/>
    <x v="9"/>
    <x v="6"/>
    <n v="54.78"/>
    <n v="8217"/>
    <n v="2465.1"/>
    <x v="0"/>
  </r>
  <r>
    <d v="2018-11-01T00:00:00"/>
    <n v="7.84"/>
    <n v="0.34"/>
    <n v="3"/>
    <n v="25"/>
    <n v="6"/>
    <n v="3"/>
    <n v="7"/>
    <n v="0"/>
    <x v="4"/>
    <x v="10"/>
    <x v="0"/>
    <n v="52.18"/>
    <n v="7827"/>
    <n v="2348.1"/>
    <x v="0"/>
  </r>
  <r>
    <d v="2018-11-02T00:00:00"/>
    <n v="5.14"/>
    <n v="1.845"/>
    <n v="0"/>
    <n v="32.6"/>
    <n v="8.1999999999999993"/>
    <n v="0"/>
    <n v="1"/>
    <n v="3.3"/>
    <x v="4"/>
    <x v="10"/>
    <x v="1"/>
    <n v="52.084999999999994"/>
    <n v="7812.7499999999991"/>
    <n v="2343.8249999999998"/>
    <x v="0"/>
  </r>
  <r>
    <d v="2018-11-03T00:00:00"/>
    <n v="3"/>
    <n v="3"/>
    <n v="6.2"/>
    <n v="45.4"/>
    <n v="2"/>
    <n v="0"/>
    <n v="0"/>
    <n v="2"/>
    <x v="4"/>
    <x v="10"/>
    <x v="2"/>
    <n v="61.599999999999994"/>
    <n v="9240"/>
    <n v="2772"/>
    <x v="0"/>
  </r>
  <r>
    <d v="2018-11-04T00:00:00"/>
    <n v="13.99"/>
    <n v="4.8959999999999999"/>
    <n v="0"/>
    <n v="52"/>
    <n v="7"/>
    <n v="0"/>
    <n v="13"/>
    <n v="1"/>
    <x v="4"/>
    <x v="10"/>
    <x v="3"/>
    <n v="91.885999999999996"/>
    <n v="13782.9"/>
    <n v="4134.87"/>
    <x v="1"/>
  </r>
  <r>
    <d v="2018-11-05T00:00:00"/>
    <n v="6.33"/>
    <n v="2.34"/>
    <n v="6"/>
    <n v="29"/>
    <n v="14"/>
    <n v="0"/>
    <n v="13"/>
    <n v="2.2999999999999998"/>
    <x v="4"/>
    <x v="10"/>
    <x v="4"/>
    <n v="72.97"/>
    <n v="10945.5"/>
    <n v="3283.65"/>
    <x v="1"/>
  </r>
  <r>
    <d v="2018-11-06T00:00:00"/>
    <n v="3.33"/>
    <n v="6.68"/>
    <n v="10.55"/>
    <n v="37.700000000000003"/>
    <n v="8"/>
    <n v="0"/>
    <n v="13"/>
    <n v="2.5"/>
    <x v="4"/>
    <x v="10"/>
    <x v="5"/>
    <n v="81.760000000000005"/>
    <n v="12264"/>
    <n v="3679.2"/>
    <x v="1"/>
  </r>
  <r>
    <d v="2018-11-07T00:00:00"/>
    <n v="7"/>
    <n v="1.863"/>
    <n v="3"/>
    <n v="38.9"/>
    <n v="15"/>
    <n v="3"/>
    <n v="8"/>
    <n v="0"/>
    <x v="4"/>
    <x v="10"/>
    <x v="6"/>
    <n v="76.763000000000005"/>
    <n v="11514.45"/>
    <n v="3454.335"/>
    <x v="1"/>
  </r>
  <r>
    <d v="2018-11-08T00:00:00"/>
    <n v="3"/>
    <n v="1.573"/>
    <n v="6"/>
    <n v="38"/>
    <n v="5"/>
    <n v="0"/>
    <n v="16"/>
    <n v="2"/>
    <x v="4"/>
    <x v="10"/>
    <x v="0"/>
    <n v="71.573000000000008"/>
    <n v="10735.95"/>
    <n v="3220.7850000000003"/>
    <x v="1"/>
  </r>
  <r>
    <d v="2018-11-09T00:00:00"/>
    <n v="5"/>
    <n v="0.67"/>
    <n v="5"/>
    <n v="43"/>
    <n v="7"/>
    <n v="1"/>
    <n v="22"/>
    <n v="0"/>
    <x v="4"/>
    <x v="10"/>
    <x v="1"/>
    <n v="83.67"/>
    <n v="12550.5"/>
    <n v="3765.1499999999996"/>
    <x v="1"/>
  </r>
  <r>
    <d v="2018-11-10T00:00:00"/>
    <n v="4.33"/>
    <n v="2.4169999999999998"/>
    <n v="2"/>
    <n v="35.6"/>
    <n v="7"/>
    <n v="1"/>
    <n v="11"/>
    <n v="1.1000000000000001"/>
    <x v="4"/>
    <x v="10"/>
    <x v="2"/>
    <n v="64.447000000000003"/>
    <n v="9667.0500000000011"/>
    <n v="2900.1150000000002"/>
    <x v="0"/>
  </r>
  <r>
    <d v="2018-11-11T00:00:00"/>
    <n v="11"/>
    <n v="4.2460000000000004"/>
    <n v="2"/>
    <n v="33.65"/>
    <n v="14"/>
    <n v="0"/>
    <n v="10"/>
    <n v="1"/>
    <x v="4"/>
    <x v="10"/>
    <x v="3"/>
    <n v="75.896000000000001"/>
    <n v="11384.4"/>
    <n v="3415.3199999999997"/>
    <x v="1"/>
  </r>
  <r>
    <d v="2018-11-12T00:00:00"/>
    <n v="2.34"/>
    <n v="2.33"/>
    <n v="7"/>
    <n v="35"/>
    <n v="15"/>
    <n v="2"/>
    <n v="24"/>
    <n v="1"/>
    <x v="4"/>
    <x v="10"/>
    <x v="4"/>
    <n v="88.67"/>
    <n v="13300.5"/>
    <n v="3990.1499999999996"/>
    <x v="1"/>
  </r>
  <r>
    <d v="2018-11-13T00:00:00"/>
    <n v="6.33"/>
    <n v="5.35"/>
    <n v="6"/>
    <n v="29.7"/>
    <n v="18"/>
    <n v="0"/>
    <n v="18"/>
    <n v="3"/>
    <x v="4"/>
    <x v="10"/>
    <x v="5"/>
    <n v="86.38"/>
    <n v="12957"/>
    <n v="3887.1"/>
    <x v="1"/>
  </r>
  <r>
    <d v="2018-11-14T00:00:00"/>
    <n v="5.66"/>
    <n v="4.67"/>
    <n v="3"/>
    <n v="28.4"/>
    <n v="9"/>
    <n v="0"/>
    <n v="0"/>
    <n v="0"/>
    <x v="4"/>
    <x v="10"/>
    <x v="6"/>
    <n v="50.73"/>
    <n v="7609.4999999999991"/>
    <n v="2282.8499999999995"/>
    <x v="0"/>
  </r>
  <r>
    <d v="2018-11-15T00:00:00"/>
    <n v="2"/>
    <n v="4.0830000000000002"/>
    <n v="2"/>
    <n v="49.6"/>
    <n v="3"/>
    <n v="2"/>
    <n v="29"/>
    <n v="0"/>
    <x v="4"/>
    <x v="10"/>
    <x v="0"/>
    <n v="91.682999999999993"/>
    <n v="13752.449999999999"/>
    <n v="4125.7349999999997"/>
    <x v="1"/>
  </r>
  <r>
    <d v="2018-11-16T00:00:00"/>
    <n v="8.33"/>
    <n v="2.66"/>
    <n v="4"/>
    <n v="21.5"/>
    <n v="6"/>
    <n v="0"/>
    <n v="6"/>
    <n v="0.4"/>
    <x v="4"/>
    <x v="10"/>
    <x v="1"/>
    <n v="48.89"/>
    <n v="7333.5"/>
    <n v="2200.0499999999997"/>
    <x v="0"/>
  </r>
  <r>
    <d v="2018-11-17T00:00:00"/>
    <n v="8"/>
    <n v="2.34"/>
    <n v="1"/>
    <n v="39"/>
    <n v="5"/>
    <n v="0"/>
    <n v="13"/>
    <n v="2"/>
    <x v="4"/>
    <x v="10"/>
    <x v="2"/>
    <n v="70.34"/>
    <n v="10551"/>
    <n v="3165.2999999999997"/>
    <x v="1"/>
  </r>
  <r>
    <d v="2018-11-18T00:00:00"/>
    <n v="4.68"/>
    <n v="4.68"/>
    <n v="5"/>
    <n v="32.9"/>
    <n v="7"/>
    <n v="1"/>
    <n v="10"/>
    <n v="1"/>
    <x v="4"/>
    <x v="10"/>
    <x v="3"/>
    <n v="66.259999999999991"/>
    <n v="9938.9999999999982"/>
    <n v="2981.6999999999994"/>
    <x v="0"/>
  </r>
  <r>
    <d v="2018-11-19T00:00:00"/>
    <n v="6.01"/>
    <n v="2.44"/>
    <n v="2"/>
    <n v="47.2"/>
    <n v="6"/>
    <n v="3"/>
    <n v="3"/>
    <n v="0"/>
    <x v="4"/>
    <x v="10"/>
    <x v="4"/>
    <n v="69.650000000000006"/>
    <n v="10447.5"/>
    <n v="3134.25"/>
    <x v="1"/>
  </r>
  <r>
    <d v="2018-11-20T00:00:00"/>
    <n v="5.33"/>
    <n v="3.8029999999999999"/>
    <n v="4"/>
    <n v="31.5"/>
    <n v="4"/>
    <n v="1"/>
    <n v="10"/>
    <n v="3"/>
    <x v="4"/>
    <x v="10"/>
    <x v="5"/>
    <n v="62.632999999999996"/>
    <n v="9394.9499999999989"/>
    <n v="2818.4849999999997"/>
    <x v="0"/>
  </r>
  <r>
    <d v="2018-11-21T00:00:00"/>
    <n v="7"/>
    <n v="2.34"/>
    <n v="3.25"/>
    <n v="22"/>
    <n v="5"/>
    <n v="0"/>
    <n v="5"/>
    <n v="1"/>
    <x v="4"/>
    <x v="10"/>
    <x v="6"/>
    <n v="45.59"/>
    <n v="6838.5000000000009"/>
    <n v="2051.5500000000002"/>
    <x v="0"/>
  </r>
  <r>
    <d v="2018-11-22T00:00:00"/>
    <n v="8"/>
    <n v="7.0659999999999998"/>
    <n v="3"/>
    <n v="22.4"/>
    <n v="9"/>
    <n v="0"/>
    <n v="15"/>
    <n v="2"/>
    <x v="4"/>
    <x v="10"/>
    <x v="0"/>
    <n v="66.465999999999994"/>
    <n v="9969.9"/>
    <n v="2990.97"/>
    <x v="0"/>
  </r>
  <r>
    <d v="2018-11-23T00:00:00"/>
    <n v="6"/>
    <n v="4.4720000000000004"/>
    <n v="3"/>
    <n v="29.6"/>
    <n v="13"/>
    <n v="1"/>
    <n v="24"/>
    <n v="3"/>
    <x v="4"/>
    <x v="10"/>
    <x v="1"/>
    <n v="84.072000000000003"/>
    <n v="12610.800000000001"/>
    <n v="3783.2400000000002"/>
    <x v="1"/>
  </r>
  <r>
    <d v="2018-11-24T00:00:00"/>
    <n v="5.66"/>
    <n v="5.78"/>
    <n v="5"/>
    <n v="29.2"/>
    <n v="11"/>
    <n v="0"/>
    <n v="7"/>
    <n v="0.3"/>
    <x v="4"/>
    <x v="10"/>
    <x v="2"/>
    <n v="63.94"/>
    <n v="9591"/>
    <n v="2877.2999999999997"/>
    <x v="0"/>
  </r>
  <r>
    <d v="2018-11-25T00:00:00"/>
    <n v="5.33"/>
    <n v="3.593"/>
    <n v="3.15"/>
    <n v="19.100000000000001"/>
    <n v="6"/>
    <n v="1"/>
    <n v="3"/>
    <n v="2"/>
    <x v="4"/>
    <x v="10"/>
    <x v="3"/>
    <n v="43.173000000000002"/>
    <n v="6475.9500000000007"/>
    <n v="1942.7850000000001"/>
    <x v="0"/>
  </r>
  <r>
    <d v="2018-11-26T00:00:00"/>
    <n v="5.33"/>
    <n v="2.34"/>
    <n v="2"/>
    <n v="36.299999999999997"/>
    <n v="15"/>
    <n v="1"/>
    <n v="16"/>
    <n v="3"/>
    <x v="4"/>
    <x v="10"/>
    <x v="4"/>
    <n v="80.97"/>
    <n v="12145.5"/>
    <n v="3643.65"/>
    <x v="1"/>
  </r>
  <r>
    <d v="2018-11-27T00:00:00"/>
    <n v="8"/>
    <n v="4.67"/>
    <n v="2"/>
    <n v="41.5"/>
    <n v="2"/>
    <n v="0"/>
    <n v="5"/>
    <n v="2"/>
    <x v="4"/>
    <x v="10"/>
    <x v="5"/>
    <n v="65.17"/>
    <n v="9775.5"/>
    <n v="2932.65"/>
    <x v="0"/>
  </r>
  <r>
    <d v="2018-11-28T00:00:00"/>
    <n v="3"/>
    <n v="5.67"/>
    <n v="1"/>
    <n v="24.4"/>
    <n v="15"/>
    <n v="2"/>
    <n v="8"/>
    <n v="4"/>
    <x v="4"/>
    <x v="10"/>
    <x v="6"/>
    <n v="63.07"/>
    <n v="9460.5"/>
    <n v="2838.15"/>
    <x v="0"/>
  </r>
  <r>
    <d v="2018-11-29T00:00:00"/>
    <n v="4.33"/>
    <n v="4.32"/>
    <n v="1"/>
    <n v="22.6"/>
    <n v="7"/>
    <n v="0"/>
    <n v="1"/>
    <n v="3"/>
    <x v="4"/>
    <x v="10"/>
    <x v="0"/>
    <n v="43.25"/>
    <n v="6487.5"/>
    <n v="1946.25"/>
    <x v="0"/>
  </r>
  <r>
    <d v="2018-11-30T00:00:00"/>
    <n v="1"/>
    <n v="3.01"/>
    <n v="1"/>
    <n v="22.4"/>
    <n v="3"/>
    <n v="0"/>
    <n v="0"/>
    <n v="2.5"/>
    <x v="4"/>
    <x v="10"/>
    <x v="1"/>
    <n v="32.909999999999997"/>
    <n v="4936.4999999999991"/>
    <n v="1480.9499999999996"/>
    <x v="0"/>
  </r>
  <r>
    <d v="2018-12-01T00:00:00"/>
    <n v="7"/>
    <n v="8.7789999999999999"/>
    <n v="2.0499999999999998"/>
    <n v="41"/>
    <n v="7"/>
    <n v="3"/>
    <n v="13"/>
    <n v="2"/>
    <x v="4"/>
    <x v="11"/>
    <x v="2"/>
    <n v="83.829000000000008"/>
    <n v="12574.35"/>
    <n v="3772.3049999999998"/>
    <x v="1"/>
  </r>
  <r>
    <d v="2018-12-02T00:00:00"/>
    <n v="3.17"/>
    <n v="5.7789999999999999"/>
    <n v="10"/>
    <n v="65.7"/>
    <n v="6"/>
    <n v="0"/>
    <n v="27"/>
    <n v="8"/>
    <x v="4"/>
    <x v="11"/>
    <x v="3"/>
    <n v="125.649"/>
    <n v="18847.349999999999"/>
    <n v="5654.204999999999"/>
    <x v="1"/>
  </r>
  <r>
    <d v="2018-12-03T00:00:00"/>
    <n v="6"/>
    <n v="5.0830000000000002"/>
    <n v="2.1"/>
    <n v="44"/>
    <n v="13"/>
    <n v="0"/>
    <n v="13"/>
    <n v="1"/>
    <x v="4"/>
    <x v="11"/>
    <x v="4"/>
    <n v="84.182999999999993"/>
    <n v="12627.449999999999"/>
    <n v="3788.2349999999997"/>
    <x v="1"/>
  </r>
  <r>
    <d v="2018-12-04T00:00:00"/>
    <n v="2.5"/>
    <n v="3"/>
    <n v="3"/>
    <n v="32.200000000000003"/>
    <n v="11"/>
    <n v="0"/>
    <n v="5"/>
    <n v="3"/>
    <x v="4"/>
    <x v="11"/>
    <x v="5"/>
    <n v="59.7"/>
    <n v="8955"/>
    <n v="2686.5"/>
    <x v="0"/>
  </r>
  <r>
    <d v="2018-12-05T00:00:00"/>
    <n v="5.33"/>
    <n v="3.726"/>
    <n v="3.5"/>
    <n v="41.3"/>
    <n v="13"/>
    <n v="0"/>
    <n v="15"/>
    <n v="2"/>
    <x v="4"/>
    <x v="11"/>
    <x v="6"/>
    <n v="83.855999999999995"/>
    <n v="12578.4"/>
    <n v="3773.5199999999995"/>
    <x v="1"/>
  </r>
  <r>
    <d v="2018-12-06T00:00:00"/>
    <n v="0"/>
    <n v="0"/>
    <n v="0"/>
    <n v="0"/>
    <n v="0"/>
    <n v="0"/>
    <n v="0"/>
    <n v="0"/>
    <x v="4"/>
    <x v="11"/>
    <x v="0"/>
    <n v="0"/>
    <n v="0"/>
    <n v="0"/>
    <x v="0"/>
  </r>
  <r>
    <d v="2018-12-07T00:00:00"/>
    <n v="5"/>
    <n v="3.01"/>
    <n v="3"/>
    <n v="47.4"/>
    <n v="14"/>
    <n v="0"/>
    <n v="12"/>
    <n v="3"/>
    <x v="4"/>
    <x v="11"/>
    <x v="1"/>
    <n v="87.41"/>
    <n v="13111.5"/>
    <n v="3933.45"/>
    <x v="1"/>
  </r>
  <r>
    <d v="2018-12-08T00:00:00"/>
    <n v="0"/>
    <n v="0"/>
    <n v="0"/>
    <n v="0"/>
    <n v="0"/>
    <n v="0"/>
    <n v="0"/>
    <n v="0"/>
    <x v="4"/>
    <x v="11"/>
    <x v="2"/>
    <n v="0"/>
    <n v="0"/>
    <n v="0"/>
    <x v="0"/>
  </r>
  <r>
    <d v="2018-12-09T00:00:00"/>
    <n v="4.66"/>
    <n v="6.69"/>
    <n v="4.0999999999999996"/>
    <n v="57.7"/>
    <n v="9"/>
    <n v="0"/>
    <n v="11"/>
    <n v="0"/>
    <x v="4"/>
    <x v="11"/>
    <x v="3"/>
    <n v="93.15"/>
    <n v="13972.5"/>
    <n v="4191.75"/>
    <x v="1"/>
  </r>
  <r>
    <d v="2018-12-10T00:00:00"/>
    <n v="4"/>
    <n v="5"/>
    <n v="1.5"/>
    <n v="23.8"/>
    <n v="12"/>
    <n v="1"/>
    <n v="7"/>
    <n v="1"/>
    <x v="4"/>
    <x v="11"/>
    <x v="4"/>
    <n v="55.3"/>
    <n v="8295"/>
    <n v="2488.5"/>
    <x v="0"/>
  </r>
  <r>
    <d v="2018-12-11T00:00:00"/>
    <n v="4"/>
    <n v="4.01"/>
    <n v="8.35"/>
    <n v="28"/>
    <n v="12"/>
    <n v="3"/>
    <n v="2"/>
    <n v="5.5"/>
    <x v="4"/>
    <x v="11"/>
    <x v="5"/>
    <n v="66.86"/>
    <n v="10029"/>
    <n v="3008.7"/>
    <x v="1"/>
  </r>
  <r>
    <d v="2018-12-12T00:00:00"/>
    <n v="4.33"/>
    <n v="2"/>
    <n v="3"/>
    <n v="37.6"/>
    <n v="11"/>
    <n v="0"/>
    <n v="21"/>
    <n v="0"/>
    <x v="4"/>
    <x v="11"/>
    <x v="6"/>
    <n v="78.930000000000007"/>
    <n v="11839.500000000002"/>
    <n v="3551.8500000000004"/>
    <x v="1"/>
  </r>
  <r>
    <d v="2018-12-13T00:00:00"/>
    <n v="3.68"/>
    <n v="2.2429999999999999"/>
    <n v="3"/>
    <n v="47.5"/>
    <n v="6"/>
    <n v="0"/>
    <n v="6"/>
    <n v="0"/>
    <x v="4"/>
    <x v="11"/>
    <x v="0"/>
    <n v="68.423000000000002"/>
    <n v="10263.450000000001"/>
    <n v="3079.0350000000003"/>
    <x v="1"/>
  </r>
  <r>
    <d v="2018-12-14T00:00:00"/>
    <n v="2"/>
    <n v="2"/>
    <n v="0.2"/>
    <n v="23.4"/>
    <n v="2"/>
    <n v="1"/>
    <n v="29"/>
    <n v="1"/>
    <x v="4"/>
    <x v="11"/>
    <x v="1"/>
    <n v="60.599999999999994"/>
    <n v="9090"/>
    <n v="2727"/>
    <x v="0"/>
  </r>
  <r>
    <d v="2018-12-15T00:00:00"/>
    <n v="4"/>
    <n v="2.34"/>
    <n v="3.45"/>
    <n v="62.4"/>
    <n v="5"/>
    <n v="0"/>
    <n v="26"/>
    <n v="2.2999999999999998"/>
    <x v="4"/>
    <x v="11"/>
    <x v="2"/>
    <n v="105.49"/>
    <n v="15823.5"/>
    <n v="4747.05"/>
    <x v="1"/>
  </r>
  <r>
    <d v="2018-12-16T00:00:00"/>
    <n v="1.33"/>
    <n v="4.32"/>
    <n v="0.2"/>
    <n v="27"/>
    <n v="3"/>
    <n v="0"/>
    <n v="7"/>
    <n v="1"/>
    <x v="4"/>
    <x v="11"/>
    <x v="3"/>
    <n v="43.85"/>
    <n v="6577.5"/>
    <n v="1973.25"/>
    <x v="0"/>
  </r>
  <r>
    <d v="2018-12-17T00:00:00"/>
    <n v="6.34"/>
    <n v="2.0099999999999998"/>
    <n v="5"/>
    <n v="53"/>
    <n v="6"/>
    <n v="1"/>
    <n v="22"/>
    <n v="2"/>
    <x v="4"/>
    <x v="11"/>
    <x v="4"/>
    <n v="97.35"/>
    <n v="14602.5"/>
    <n v="4380.75"/>
    <x v="1"/>
  </r>
  <r>
    <d v="2018-12-18T00:00:00"/>
    <n v="0.33"/>
    <n v="2.4729999999999999"/>
    <n v="1"/>
    <n v="34.5"/>
    <n v="12"/>
    <n v="3"/>
    <n v="9"/>
    <n v="2"/>
    <x v="4"/>
    <x v="11"/>
    <x v="5"/>
    <n v="64.302999999999997"/>
    <n v="9645.4499999999989"/>
    <n v="2893.6349999999998"/>
    <x v="0"/>
  </r>
  <r>
    <d v="2018-12-19T00:00:00"/>
    <n v="0"/>
    <n v="0"/>
    <n v="0"/>
    <n v="0"/>
    <n v="0"/>
    <n v="0"/>
    <n v="0"/>
    <n v="0"/>
    <x v="4"/>
    <x v="11"/>
    <x v="6"/>
    <n v="0"/>
    <n v="0"/>
    <n v="0"/>
    <x v="0"/>
  </r>
  <r>
    <d v="2018-12-20T00:00:00"/>
    <n v="8.34"/>
    <n v="1.66"/>
    <n v="1"/>
    <n v="27"/>
    <n v="12"/>
    <n v="3"/>
    <n v="1"/>
    <n v="0"/>
    <x v="4"/>
    <x v="11"/>
    <x v="0"/>
    <n v="54"/>
    <n v="8100"/>
    <n v="2430"/>
    <x v="0"/>
  </r>
  <r>
    <d v="2018-12-21T00:00:00"/>
    <n v="2"/>
    <n v="1.35"/>
    <n v="0"/>
    <n v="35"/>
    <n v="12"/>
    <n v="1"/>
    <n v="13"/>
    <n v="1"/>
    <x v="4"/>
    <x v="11"/>
    <x v="1"/>
    <n v="65.349999999999994"/>
    <n v="9802.5"/>
    <n v="2940.75"/>
    <x v="0"/>
  </r>
  <r>
    <d v="2018-12-22T00:00:00"/>
    <n v="8.34"/>
    <n v="3.34"/>
    <n v="4.5"/>
    <n v="43.4"/>
    <n v="3"/>
    <n v="1"/>
    <n v="0"/>
    <n v="0"/>
    <x v="4"/>
    <x v="11"/>
    <x v="2"/>
    <n v="63.58"/>
    <n v="9537"/>
    <n v="2861.1"/>
    <x v="0"/>
  </r>
  <r>
    <d v="2018-12-23T00:00:00"/>
    <n v="12.33"/>
    <n v="6.4059999999999997"/>
    <n v="2.2999999999999998"/>
    <n v="47.7"/>
    <n v="8"/>
    <n v="0"/>
    <n v="13"/>
    <n v="4"/>
    <x v="4"/>
    <x v="11"/>
    <x v="3"/>
    <n v="93.736000000000004"/>
    <n v="14060.400000000001"/>
    <n v="4218.12"/>
    <x v="1"/>
  </r>
  <r>
    <d v="2018-12-24T00:00:00"/>
    <n v="8.67"/>
    <n v="4.3499999999999996"/>
    <n v="1"/>
    <n v="32"/>
    <n v="20"/>
    <n v="0"/>
    <n v="8"/>
    <n v="1"/>
    <x v="4"/>
    <x v="11"/>
    <x v="4"/>
    <n v="75.02"/>
    <n v="11253"/>
    <n v="3375.9"/>
    <x v="1"/>
  </r>
  <r>
    <d v="2018-12-25T00:00:00"/>
    <n v="8"/>
    <n v="6.0759999999999996"/>
    <n v="5.0999999999999996"/>
    <n v="42.6"/>
    <n v="9"/>
    <n v="3"/>
    <n v="21"/>
    <n v="2"/>
    <x v="4"/>
    <x v="11"/>
    <x v="5"/>
    <n v="96.77600000000001"/>
    <n v="14516.400000000001"/>
    <n v="4354.92"/>
    <x v="1"/>
  </r>
  <r>
    <d v="2018-12-26T00:00:00"/>
    <n v="1"/>
    <n v="0.66"/>
    <n v="2.15"/>
    <n v="50"/>
    <n v="8"/>
    <n v="1"/>
    <n v="13"/>
    <n v="2"/>
    <x v="4"/>
    <x v="11"/>
    <x v="6"/>
    <n v="77.81"/>
    <n v="11671.5"/>
    <n v="3501.45"/>
    <x v="1"/>
  </r>
  <r>
    <d v="2018-12-27T00:00:00"/>
    <n v="3.68"/>
    <n v="3.01"/>
    <n v="3.05"/>
    <n v="40.6"/>
    <n v="8"/>
    <n v="0"/>
    <n v="7"/>
    <n v="0"/>
    <x v="4"/>
    <x v="11"/>
    <x v="0"/>
    <n v="65.34"/>
    <n v="9801"/>
    <n v="2940.2999999999997"/>
    <x v="0"/>
  </r>
  <r>
    <d v="2018-12-28T00:00:00"/>
    <n v="11.67"/>
    <n v="5.8449999999999998"/>
    <n v="1"/>
    <n v="56.4"/>
    <n v="11"/>
    <n v="6"/>
    <n v="9"/>
    <n v="0"/>
    <x v="4"/>
    <x v="11"/>
    <x v="1"/>
    <n v="100.91499999999999"/>
    <n v="15137.249999999998"/>
    <n v="4541.1749999999993"/>
    <x v="1"/>
  </r>
  <r>
    <d v="2018-12-29T00:00:00"/>
    <n v="6.68"/>
    <n v="5.6109999999999998"/>
    <n v="1"/>
    <n v="68.349999999999994"/>
    <n v="5"/>
    <n v="0"/>
    <n v="7"/>
    <n v="2"/>
    <x v="4"/>
    <x v="11"/>
    <x v="2"/>
    <n v="95.640999999999991"/>
    <n v="14346.149999999998"/>
    <n v="4303.8449999999993"/>
    <x v="1"/>
  </r>
  <r>
    <d v="2018-12-30T00:00:00"/>
    <n v="5.33"/>
    <n v="7.593"/>
    <n v="5"/>
    <n v="59.9"/>
    <n v="6"/>
    <n v="0"/>
    <n v="31"/>
    <n v="3.3"/>
    <x v="4"/>
    <x v="11"/>
    <x v="3"/>
    <n v="118.123"/>
    <n v="17718.45"/>
    <n v="5315.5349999999999"/>
    <x v="1"/>
  </r>
  <r>
    <d v="2018-12-31T00:00:00"/>
    <n v="8"/>
    <n v="4.66"/>
    <n v="5.2"/>
    <n v="44.5"/>
    <n v="10"/>
    <n v="0"/>
    <n v="6"/>
    <n v="4"/>
    <x v="4"/>
    <x v="11"/>
    <x v="4"/>
    <n v="82.36"/>
    <n v="12354"/>
    <n v="3706.2"/>
    <x v="1"/>
  </r>
  <r>
    <d v="2019-01-01T00:00:00"/>
    <n v="0"/>
    <n v="0"/>
    <n v="0"/>
    <n v="0"/>
    <n v="0"/>
    <n v="0"/>
    <n v="0"/>
    <n v="0"/>
    <x v="5"/>
    <x v="0"/>
    <x v="5"/>
    <n v="0"/>
    <n v="0"/>
    <n v="0"/>
    <x v="0"/>
  </r>
  <r>
    <d v="2019-01-02T00:00:00"/>
    <n v="5.33"/>
    <n v="4.3970000000000002"/>
    <n v="4.1500000000000004"/>
    <n v="36.799999999999997"/>
    <n v="4"/>
    <n v="0"/>
    <n v="9"/>
    <n v="2"/>
    <x v="5"/>
    <x v="0"/>
    <x v="6"/>
    <n v="65.676999999999992"/>
    <n v="9851.5499999999993"/>
    <n v="2955.4649999999997"/>
    <x v="0"/>
  </r>
  <r>
    <d v="2019-01-03T00:00:00"/>
    <n v="4.33"/>
    <n v="4.8360000000000003"/>
    <n v="6.25"/>
    <n v="42.4"/>
    <n v="6"/>
    <n v="0"/>
    <n v="9"/>
    <n v="0"/>
    <x v="5"/>
    <x v="0"/>
    <x v="0"/>
    <n v="72.816000000000003"/>
    <n v="10922.4"/>
    <n v="3276.72"/>
    <x v="1"/>
  </r>
  <r>
    <d v="2019-01-04T00:00:00"/>
    <n v="7"/>
    <n v="3.67"/>
    <n v="2.6"/>
    <n v="55.8"/>
    <n v="10"/>
    <n v="0"/>
    <n v="0"/>
    <n v="1"/>
    <x v="5"/>
    <x v="0"/>
    <x v="1"/>
    <n v="80.069999999999993"/>
    <n v="12010.499999999998"/>
    <n v="3603.1499999999992"/>
    <x v="1"/>
  </r>
  <r>
    <d v="2019-01-05T00:00:00"/>
    <n v="8.01"/>
    <n v="3.69"/>
    <n v="3.1"/>
    <n v="62.75"/>
    <n v="10"/>
    <n v="0"/>
    <n v="30"/>
    <n v="1"/>
    <x v="5"/>
    <x v="0"/>
    <x v="2"/>
    <n v="118.55"/>
    <n v="17782.5"/>
    <n v="5334.75"/>
    <x v="1"/>
  </r>
  <r>
    <d v="2019-01-06T00:00:00"/>
    <n v="8.33"/>
    <n v="10.01"/>
    <n v="2.25"/>
    <n v="47.4"/>
    <n v="11"/>
    <n v="2"/>
    <n v="0"/>
    <n v="3"/>
    <x v="5"/>
    <x v="0"/>
    <x v="3"/>
    <n v="83.99"/>
    <n v="12598.5"/>
    <n v="3779.5499999999997"/>
    <x v="1"/>
  </r>
  <r>
    <d v="2019-01-07T00:00:00"/>
    <n v="0"/>
    <n v="0"/>
    <n v="0"/>
    <n v="0"/>
    <n v="0"/>
    <n v="0"/>
    <n v="0"/>
    <n v="0"/>
    <x v="5"/>
    <x v="0"/>
    <x v="4"/>
    <n v="0"/>
    <n v="0"/>
    <n v="0"/>
    <x v="0"/>
  </r>
  <r>
    <d v="2019-01-08T00:00:00"/>
    <n v="4.34"/>
    <n v="3.32"/>
    <n v="0"/>
    <n v="41.8"/>
    <n v="6"/>
    <n v="0"/>
    <n v="10"/>
    <n v="2"/>
    <x v="5"/>
    <x v="0"/>
    <x v="5"/>
    <n v="67.459999999999994"/>
    <n v="10118.999999999998"/>
    <n v="3035.6999999999994"/>
    <x v="1"/>
  </r>
  <r>
    <d v="2019-01-09T00:00:00"/>
    <n v="3"/>
    <n v="1.33"/>
    <n v="2"/>
    <n v="64.8"/>
    <n v="24"/>
    <n v="3"/>
    <n v="10"/>
    <n v="1"/>
    <x v="5"/>
    <x v="0"/>
    <x v="6"/>
    <n v="109.13"/>
    <n v="16369.5"/>
    <n v="4910.8499999999995"/>
    <x v="1"/>
  </r>
  <r>
    <d v="2019-01-10T00:00:00"/>
    <n v="8"/>
    <n v="3.58"/>
    <n v="5.6"/>
    <n v="39.1"/>
    <n v="12"/>
    <n v="2"/>
    <n v="13"/>
    <n v="1"/>
    <x v="5"/>
    <x v="0"/>
    <x v="0"/>
    <n v="84.28"/>
    <n v="12642"/>
    <n v="3792.6"/>
    <x v="1"/>
  </r>
  <r>
    <d v="2019-01-11T00:00:00"/>
    <n v="5.33"/>
    <n v="7.34"/>
    <n v="3"/>
    <n v="61.6"/>
    <n v="12"/>
    <n v="0"/>
    <n v="6"/>
    <n v="0"/>
    <x v="5"/>
    <x v="0"/>
    <x v="1"/>
    <n v="95.27"/>
    <n v="14290.5"/>
    <n v="4287.1499999999996"/>
    <x v="1"/>
  </r>
  <r>
    <d v="2019-01-12T00:00:00"/>
    <n v="6.66"/>
    <n v="7.02"/>
    <n v="5"/>
    <n v="74.5"/>
    <n v="21.2"/>
    <n v="0"/>
    <n v="10"/>
    <n v="0"/>
    <x v="5"/>
    <x v="0"/>
    <x v="2"/>
    <n v="124.38000000000001"/>
    <n v="18657"/>
    <n v="5597.0999999999995"/>
    <x v="1"/>
  </r>
  <r>
    <d v="2019-01-13T00:00:00"/>
    <n v="8.33"/>
    <n v="5.8140000000000001"/>
    <n v="4.5999999999999996"/>
    <n v="73"/>
    <n v="4"/>
    <n v="1"/>
    <n v="1"/>
    <n v="2"/>
    <x v="5"/>
    <x v="0"/>
    <x v="3"/>
    <n v="99.744"/>
    <n v="14961.6"/>
    <n v="4488.4799999999996"/>
    <x v="1"/>
  </r>
  <r>
    <d v="2019-01-14T00:00:00"/>
    <n v="9"/>
    <n v="9.6999999999999993"/>
    <n v="3"/>
    <n v="51"/>
    <n v="10"/>
    <n v="0"/>
    <n v="18"/>
    <n v="0"/>
    <x v="5"/>
    <x v="0"/>
    <x v="4"/>
    <n v="100.7"/>
    <n v="15105"/>
    <n v="4531.5"/>
    <x v="1"/>
  </r>
  <r>
    <d v="2019-01-15T00:00:00"/>
    <n v="4.33"/>
    <n v="4.33"/>
    <n v="3.65"/>
    <n v="30.4"/>
    <n v="9"/>
    <n v="0"/>
    <n v="19"/>
    <n v="1"/>
    <x v="5"/>
    <x v="0"/>
    <x v="5"/>
    <n v="71.710000000000008"/>
    <n v="10756.500000000002"/>
    <n v="3226.9500000000003"/>
    <x v="1"/>
  </r>
  <r>
    <d v="2019-01-16T00:00:00"/>
    <n v="7.5"/>
    <n v="5.0659999999999998"/>
    <n v="6"/>
    <n v="48.8"/>
    <n v="12"/>
    <n v="0"/>
    <n v="17"/>
    <n v="5"/>
    <x v="5"/>
    <x v="0"/>
    <x v="6"/>
    <n v="101.366"/>
    <n v="15204.9"/>
    <n v="4561.4699999999993"/>
    <x v="1"/>
  </r>
  <r>
    <d v="2019-01-17T00:00:00"/>
    <n v="5.34"/>
    <n v="3.68"/>
    <n v="3.7"/>
    <n v="55.6"/>
    <n v="10"/>
    <n v="3"/>
    <n v="8"/>
    <n v="1"/>
    <x v="5"/>
    <x v="0"/>
    <x v="0"/>
    <n v="90.32"/>
    <n v="13547.999999999998"/>
    <n v="4064.3999999999992"/>
    <x v="1"/>
  </r>
  <r>
    <d v="2019-01-18T00:00:00"/>
    <n v="6.33"/>
    <n v="6.4390000000000001"/>
    <n v="4"/>
    <n v="27.8"/>
    <n v="13"/>
    <n v="0"/>
    <n v="24"/>
    <n v="2"/>
    <x v="5"/>
    <x v="0"/>
    <x v="1"/>
    <n v="83.569000000000003"/>
    <n v="12535.35"/>
    <n v="3760.605"/>
    <x v="1"/>
  </r>
  <r>
    <d v="2019-01-19T00:00:00"/>
    <n v="7.02"/>
    <n v="8.391"/>
    <n v="5.5"/>
    <n v="77.400000000000006"/>
    <n v="9"/>
    <n v="0"/>
    <n v="1"/>
    <n v="3"/>
    <x v="5"/>
    <x v="0"/>
    <x v="2"/>
    <n v="111.31100000000001"/>
    <n v="16696.650000000001"/>
    <n v="5008.9949999999999"/>
    <x v="1"/>
  </r>
  <r>
    <d v="2019-01-20T00:00:00"/>
    <n v="11.67"/>
    <n v="14.462999999999999"/>
    <n v="2.1"/>
    <n v="93.05"/>
    <n v="6"/>
    <n v="0"/>
    <n v="34"/>
    <n v="1"/>
    <x v="5"/>
    <x v="0"/>
    <x v="3"/>
    <n v="162.28300000000002"/>
    <n v="24342.45"/>
    <n v="7302.7349999999997"/>
    <x v="2"/>
  </r>
  <r>
    <d v="2019-01-21T00:00:00"/>
    <n v="4.34"/>
    <n v="5.8250000000000002"/>
    <n v="0"/>
    <n v="67.150000000000006"/>
    <n v="11"/>
    <n v="0"/>
    <n v="31"/>
    <n v="0"/>
    <x v="5"/>
    <x v="0"/>
    <x v="4"/>
    <n v="119.315"/>
    <n v="17897.25"/>
    <n v="5369.1750000000002"/>
    <x v="1"/>
  </r>
  <r>
    <d v="2019-01-22T00:00:00"/>
    <n v="6.83"/>
    <n v="7.0759999999999996"/>
    <n v="1"/>
    <n v="74.900000000000006"/>
    <n v="13"/>
    <n v="1"/>
    <n v="7"/>
    <n v="0"/>
    <x v="5"/>
    <x v="0"/>
    <x v="5"/>
    <n v="110.80600000000001"/>
    <n v="16620.900000000001"/>
    <n v="4986.2700000000004"/>
    <x v="1"/>
  </r>
  <r>
    <d v="2019-01-23T00:00:00"/>
    <n v="3.33"/>
    <n v="8.4629999999999992"/>
    <n v="7.1"/>
    <n v="58.4"/>
    <n v="4"/>
    <n v="0"/>
    <n v="23"/>
    <n v="2"/>
    <x v="5"/>
    <x v="0"/>
    <x v="6"/>
    <n v="106.29300000000001"/>
    <n v="15943.95"/>
    <n v="4783.1850000000004"/>
    <x v="1"/>
  </r>
  <r>
    <d v="2019-01-24T00:00:00"/>
    <n v="4"/>
    <n v="4.4950000000000001"/>
    <n v="6"/>
    <n v="47.3"/>
    <n v="7"/>
    <n v="4"/>
    <n v="2"/>
    <n v="3"/>
    <x v="5"/>
    <x v="0"/>
    <x v="0"/>
    <n v="77.795000000000002"/>
    <n v="11669.25"/>
    <n v="3500.7750000000001"/>
    <x v="1"/>
  </r>
  <r>
    <d v="2019-01-25T00:00:00"/>
    <n v="2.33"/>
    <n v="7.18"/>
    <n v="4"/>
    <n v="32.65"/>
    <n v="11"/>
    <n v="2"/>
    <n v="11"/>
    <n v="1"/>
    <x v="5"/>
    <x v="0"/>
    <x v="1"/>
    <n v="71.16"/>
    <n v="10674"/>
    <n v="3202.2"/>
    <x v="1"/>
  </r>
  <r>
    <d v="2019-01-26T00:00:00"/>
    <n v="7"/>
    <n v="8.4589999999999996"/>
    <n v="2.4"/>
    <n v="97.8"/>
    <n v="11"/>
    <n v="1"/>
    <n v="13"/>
    <n v="1"/>
    <x v="5"/>
    <x v="0"/>
    <x v="2"/>
    <n v="141.65899999999999"/>
    <n v="21248.85"/>
    <n v="6374.6549999999997"/>
    <x v="2"/>
  </r>
  <r>
    <d v="2019-01-27T00:00:00"/>
    <n v="10.52"/>
    <n v="11.744999999999999"/>
    <n v="2"/>
    <n v="100.1"/>
    <n v="12"/>
    <n v="1"/>
    <n v="6"/>
    <n v="2"/>
    <x v="5"/>
    <x v="0"/>
    <x v="3"/>
    <n v="145.36500000000001"/>
    <n v="21804.75"/>
    <n v="6541.4250000000002"/>
    <x v="2"/>
  </r>
  <r>
    <d v="2019-01-28T00:00:00"/>
    <n v="8.5"/>
    <n v="7.109"/>
    <n v="3"/>
    <n v="45"/>
    <n v="11"/>
    <n v="0"/>
    <n v="28"/>
    <n v="3"/>
    <x v="5"/>
    <x v="0"/>
    <x v="4"/>
    <n v="105.60900000000001"/>
    <n v="15841.350000000002"/>
    <n v="4752.4050000000007"/>
    <x v="1"/>
  </r>
  <r>
    <d v="2019-01-29T00:00:00"/>
    <n v="5"/>
    <n v="5"/>
    <n v="3.45"/>
    <n v="38.799999999999997"/>
    <n v="10"/>
    <n v="2"/>
    <n v="15"/>
    <n v="0"/>
    <x v="5"/>
    <x v="0"/>
    <x v="5"/>
    <n v="79.25"/>
    <n v="11887.5"/>
    <n v="3566.25"/>
    <x v="1"/>
  </r>
  <r>
    <d v="2019-01-30T00:00:00"/>
    <n v="6.33"/>
    <n v="5.7130000000000001"/>
    <n v="2.25"/>
    <n v="52.311999999999998"/>
    <n v="8"/>
    <n v="0"/>
    <n v="11"/>
    <n v="1.3"/>
    <x v="5"/>
    <x v="0"/>
    <x v="6"/>
    <n v="86.904999999999987"/>
    <n v="13035.749999999998"/>
    <n v="3910.7249999999995"/>
    <x v="1"/>
  </r>
  <r>
    <d v="2019-01-31T00:00:00"/>
    <n v="1.67"/>
    <n v="11.505000000000001"/>
    <n v="2"/>
    <n v="62.2"/>
    <n v="8"/>
    <n v="1"/>
    <n v="20"/>
    <n v="2"/>
    <x v="5"/>
    <x v="0"/>
    <x v="0"/>
    <n v="108.375"/>
    <n v="16256.25"/>
    <n v="4876.875"/>
    <x v="1"/>
  </r>
  <r>
    <d v="2019-02-01T00:00:00"/>
    <n v="11.34"/>
    <n v="1.726"/>
    <n v="8"/>
    <n v="38.9"/>
    <n v="9"/>
    <n v="0"/>
    <n v="7"/>
    <n v="3"/>
    <x v="5"/>
    <x v="1"/>
    <x v="1"/>
    <n v="78.965999999999994"/>
    <n v="11844.9"/>
    <n v="3553.47"/>
    <x v="1"/>
  </r>
  <r>
    <d v="2019-02-02T00:00:00"/>
    <n v="13.34"/>
    <n v="12.706"/>
    <n v="6.2"/>
    <n v="64.262"/>
    <n v="8"/>
    <n v="1"/>
    <n v="45"/>
    <n v="0"/>
    <x v="5"/>
    <x v="1"/>
    <x v="2"/>
    <n v="150.50800000000001"/>
    <n v="22576.2"/>
    <n v="6772.86"/>
    <x v="2"/>
  </r>
  <r>
    <d v="2019-02-03T00:00:00"/>
    <n v="6"/>
    <n v="9.8119999999999994"/>
    <n v="5.75"/>
    <n v="47.088000000000001"/>
    <n v="10"/>
    <n v="1"/>
    <n v="5"/>
    <n v="4.4000000000000004"/>
    <x v="5"/>
    <x v="1"/>
    <x v="3"/>
    <n v="89.050000000000011"/>
    <n v="13357.500000000002"/>
    <n v="4007.2500000000005"/>
    <x v="1"/>
  </r>
  <r>
    <d v="2019-02-04T00:00:00"/>
    <n v="6.33"/>
    <n v="6.68"/>
    <n v="3"/>
    <n v="47"/>
    <n v="5"/>
    <n v="1"/>
    <n v="12"/>
    <n v="2"/>
    <x v="5"/>
    <x v="1"/>
    <x v="4"/>
    <n v="83.009999999999991"/>
    <n v="12451.499999999998"/>
    <n v="3735.4499999999994"/>
    <x v="1"/>
  </r>
  <r>
    <d v="2019-02-05T00:00:00"/>
    <n v="5.33"/>
    <n v="10.385999999999999"/>
    <n v="3.65"/>
    <n v="33.799999999999997"/>
    <n v="2"/>
    <n v="0"/>
    <n v="1"/>
    <n v="4"/>
    <x v="5"/>
    <x v="1"/>
    <x v="5"/>
    <n v="60.165999999999997"/>
    <n v="9024.9"/>
    <n v="2707.47"/>
    <x v="0"/>
  </r>
  <r>
    <d v="2019-02-06T00:00:00"/>
    <n v="6.34"/>
    <n v="4.1779999999999999"/>
    <n v="2.2000000000000002"/>
    <n v="29"/>
    <n v="4"/>
    <n v="0"/>
    <n v="4"/>
    <n v="1.5"/>
    <x v="5"/>
    <x v="1"/>
    <x v="6"/>
    <n v="51.218000000000004"/>
    <n v="7682.7000000000007"/>
    <n v="2304.81"/>
    <x v="0"/>
  </r>
  <r>
    <d v="2019-02-07T00:00:00"/>
    <n v="2.33"/>
    <n v="5.1319999999999997"/>
    <n v="4.5"/>
    <n v="42.6"/>
    <n v="11"/>
    <n v="0"/>
    <n v="22"/>
    <n v="1"/>
    <x v="5"/>
    <x v="1"/>
    <x v="0"/>
    <n v="88.561999999999998"/>
    <n v="13284.3"/>
    <n v="3985.2899999999995"/>
    <x v="1"/>
  </r>
  <r>
    <d v="2019-02-08T00:00:00"/>
    <n v="2"/>
    <n v="6.3730000000000002"/>
    <n v="7"/>
    <n v="50.2"/>
    <n v="9"/>
    <n v="3"/>
    <n v="12"/>
    <n v="5"/>
    <x v="5"/>
    <x v="1"/>
    <x v="1"/>
    <n v="94.573000000000008"/>
    <n v="14185.95"/>
    <n v="4255.7849999999999"/>
    <x v="1"/>
  </r>
  <r>
    <d v="2019-02-09T00:00:00"/>
    <n v="6.68"/>
    <n v="7.383"/>
    <n v="5"/>
    <n v="51.65"/>
    <n v="10"/>
    <n v="0"/>
    <n v="11"/>
    <n v="1"/>
    <x v="5"/>
    <x v="1"/>
    <x v="2"/>
    <n v="92.712999999999994"/>
    <n v="13906.949999999999"/>
    <n v="4172.0849999999991"/>
    <x v="1"/>
  </r>
  <r>
    <d v="2019-02-10T00:00:00"/>
    <n v="3.34"/>
    <n v="7.1189999999999998"/>
    <n v="3.35"/>
    <n v="43.2"/>
    <n v="9"/>
    <n v="0"/>
    <n v="0"/>
    <n v="1.2"/>
    <x v="5"/>
    <x v="1"/>
    <x v="3"/>
    <n v="67.209000000000003"/>
    <n v="10081.35"/>
    <n v="3024.4050000000002"/>
    <x v="1"/>
  </r>
  <r>
    <d v="2019-02-11T00:00:00"/>
    <n v="8"/>
    <n v="7.4690000000000003"/>
    <n v="6.15"/>
    <n v="30"/>
    <n v="10"/>
    <n v="0"/>
    <n v="5"/>
    <n v="3"/>
    <x v="5"/>
    <x v="1"/>
    <x v="4"/>
    <n v="69.619"/>
    <n v="10442.85"/>
    <n v="3132.855"/>
    <x v="1"/>
  </r>
  <r>
    <d v="2019-02-12T00:00:00"/>
    <n v="6.66"/>
    <n v="3.34"/>
    <n v="0"/>
    <n v="34.6"/>
    <n v="8.1999999999999993"/>
    <n v="0"/>
    <n v="6"/>
    <n v="0.5"/>
    <x v="5"/>
    <x v="1"/>
    <x v="5"/>
    <n v="59.3"/>
    <n v="8895"/>
    <n v="2668.5"/>
    <x v="0"/>
  </r>
  <r>
    <d v="2019-02-13T00:00:00"/>
    <n v="4"/>
    <n v="4.01"/>
    <n v="1"/>
    <n v="27.2"/>
    <n v="16"/>
    <n v="0"/>
    <n v="8"/>
    <n v="2"/>
    <x v="5"/>
    <x v="1"/>
    <x v="6"/>
    <n v="62.21"/>
    <n v="9331.5"/>
    <n v="2799.45"/>
    <x v="0"/>
  </r>
  <r>
    <d v="2019-02-14T00:00:00"/>
    <n v="2.33"/>
    <n v="6.5170000000000003"/>
    <n v="3.15"/>
    <n v="54.5"/>
    <n v="9"/>
    <n v="0"/>
    <n v="7"/>
    <n v="3"/>
    <x v="5"/>
    <x v="1"/>
    <x v="0"/>
    <n v="85.497"/>
    <n v="12824.55"/>
    <n v="3847.3649999999998"/>
    <x v="1"/>
  </r>
  <r>
    <d v="2019-02-15T00:00:00"/>
    <n v="5.34"/>
    <n v="5"/>
    <n v="12.5"/>
    <n v="52.05"/>
    <n v="16"/>
    <n v="0"/>
    <n v="3"/>
    <n v="2"/>
    <x v="5"/>
    <x v="1"/>
    <x v="1"/>
    <n v="95.89"/>
    <n v="14383.5"/>
    <n v="4315.05"/>
    <x v="1"/>
  </r>
  <r>
    <d v="2019-02-16T00:00:00"/>
    <n v="6.34"/>
    <n v="6.02"/>
    <n v="5"/>
    <n v="36.4"/>
    <n v="8"/>
    <n v="0"/>
    <n v="6"/>
    <n v="3"/>
    <x v="5"/>
    <x v="1"/>
    <x v="2"/>
    <n v="70.759999999999991"/>
    <n v="10613.999999999998"/>
    <n v="3184.1999999999994"/>
    <x v="1"/>
  </r>
  <r>
    <d v="2019-02-17T00:00:00"/>
    <n v="2.34"/>
    <n v="4.4160000000000004"/>
    <n v="4"/>
    <n v="15.162000000000001"/>
    <n v="11.2"/>
    <n v="0"/>
    <n v="0"/>
    <n v="3.1"/>
    <x v="5"/>
    <x v="1"/>
    <x v="3"/>
    <n v="40.217999999999996"/>
    <n v="6032.7"/>
    <n v="1809.81"/>
    <x v="0"/>
  </r>
  <r>
    <d v="2019-02-18T00:00:00"/>
    <n v="3.34"/>
    <n v="2.0760000000000001"/>
    <n v="3.6"/>
    <n v="27.4"/>
    <n v="7"/>
    <n v="0"/>
    <n v="10"/>
    <n v="0"/>
    <x v="5"/>
    <x v="1"/>
    <x v="4"/>
    <n v="53.415999999999997"/>
    <n v="8012.4"/>
    <n v="2403.7199999999998"/>
    <x v="0"/>
  </r>
  <r>
    <d v="2019-02-19T00:00:00"/>
    <n v="3.33"/>
    <n v="4.33"/>
    <n v="1.5"/>
    <n v="27.4"/>
    <n v="15"/>
    <n v="2"/>
    <n v="6"/>
    <n v="3"/>
    <x v="5"/>
    <x v="1"/>
    <x v="5"/>
    <n v="62.56"/>
    <n v="9384"/>
    <n v="2815.2"/>
    <x v="0"/>
  </r>
  <r>
    <d v="2019-02-20T00:00:00"/>
    <n v="2.34"/>
    <n v="4.7789999999999999"/>
    <n v="3.3"/>
    <n v="30.6"/>
    <n v="14"/>
    <n v="0"/>
    <n v="7"/>
    <n v="3"/>
    <x v="5"/>
    <x v="1"/>
    <x v="6"/>
    <n v="65.019000000000005"/>
    <n v="9752.85"/>
    <n v="2925.855"/>
    <x v="0"/>
  </r>
  <r>
    <d v="2019-02-21T00:00:00"/>
    <n v="1.66"/>
    <n v="5"/>
    <n v="2.1"/>
    <n v="45.4"/>
    <n v="15"/>
    <n v="1"/>
    <n v="5"/>
    <n v="2"/>
    <x v="5"/>
    <x v="1"/>
    <x v="0"/>
    <n v="77.16"/>
    <n v="11574"/>
    <n v="3472.2"/>
    <x v="1"/>
  </r>
  <r>
    <d v="2019-02-22T00:00:00"/>
    <n v="2.33"/>
    <n v="2"/>
    <n v="1.2"/>
    <n v="16"/>
    <n v="5"/>
    <n v="0"/>
    <n v="1"/>
    <n v="2"/>
    <x v="5"/>
    <x v="1"/>
    <x v="1"/>
    <n v="29.53"/>
    <n v="4429.5"/>
    <n v="1328.85"/>
    <x v="0"/>
  </r>
  <r>
    <d v="2019-02-23T00:00:00"/>
    <n v="5.01"/>
    <n v="2.44"/>
    <n v="3.2"/>
    <n v="38.200000000000003"/>
    <n v="13"/>
    <n v="0"/>
    <n v="0"/>
    <n v="1.3"/>
    <x v="5"/>
    <x v="1"/>
    <x v="2"/>
    <n v="63.15"/>
    <n v="9472.5"/>
    <n v="2841.75"/>
    <x v="0"/>
  </r>
  <r>
    <d v="2019-02-24T00:00:00"/>
    <n v="4.34"/>
    <n v="4.01"/>
    <n v="1.5"/>
    <n v="19"/>
    <n v="2"/>
    <n v="0"/>
    <n v="2"/>
    <n v="2"/>
    <x v="5"/>
    <x v="1"/>
    <x v="3"/>
    <n v="34.85"/>
    <n v="5227.5"/>
    <n v="1568.25"/>
    <x v="0"/>
  </r>
  <r>
    <d v="2019-02-25T00:00:00"/>
    <n v="5.34"/>
    <n v="1.423"/>
    <n v="3"/>
    <n v="25.2"/>
    <n v="4"/>
    <n v="2"/>
    <n v="2"/>
    <n v="3"/>
    <x v="5"/>
    <x v="1"/>
    <x v="4"/>
    <n v="45.963000000000001"/>
    <n v="6894.45"/>
    <n v="2068.335"/>
    <x v="0"/>
  </r>
  <r>
    <d v="2019-02-26T00:00:00"/>
    <n v="2.33"/>
    <n v="3.83"/>
    <n v="5.15"/>
    <n v="27"/>
    <n v="8"/>
    <n v="0"/>
    <n v="3"/>
    <n v="3"/>
    <x v="5"/>
    <x v="1"/>
    <x v="5"/>
    <n v="52.31"/>
    <n v="7846.5"/>
    <n v="2353.9499999999998"/>
    <x v="0"/>
  </r>
  <r>
    <d v="2019-02-27T00:00:00"/>
    <n v="5"/>
    <n v="0.67"/>
    <n v="1.2"/>
    <n v="13.4"/>
    <n v="9"/>
    <n v="0"/>
    <n v="1"/>
    <n v="7.5"/>
    <x v="5"/>
    <x v="1"/>
    <x v="6"/>
    <n v="37.769999999999996"/>
    <n v="5665.4999999999991"/>
    <n v="1699.6499999999996"/>
    <x v="0"/>
  </r>
  <r>
    <d v="2019-02-28T00:00:00"/>
    <n v="0.67"/>
    <n v="3.33"/>
    <n v="4"/>
    <n v="34"/>
    <n v="2"/>
    <n v="1"/>
    <n v="35"/>
    <n v="3"/>
    <x v="5"/>
    <x v="1"/>
    <x v="0"/>
    <n v="83"/>
    <n v="12450"/>
    <n v="3735"/>
    <x v="1"/>
  </r>
  <r>
    <d v="2019-03-01T00:00:00"/>
    <n v="1.33"/>
    <n v="3.8210000000000002"/>
    <n v="2.5"/>
    <n v="22.2"/>
    <n v="12"/>
    <n v="0"/>
    <n v="6"/>
    <n v="2"/>
    <x v="5"/>
    <x v="2"/>
    <x v="1"/>
    <n v="49.850999999999999"/>
    <n v="7477.65"/>
    <n v="2243.2949999999996"/>
    <x v="0"/>
  </r>
  <r>
    <d v="2019-03-02T00:00:00"/>
    <n v="4.01"/>
    <n v="1.33"/>
    <n v="4"/>
    <n v="46"/>
    <n v="9"/>
    <n v="3"/>
    <n v="0"/>
    <n v="5"/>
    <x v="5"/>
    <x v="2"/>
    <x v="2"/>
    <n v="72.34"/>
    <n v="10851"/>
    <n v="3255.2999999999997"/>
    <x v="1"/>
  </r>
  <r>
    <d v="2019-03-03T00:00:00"/>
    <n v="8"/>
    <n v="4.01"/>
    <n v="1"/>
    <n v="20"/>
    <n v="5"/>
    <n v="0"/>
    <n v="10"/>
    <n v="0.4"/>
    <x v="5"/>
    <x v="2"/>
    <x v="3"/>
    <n v="48.41"/>
    <n v="7261.4999999999991"/>
    <n v="2178.4499999999998"/>
    <x v="0"/>
  </r>
  <r>
    <d v="2019-03-04T00:00:00"/>
    <n v="5.33"/>
    <n v="2.67"/>
    <n v="7"/>
    <n v="41"/>
    <n v="3"/>
    <n v="0"/>
    <n v="5"/>
    <n v="2"/>
    <x v="5"/>
    <x v="2"/>
    <x v="4"/>
    <n v="66"/>
    <n v="9900"/>
    <n v="2970"/>
    <x v="0"/>
  </r>
  <r>
    <d v="2019-03-05T00:00:00"/>
    <n v="3.01"/>
    <n v="2.33"/>
    <n v="0.2"/>
    <n v="20"/>
    <n v="8"/>
    <n v="3"/>
    <n v="6"/>
    <n v="5.3"/>
    <x v="5"/>
    <x v="2"/>
    <x v="5"/>
    <n v="47.839999999999996"/>
    <n v="7175.9999999999991"/>
    <n v="2152.7999999999997"/>
    <x v="0"/>
  </r>
  <r>
    <d v="2019-03-06T00:00:00"/>
    <n v="0.34"/>
    <n v="1.3959999999999999"/>
    <n v="0.7"/>
    <n v="31"/>
    <n v="17"/>
    <n v="1"/>
    <n v="5"/>
    <n v="3"/>
    <x v="5"/>
    <x v="2"/>
    <x v="6"/>
    <n v="59.436"/>
    <n v="8915.4"/>
    <n v="2674.62"/>
    <x v="0"/>
  </r>
  <r>
    <d v="2019-03-07T00:00:00"/>
    <n v="7.33"/>
    <n v="2.0760000000000001"/>
    <n v="4.25"/>
    <n v="10"/>
    <n v="24"/>
    <n v="0"/>
    <n v="0"/>
    <n v="4"/>
    <x v="5"/>
    <x v="2"/>
    <x v="0"/>
    <n v="51.655999999999999"/>
    <n v="7748.4"/>
    <n v="2324.52"/>
    <x v="0"/>
  </r>
  <r>
    <d v="2019-03-08T00:00:00"/>
    <n v="2.33"/>
    <n v="3.34"/>
    <n v="0.2"/>
    <n v="33.700000000000003"/>
    <n v="4"/>
    <n v="1"/>
    <n v="0"/>
    <n v="4.3"/>
    <x v="5"/>
    <x v="2"/>
    <x v="1"/>
    <n v="48.87"/>
    <n v="7330.5"/>
    <n v="2199.15"/>
    <x v="0"/>
  </r>
  <r>
    <d v="2019-03-09T00:00:00"/>
    <n v="6.34"/>
    <n v="1.67"/>
    <n v="4"/>
    <n v="45.2"/>
    <n v="11"/>
    <n v="0"/>
    <n v="7"/>
    <n v="5"/>
    <x v="5"/>
    <x v="2"/>
    <x v="2"/>
    <n v="80.210000000000008"/>
    <n v="12031.500000000002"/>
    <n v="3609.4500000000003"/>
    <x v="1"/>
  </r>
  <r>
    <d v="2019-03-10T00:00:00"/>
    <n v="5.83"/>
    <n v="3.0870000000000002"/>
    <n v="5.35"/>
    <n v="51"/>
    <n v="5"/>
    <n v="0"/>
    <n v="3"/>
    <n v="9"/>
    <x v="5"/>
    <x v="2"/>
    <x v="3"/>
    <n v="82.266999999999996"/>
    <n v="12340.05"/>
    <n v="3702.0149999999994"/>
    <x v="1"/>
  </r>
  <r>
    <d v="2019-03-11T00:00:00"/>
    <n v="14.66"/>
    <n v="3.67"/>
    <n v="2.5"/>
    <n v="26.4"/>
    <n v="10"/>
    <n v="3"/>
    <n v="11"/>
    <n v="3"/>
    <x v="5"/>
    <x v="2"/>
    <x v="4"/>
    <n v="74.22999999999999"/>
    <n v="11134.499999999998"/>
    <n v="3340.3499999999995"/>
    <x v="1"/>
  </r>
  <r>
    <d v="2019-03-12T00:00:00"/>
    <n v="4.33"/>
    <n v="3.3730000000000002"/>
    <n v="1.5"/>
    <n v="31.85"/>
    <n v="12"/>
    <n v="0"/>
    <n v="7"/>
    <n v="2"/>
    <x v="5"/>
    <x v="2"/>
    <x v="5"/>
    <n v="62.052999999999997"/>
    <n v="9307.9499999999989"/>
    <n v="2792.3849999999998"/>
    <x v="0"/>
  </r>
  <r>
    <d v="2019-03-13T00:00:00"/>
    <n v="2.67"/>
    <n v="4.34"/>
    <n v="6"/>
    <n v="22"/>
    <n v="10"/>
    <n v="0"/>
    <n v="8"/>
    <n v="4"/>
    <x v="5"/>
    <x v="2"/>
    <x v="6"/>
    <n v="57.01"/>
    <n v="8551.5"/>
    <n v="2565.4499999999998"/>
    <x v="0"/>
  </r>
  <r>
    <d v="2019-03-14T00:00:00"/>
    <n v="4"/>
    <n v="5.67"/>
    <n v="0.2"/>
    <n v="47.2"/>
    <n v="12"/>
    <n v="1"/>
    <n v="27"/>
    <n v="6"/>
    <x v="5"/>
    <x v="2"/>
    <x v="0"/>
    <n v="103.07"/>
    <n v="15460.499999999998"/>
    <n v="4638.1499999999996"/>
    <x v="1"/>
  </r>
  <r>
    <d v="2019-03-15T00:00:00"/>
    <n v="2.83"/>
    <n v="1.34"/>
    <n v="3"/>
    <n v="40"/>
    <n v="7"/>
    <n v="1"/>
    <n v="20"/>
    <n v="5"/>
    <x v="5"/>
    <x v="2"/>
    <x v="1"/>
    <n v="80.17"/>
    <n v="12025.5"/>
    <n v="3607.65"/>
    <x v="1"/>
  </r>
  <r>
    <d v="2019-03-16T00:00:00"/>
    <n v="8.34"/>
    <n v="0.83699999999999997"/>
    <n v="5"/>
    <n v="29"/>
    <n v="9"/>
    <n v="0"/>
    <n v="5"/>
    <n v="7"/>
    <x v="5"/>
    <x v="2"/>
    <x v="2"/>
    <n v="64.176999999999992"/>
    <n v="9626.5499999999993"/>
    <n v="2887.9649999999997"/>
    <x v="0"/>
  </r>
  <r>
    <d v="2019-03-17T00:00:00"/>
    <n v="6.68"/>
    <n v="3.7229999999999999"/>
    <n v="2"/>
    <n v="55"/>
    <n v="6"/>
    <n v="0"/>
    <n v="10"/>
    <n v="5"/>
    <x v="5"/>
    <x v="2"/>
    <x v="3"/>
    <n v="88.402999999999992"/>
    <n v="13260.449999999999"/>
    <n v="3978.1349999999993"/>
    <x v="1"/>
  </r>
  <r>
    <d v="2019-03-18T00:00:00"/>
    <n v="2.33"/>
    <n v="0.83499999999999996"/>
    <n v="2.1"/>
    <n v="23"/>
    <n v="11"/>
    <n v="0"/>
    <n v="1"/>
    <n v="9"/>
    <x v="5"/>
    <x v="2"/>
    <x v="4"/>
    <n v="49.265000000000001"/>
    <n v="7389.75"/>
    <n v="2216.9249999999997"/>
    <x v="0"/>
  </r>
  <r>
    <d v="2019-03-19T00:00:00"/>
    <n v="9"/>
    <n v="3.33"/>
    <n v="1.5"/>
    <n v="26.2"/>
    <n v="10"/>
    <n v="1"/>
    <n v="2"/>
    <n v="8"/>
    <x v="5"/>
    <x v="2"/>
    <x v="5"/>
    <n v="61.03"/>
    <n v="9154.5"/>
    <n v="2746.35"/>
    <x v="0"/>
  </r>
  <r>
    <d v="2019-03-20T00:00:00"/>
    <n v="5.67"/>
    <n v="2"/>
    <n v="2"/>
    <n v="28.9"/>
    <n v="8.1999999999999993"/>
    <n v="0"/>
    <n v="19"/>
    <n v="5"/>
    <x v="5"/>
    <x v="2"/>
    <x v="6"/>
    <n v="70.77"/>
    <n v="10615.5"/>
    <n v="3184.65"/>
    <x v="1"/>
  </r>
  <r>
    <d v="2019-03-21T00:00:00"/>
    <n v="2.33"/>
    <n v="1.423"/>
    <n v="0"/>
    <n v="18.8"/>
    <n v="13"/>
    <n v="0"/>
    <n v="6"/>
    <n v="5"/>
    <x v="5"/>
    <x v="2"/>
    <x v="0"/>
    <n v="46.552999999999997"/>
    <n v="6982.95"/>
    <n v="2094.8849999999998"/>
    <x v="0"/>
  </r>
  <r>
    <d v="2019-03-22T00:00:00"/>
    <n v="4.66"/>
    <n v="7.0430000000000001"/>
    <n v="1.1000000000000001"/>
    <n v="41"/>
    <n v="13"/>
    <n v="0"/>
    <n v="29"/>
    <n v="6"/>
    <x v="5"/>
    <x v="2"/>
    <x v="1"/>
    <n v="101.803"/>
    <n v="15270.449999999999"/>
    <n v="4581.1349999999993"/>
    <x v="1"/>
  </r>
  <r>
    <d v="2019-03-23T00:00:00"/>
    <n v="6"/>
    <n v="3.36"/>
    <n v="4.25"/>
    <n v="15.5"/>
    <n v="7"/>
    <n v="0"/>
    <n v="1"/>
    <n v="5"/>
    <x v="5"/>
    <x v="2"/>
    <x v="2"/>
    <n v="42.11"/>
    <n v="6316.5"/>
    <n v="1894.9499999999998"/>
    <x v="0"/>
  </r>
  <r>
    <d v="2019-03-24T00:00:00"/>
    <n v="6"/>
    <n v="2.67"/>
    <n v="3"/>
    <n v="43.2"/>
    <n v="6.2"/>
    <n v="1"/>
    <n v="16"/>
    <n v="10"/>
    <x v="5"/>
    <x v="2"/>
    <x v="3"/>
    <n v="88.070000000000007"/>
    <n v="13210.500000000002"/>
    <n v="3963.1500000000005"/>
    <x v="1"/>
  </r>
  <r>
    <d v="2019-03-25T00:00:00"/>
    <n v="4.84"/>
    <n v="4.5229999999999997"/>
    <n v="6"/>
    <n v="27"/>
    <n v="11"/>
    <n v="1"/>
    <n v="6"/>
    <n v="6"/>
    <x v="5"/>
    <x v="2"/>
    <x v="4"/>
    <n v="66.363"/>
    <n v="9954.4500000000007"/>
    <n v="2986.335"/>
    <x v="0"/>
  </r>
  <r>
    <d v="2019-03-26T00:00:00"/>
    <n v="4"/>
    <n v="5.51"/>
    <n v="3"/>
    <n v="36"/>
    <n v="11"/>
    <n v="0"/>
    <n v="19"/>
    <n v="9"/>
    <x v="5"/>
    <x v="2"/>
    <x v="5"/>
    <n v="87.509999999999991"/>
    <n v="13126.499999999998"/>
    <n v="3937.9499999999994"/>
    <x v="1"/>
  </r>
  <r>
    <d v="2019-03-27T00:00:00"/>
    <n v="6.34"/>
    <n v="7.7690000000000001"/>
    <n v="3"/>
    <n v="25.6"/>
    <n v="12"/>
    <n v="1"/>
    <n v="0"/>
    <n v="9"/>
    <x v="5"/>
    <x v="2"/>
    <x v="6"/>
    <n v="64.709000000000003"/>
    <n v="9706.35"/>
    <n v="2911.9050000000002"/>
    <x v="0"/>
  </r>
  <r>
    <d v="2019-03-28T00:00:00"/>
    <n v="1.33"/>
    <n v="6.43"/>
    <n v="1.4"/>
    <n v="14"/>
    <n v="6"/>
    <n v="0"/>
    <n v="7"/>
    <n v="1"/>
    <x v="5"/>
    <x v="2"/>
    <x v="0"/>
    <n v="37.159999999999997"/>
    <n v="5573.9999999999991"/>
    <n v="1672.1999999999996"/>
    <x v="0"/>
  </r>
  <r>
    <d v="2019-03-29T00:00:00"/>
    <n v="3"/>
    <n v="4.298"/>
    <n v="4"/>
    <n v="25.3"/>
    <n v="10"/>
    <n v="0"/>
    <n v="16"/>
    <n v="9.1999999999999993"/>
    <x v="5"/>
    <x v="2"/>
    <x v="1"/>
    <n v="71.798000000000002"/>
    <n v="10769.7"/>
    <n v="3230.9100000000003"/>
    <x v="1"/>
  </r>
  <r>
    <d v="2019-03-30T00:00:00"/>
    <n v="4.66"/>
    <n v="10.68"/>
    <n v="1.1000000000000001"/>
    <n v="18"/>
    <n v="11"/>
    <n v="1"/>
    <n v="0"/>
    <n v="6.1"/>
    <x v="5"/>
    <x v="2"/>
    <x v="2"/>
    <n v="52.54"/>
    <n v="7881"/>
    <n v="2364.2999999999997"/>
    <x v="0"/>
  </r>
  <r>
    <d v="2019-03-31T00:00:00"/>
    <n v="7"/>
    <n v="4.5640000000000001"/>
    <n v="1.5"/>
    <n v="27"/>
    <n v="8"/>
    <n v="1"/>
    <n v="5"/>
    <n v="9.1999999999999993"/>
    <x v="5"/>
    <x v="2"/>
    <x v="3"/>
    <n v="63.263999999999996"/>
    <n v="9489.5999999999985"/>
    <n v="2846.8799999999997"/>
    <x v="0"/>
  </r>
  <r>
    <d v="2019-04-01T00:00:00"/>
    <n v="3.01"/>
    <n v="1.7030000000000001"/>
    <n v="3"/>
    <n v="34.65"/>
    <n v="12"/>
    <n v="0"/>
    <n v="5"/>
    <n v="5"/>
    <x v="5"/>
    <x v="3"/>
    <x v="4"/>
    <n v="64.363"/>
    <n v="9654.4500000000007"/>
    <n v="2896.335"/>
    <x v="0"/>
  </r>
  <r>
    <d v="2019-04-02T00:00:00"/>
    <n v="7.67"/>
    <n v="1.33"/>
    <n v="3"/>
    <n v="24"/>
    <n v="7"/>
    <n v="0"/>
    <n v="10"/>
    <n v="8"/>
    <x v="5"/>
    <x v="3"/>
    <x v="5"/>
    <n v="61"/>
    <n v="9150"/>
    <n v="2745"/>
    <x v="0"/>
  </r>
  <r>
    <d v="2019-04-03T00:00:00"/>
    <n v="5.33"/>
    <n v="5.0990000000000002"/>
    <n v="1.5"/>
    <n v="18.3"/>
    <n v="12"/>
    <n v="0"/>
    <n v="4"/>
    <n v="9.3000000000000007"/>
    <x v="5"/>
    <x v="3"/>
    <x v="6"/>
    <n v="55.528999999999996"/>
    <n v="8329.3499999999985"/>
    <n v="2498.8049999999994"/>
    <x v="0"/>
  </r>
  <r>
    <d v="2019-04-04T00:00:00"/>
    <n v="4.5"/>
    <n v="2.226"/>
    <n v="8"/>
    <n v="39"/>
    <n v="8"/>
    <n v="1"/>
    <n v="13"/>
    <n v="15"/>
    <x v="5"/>
    <x v="3"/>
    <x v="0"/>
    <n v="90.725999999999999"/>
    <n v="13608.9"/>
    <n v="4082.6699999999996"/>
    <x v="1"/>
  </r>
  <r>
    <d v="2019-04-05T00:00:00"/>
    <n v="6.34"/>
    <n v="4.1980000000000004"/>
    <n v="4"/>
    <n v="25.2"/>
    <n v="7"/>
    <n v="0"/>
    <n v="3"/>
    <n v="4"/>
    <x v="5"/>
    <x v="3"/>
    <x v="1"/>
    <n v="53.738"/>
    <n v="8060.7"/>
    <n v="2418.21"/>
    <x v="0"/>
  </r>
  <r>
    <d v="2019-04-06T00:00:00"/>
    <n v="3.34"/>
    <n v="6.01"/>
    <n v="3"/>
    <n v="13.2"/>
    <n v="13"/>
    <n v="0"/>
    <n v="16"/>
    <n v="9.3000000000000007"/>
    <x v="5"/>
    <x v="3"/>
    <x v="2"/>
    <n v="63.849999999999994"/>
    <n v="9577.5"/>
    <n v="2873.25"/>
    <x v="0"/>
  </r>
  <r>
    <d v="2019-04-07T00:00:00"/>
    <n v="6"/>
    <n v="5.1189999999999998"/>
    <n v="4"/>
    <n v="19"/>
    <n v="3"/>
    <n v="0"/>
    <n v="0"/>
    <n v="7"/>
    <x v="5"/>
    <x v="3"/>
    <x v="3"/>
    <n v="44.119"/>
    <n v="6617.85"/>
    <n v="1985.355"/>
    <x v="0"/>
  </r>
  <r>
    <d v="2019-04-08T00:00:00"/>
    <n v="5"/>
    <n v="4.3499999999999996"/>
    <n v="3.3"/>
    <n v="10"/>
    <n v="8.1999999999999993"/>
    <n v="0"/>
    <n v="4"/>
    <n v="3"/>
    <x v="5"/>
    <x v="3"/>
    <x v="4"/>
    <n v="37.849999999999994"/>
    <n v="5677.4999999999991"/>
    <n v="1703.2499999999998"/>
    <x v="0"/>
  </r>
  <r>
    <d v="2019-04-09T00:00:00"/>
    <n v="2.83"/>
    <n v="2"/>
    <n v="1"/>
    <n v="12"/>
    <n v="10"/>
    <n v="0"/>
    <n v="3"/>
    <n v="5"/>
    <x v="5"/>
    <x v="3"/>
    <x v="5"/>
    <n v="35.83"/>
    <n v="5374.5"/>
    <n v="1612.35"/>
    <x v="0"/>
  </r>
  <r>
    <d v="2019-04-10T00:00:00"/>
    <n v="2.34"/>
    <n v="2.746"/>
    <n v="2"/>
    <n v="34"/>
    <n v="16.2"/>
    <n v="3"/>
    <n v="9"/>
    <n v="8"/>
    <x v="5"/>
    <x v="3"/>
    <x v="6"/>
    <n v="77.286000000000001"/>
    <n v="11592.9"/>
    <n v="3477.87"/>
    <x v="1"/>
  </r>
  <r>
    <d v="2019-04-11T00:00:00"/>
    <n v="7.33"/>
    <n v="6.1559999999999997"/>
    <n v="2"/>
    <n v="15.9"/>
    <n v="15"/>
    <n v="0"/>
    <n v="7"/>
    <n v="8"/>
    <x v="5"/>
    <x v="3"/>
    <x v="0"/>
    <n v="61.386000000000003"/>
    <n v="9207.9"/>
    <n v="2762.37"/>
    <x v="0"/>
  </r>
  <r>
    <d v="2019-04-12T00:00:00"/>
    <n v="4.33"/>
    <n v="4.3730000000000002"/>
    <n v="4.0999999999999996"/>
    <n v="16.600000000000001"/>
    <n v="16"/>
    <n v="0"/>
    <n v="6"/>
    <n v="7"/>
    <x v="5"/>
    <x v="3"/>
    <x v="1"/>
    <n v="58.402999999999999"/>
    <n v="8760.4499999999989"/>
    <n v="2628.1349999999998"/>
    <x v="0"/>
  </r>
  <r>
    <d v="2019-04-13T00:00:00"/>
    <n v="4.5"/>
    <n v="4.1340000000000003"/>
    <n v="1.1000000000000001"/>
    <n v="14"/>
    <n v="4"/>
    <n v="0"/>
    <n v="6"/>
    <n v="4"/>
    <x v="5"/>
    <x v="3"/>
    <x v="2"/>
    <n v="37.734000000000002"/>
    <n v="5660.1"/>
    <n v="1698.03"/>
    <x v="0"/>
  </r>
  <r>
    <d v="2019-04-14T00:00:00"/>
    <n v="4"/>
    <n v="4.4059999999999997"/>
    <n v="1"/>
    <n v="23"/>
    <n v="3"/>
    <n v="1"/>
    <n v="7"/>
    <n v="5.5"/>
    <x v="5"/>
    <x v="3"/>
    <x v="3"/>
    <n v="48.905999999999999"/>
    <n v="7335.9"/>
    <n v="2200.77"/>
    <x v="0"/>
  </r>
  <r>
    <d v="2019-04-15T00:00:00"/>
    <n v="4.66"/>
    <n v="6"/>
    <n v="5.3"/>
    <n v="8.8000000000000007"/>
    <n v="17"/>
    <n v="2"/>
    <n v="3"/>
    <n v="5"/>
    <x v="5"/>
    <x v="3"/>
    <x v="4"/>
    <n v="51.760000000000005"/>
    <n v="7764.0000000000009"/>
    <n v="2329.2000000000003"/>
    <x v="0"/>
  </r>
  <r>
    <d v="2019-04-16T00:00:00"/>
    <n v="2"/>
    <n v="2.67"/>
    <n v="2"/>
    <n v="27.2"/>
    <n v="12"/>
    <n v="3"/>
    <n v="1"/>
    <n v="3"/>
    <x v="5"/>
    <x v="3"/>
    <x v="5"/>
    <n v="52.87"/>
    <n v="7930.5"/>
    <n v="2379.15"/>
    <x v="0"/>
  </r>
  <r>
    <d v="2019-04-17T00:00:00"/>
    <n v="7"/>
    <n v="4"/>
    <n v="1.25"/>
    <n v="13.5"/>
    <n v="11"/>
    <n v="1"/>
    <n v="24"/>
    <n v="5"/>
    <x v="5"/>
    <x v="3"/>
    <x v="6"/>
    <n v="66.75"/>
    <n v="10012.5"/>
    <n v="3003.75"/>
    <x v="1"/>
  </r>
  <r>
    <d v="2019-04-18T00:00:00"/>
    <n v="0"/>
    <n v="0"/>
    <n v="0"/>
    <n v="0"/>
    <n v="0"/>
    <n v="0"/>
    <n v="0"/>
    <n v="0"/>
    <x v="5"/>
    <x v="3"/>
    <x v="0"/>
    <n v="0"/>
    <n v="0"/>
    <n v="0"/>
    <x v="0"/>
  </r>
  <r>
    <d v="2019-04-19T00:00:00"/>
    <n v="3.34"/>
    <n v="2.7429999999999999"/>
    <n v="1.5"/>
    <n v="25"/>
    <n v="17"/>
    <n v="0"/>
    <n v="6"/>
    <n v="2"/>
    <x v="5"/>
    <x v="3"/>
    <x v="1"/>
    <n v="57.582999999999998"/>
    <n v="8637.4499999999989"/>
    <n v="2591.2349999999997"/>
    <x v="0"/>
  </r>
  <r>
    <d v="2019-04-20T00:00:00"/>
    <n v="9"/>
    <n v="3.7690000000000001"/>
    <n v="1.5"/>
    <n v="22.4"/>
    <n v="12"/>
    <n v="3"/>
    <n v="0"/>
    <n v="6"/>
    <x v="5"/>
    <x v="3"/>
    <x v="2"/>
    <n v="57.668999999999997"/>
    <n v="8650.35"/>
    <n v="2595.105"/>
    <x v="0"/>
  </r>
  <r>
    <d v="2019-04-21T00:00:00"/>
    <n v="3.84"/>
    <n v="4.8449999999999998"/>
    <n v="3"/>
    <n v="21"/>
    <n v="11"/>
    <n v="0"/>
    <n v="2"/>
    <n v="12.2"/>
    <x v="5"/>
    <x v="3"/>
    <x v="3"/>
    <n v="57.885000000000005"/>
    <n v="8682.75"/>
    <n v="2604.8249999999998"/>
    <x v="0"/>
  </r>
  <r>
    <d v="2019-04-22T00:00:00"/>
    <n v="8.67"/>
    <n v="1.66"/>
    <n v="4.5"/>
    <n v="51"/>
    <n v="12"/>
    <n v="0"/>
    <n v="31"/>
    <n v="9"/>
    <x v="5"/>
    <x v="3"/>
    <x v="4"/>
    <n v="117.83"/>
    <n v="17674.5"/>
    <n v="5302.3499999999995"/>
    <x v="1"/>
  </r>
  <r>
    <d v="2019-04-23T00:00:00"/>
    <n v="9"/>
    <n v="0.34"/>
    <n v="6.1"/>
    <n v="18.399999999999999"/>
    <n v="6"/>
    <n v="1"/>
    <n v="4"/>
    <n v="2"/>
    <x v="5"/>
    <x v="3"/>
    <x v="5"/>
    <n v="46.839999999999996"/>
    <n v="7025.9999999999991"/>
    <n v="2107.7999999999997"/>
    <x v="0"/>
  </r>
  <r>
    <d v="2019-04-24T00:00:00"/>
    <n v="2.34"/>
    <n v="4.7469999999999999"/>
    <n v="3"/>
    <n v="39.1"/>
    <n v="13"/>
    <n v="3"/>
    <n v="12"/>
    <n v="2"/>
    <x v="5"/>
    <x v="3"/>
    <x v="6"/>
    <n v="79.186999999999998"/>
    <n v="11878.05"/>
    <n v="3563.4149999999995"/>
    <x v="1"/>
  </r>
  <r>
    <d v="2019-04-25T00:00:00"/>
    <n v="14.01"/>
    <n v="3.59"/>
    <n v="2"/>
    <n v="15"/>
    <n v="17"/>
    <n v="1"/>
    <n v="7"/>
    <n v="5.4"/>
    <x v="5"/>
    <x v="3"/>
    <x v="0"/>
    <n v="65"/>
    <n v="9750"/>
    <n v="2925"/>
    <x v="0"/>
  </r>
  <r>
    <d v="2019-04-26T00:00:00"/>
    <n v="6.34"/>
    <n v="1.68"/>
    <n v="3.25"/>
    <n v="32.6"/>
    <n v="6"/>
    <n v="0"/>
    <n v="1"/>
    <n v="11"/>
    <x v="5"/>
    <x v="3"/>
    <x v="1"/>
    <n v="61.870000000000005"/>
    <n v="9280.5"/>
    <n v="2784.15"/>
    <x v="0"/>
  </r>
  <r>
    <d v="2019-04-27T00:00:00"/>
    <n v="17.34"/>
    <n v="2.4969999999999999"/>
    <n v="3.1"/>
    <n v="25.2"/>
    <n v="13"/>
    <n v="1"/>
    <n v="7"/>
    <n v="7"/>
    <x v="5"/>
    <x v="3"/>
    <x v="2"/>
    <n v="76.137"/>
    <n v="11420.55"/>
    <n v="3426.1649999999995"/>
    <x v="1"/>
  </r>
  <r>
    <d v="2019-04-28T00:00:00"/>
    <n v="0"/>
    <n v="0"/>
    <n v="0"/>
    <n v="0"/>
    <n v="0"/>
    <n v="0"/>
    <n v="0"/>
    <n v="0"/>
    <x v="5"/>
    <x v="3"/>
    <x v="3"/>
    <n v="0"/>
    <n v="0"/>
    <n v="0"/>
    <x v="0"/>
  </r>
  <r>
    <d v="2019-04-29T00:00:00"/>
    <n v="5.33"/>
    <n v="6.367"/>
    <n v="2.6"/>
    <n v="27.6"/>
    <n v="5"/>
    <n v="0"/>
    <n v="0"/>
    <n v="3"/>
    <x v="5"/>
    <x v="3"/>
    <x v="4"/>
    <n v="49.896999999999998"/>
    <n v="7484.55"/>
    <n v="2245.3649999999998"/>
    <x v="0"/>
  </r>
  <r>
    <d v="2019-04-30T00:00:00"/>
    <n v="2"/>
    <n v="1.407"/>
    <n v="8"/>
    <n v="22"/>
    <n v="13"/>
    <n v="2"/>
    <n v="28"/>
    <n v="8.4"/>
    <x v="5"/>
    <x v="3"/>
    <x v="5"/>
    <n v="84.807000000000002"/>
    <n v="12721.050000000001"/>
    <n v="3816.3150000000001"/>
    <x v="1"/>
  </r>
  <r>
    <d v="2019-05-01T00:00:00"/>
    <n v="2.34"/>
    <n v="4.0199999999999996"/>
    <n v="1"/>
    <n v="8"/>
    <n v="1"/>
    <n v="0"/>
    <n v="1"/>
    <n v="3"/>
    <x v="5"/>
    <x v="4"/>
    <x v="6"/>
    <n v="20.36"/>
    <n v="3054"/>
    <n v="916.19999999999993"/>
    <x v="0"/>
  </r>
  <r>
    <d v="2019-05-02T00:00:00"/>
    <n v="1.68"/>
    <n v="5.4290000000000003"/>
    <n v="5.5"/>
    <n v="20"/>
    <n v="15"/>
    <n v="1"/>
    <n v="3"/>
    <n v="9"/>
    <x v="5"/>
    <x v="4"/>
    <x v="0"/>
    <n v="60.609000000000002"/>
    <n v="9091.35"/>
    <n v="2727.4050000000002"/>
    <x v="0"/>
  </r>
  <r>
    <d v="2019-05-03T00:00:00"/>
    <n v="4.01"/>
    <n v="2.34"/>
    <n v="3"/>
    <n v="24"/>
    <n v="11"/>
    <n v="3"/>
    <n v="16"/>
    <n v="8"/>
    <x v="5"/>
    <x v="4"/>
    <x v="1"/>
    <n v="71.349999999999994"/>
    <n v="10702.5"/>
    <n v="3210.75"/>
    <x v="1"/>
  </r>
  <r>
    <d v="2019-05-04T00:00:00"/>
    <n v="9"/>
    <n v="5.43"/>
    <n v="4.25"/>
    <n v="25"/>
    <n v="5"/>
    <n v="1"/>
    <n v="16"/>
    <n v="9"/>
    <x v="5"/>
    <x v="4"/>
    <x v="2"/>
    <n v="74.680000000000007"/>
    <n v="11202.000000000002"/>
    <n v="3360.6000000000004"/>
    <x v="1"/>
  </r>
  <r>
    <d v="2019-05-05T00:00:00"/>
    <n v="7"/>
    <n v="2.42"/>
    <n v="4.2"/>
    <n v="31"/>
    <n v="2"/>
    <n v="0"/>
    <n v="0"/>
    <n v="5"/>
    <x v="5"/>
    <x v="4"/>
    <x v="3"/>
    <n v="51.620000000000005"/>
    <n v="7743.0000000000009"/>
    <n v="2322.9"/>
    <x v="0"/>
  </r>
  <r>
    <d v="2019-05-06T00:00:00"/>
    <n v="4.68"/>
    <n v="6.6000000000000003E-2"/>
    <n v="2"/>
    <n v="23"/>
    <n v="11"/>
    <n v="2"/>
    <n v="9"/>
    <n v="3"/>
    <x v="5"/>
    <x v="4"/>
    <x v="4"/>
    <n v="54.745999999999995"/>
    <n v="8211.9"/>
    <n v="2463.5699999999997"/>
    <x v="0"/>
  </r>
  <r>
    <d v="2019-05-07T00:00:00"/>
    <n v="2.66"/>
    <n v="5.5190000000000001"/>
    <n v="1"/>
    <n v="33.4"/>
    <n v="19"/>
    <n v="0"/>
    <n v="6"/>
    <n v="5"/>
    <x v="5"/>
    <x v="4"/>
    <x v="5"/>
    <n v="72.579000000000008"/>
    <n v="10886.85"/>
    <n v="3266.0549999999998"/>
    <x v="1"/>
  </r>
  <r>
    <d v="2019-05-08T00:00:00"/>
    <n v="9"/>
    <n v="4.0330000000000004"/>
    <n v="3"/>
    <n v="13"/>
    <n v="15"/>
    <n v="2"/>
    <n v="20"/>
    <n v="0"/>
    <x v="5"/>
    <x v="4"/>
    <x v="6"/>
    <n v="66.033000000000001"/>
    <n v="9904.9500000000007"/>
    <n v="2971.4850000000001"/>
    <x v="0"/>
  </r>
  <r>
    <d v="2019-05-09T00:00:00"/>
    <n v="5"/>
    <n v="2.33"/>
    <n v="2.1"/>
    <n v="12.5"/>
    <n v="10"/>
    <n v="1"/>
    <n v="31"/>
    <n v="4"/>
    <x v="5"/>
    <x v="4"/>
    <x v="0"/>
    <n v="67.930000000000007"/>
    <n v="10189.500000000002"/>
    <n v="3056.8500000000004"/>
    <x v="1"/>
  </r>
  <r>
    <d v="2019-05-10T00:00:00"/>
    <n v="5"/>
    <n v="1.34"/>
    <n v="5.5"/>
    <n v="11.6"/>
    <n v="13"/>
    <n v="2"/>
    <n v="26"/>
    <n v="2"/>
    <x v="5"/>
    <x v="4"/>
    <x v="1"/>
    <n v="66.44"/>
    <n v="9966"/>
    <n v="2989.7999999999997"/>
    <x v="0"/>
  </r>
  <r>
    <d v="2019-05-11T00:00:00"/>
    <n v="5.34"/>
    <n v="5"/>
    <n v="5.5"/>
    <n v="16.8"/>
    <n v="9"/>
    <n v="0"/>
    <n v="12"/>
    <n v="5"/>
    <x v="5"/>
    <x v="4"/>
    <x v="2"/>
    <n v="58.64"/>
    <n v="8796"/>
    <n v="2638.7999999999997"/>
    <x v="0"/>
  </r>
  <r>
    <d v="2019-05-12T00:00:00"/>
    <n v="4.67"/>
    <n v="1.68"/>
    <n v="3.1"/>
    <n v="38.799999999999997"/>
    <n v="2"/>
    <n v="1"/>
    <n v="19"/>
    <n v="5"/>
    <x v="5"/>
    <x v="4"/>
    <x v="3"/>
    <n v="75.25"/>
    <n v="11287.5"/>
    <n v="3386.25"/>
    <x v="1"/>
  </r>
  <r>
    <d v="2019-05-13T00:00:00"/>
    <n v="5"/>
    <n v="4.5270000000000001"/>
    <n v="2"/>
    <n v="26.2"/>
    <n v="11"/>
    <n v="0"/>
    <n v="11"/>
    <n v="3"/>
    <x v="5"/>
    <x v="4"/>
    <x v="4"/>
    <n v="62.727000000000004"/>
    <n v="9409.0500000000011"/>
    <n v="2822.7150000000001"/>
    <x v="0"/>
  </r>
  <r>
    <d v="2019-05-14T00:00:00"/>
    <n v="6.67"/>
    <n v="4.3630000000000004"/>
    <n v="4"/>
    <n v="25"/>
    <n v="5"/>
    <n v="0"/>
    <n v="11"/>
    <n v="3"/>
    <x v="5"/>
    <x v="4"/>
    <x v="5"/>
    <n v="59.033000000000001"/>
    <n v="8854.9500000000007"/>
    <n v="2656.4850000000001"/>
    <x v="0"/>
  </r>
  <r>
    <d v="2019-05-15T00:00:00"/>
    <n v="4"/>
    <n v="1.0660000000000001"/>
    <n v="4.1500000000000004"/>
    <n v="28.4"/>
    <n v="7"/>
    <n v="0"/>
    <n v="5"/>
    <n v="3"/>
    <x v="5"/>
    <x v="4"/>
    <x v="6"/>
    <n v="52.616"/>
    <n v="7892.4"/>
    <n v="2367.7199999999998"/>
    <x v="0"/>
  </r>
  <r>
    <d v="2019-05-16T00:00:00"/>
    <n v="5"/>
    <n v="1.0669999999999999"/>
    <n v="2"/>
    <n v="12"/>
    <n v="9"/>
    <n v="1"/>
    <n v="16.291666670000001"/>
    <n v="5"/>
    <x v="5"/>
    <x v="4"/>
    <x v="0"/>
    <n v="51.358666670000005"/>
    <n v="7703.8000005000004"/>
    <n v="2311.1400001500001"/>
    <x v="0"/>
  </r>
  <r>
    <d v="2019-05-17T00:00:00"/>
    <n v="2.66"/>
    <n v="1.66"/>
    <n v="2.4"/>
    <n v="28"/>
    <n v="18"/>
    <n v="2"/>
    <n v="4"/>
    <n v="2.2000000000000002"/>
    <x v="5"/>
    <x v="4"/>
    <x v="1"/>
    <n v="60.92"/>
    <n v="9138"/>
    <n v="2741.4"/>
    <x v="0"/>
  </r>
  <r>
    <d v="2019-05-18T00:00:00"/>
    <n v="10"/>
    <n v="0.34"/>
    <n v="5.0999999999999996"/>
    <n v="14"/>
    <n v="9"/>
    <n v="2"/>
    <n v="5"/>
    <n v="3"/>
    <x v="5"/>
    <x v="4"/>
    <x v="2"/>
    <n v="48.44"/>
    <n v="7266"/>
    <n v="2179.7999999999997"/>
    <x v="0"/>
  </r>
  <r>
    <d v="2019-05-19T00:00:00"/>
    <n v="6.67"/>
    <n v="5"/>
    <n v="4"/>
    <n v="26.4"/>
    <n v="9"/>
    <n v="0"/>
    <n v="9"/>
    <n v="4.2"/>
    <x v="5"/>
    <x v="4"/>
    <x v="3"/>
    <n v="64.27"/>
    <n v="9640.5"/>
    <n v="2892.15"/>
    <x v="0"/>
  </r>
  <r>
    <d v="2019-05-20T00:00:00"/>
    <n v="3.67"/>
    <n v="6.3959999999999999"/>
    <n v="5"/>
    <n v="21.3"/>
    <n v="11"/>
    <n v="4"/>
    <n v="13"/>
    <n v="5"/>
    <x v="5"/>
    <x v="4"/>
    <x v="4"/>
    <n v="69.366"/>
    <n v="10404.9"/>
    <n v="3121.47"/>
    <x v="1"/>
  </r>
  <r>
    <d v="2019-05-21T00:00:00"/>
    <n v="5.34"/>
    <n v="4"/>
    <n v="5.0999999999999996"/>
    <n v="17.600000000000001"/>
    <n v="12.2"/>
    <n v="0"/>
    <n v="1"/>
    <n v="7"/>
    <x v="5"/>
    <x v="4"/>
    <x v="5"/>
    <n v="52.239999999999995"/>
    <n v="7835.9999999999991"/>
    <n v="2350.7999999999997"/>
    <x v="0"/>
  </r>
  <r>
    <d v="2019-05-22T00:00:00"/>
    <n v="8.16"/>
    <n v="2.8359999999999999"/>
    <n v="3.15"/>
    <n v="28.2"/>
    <n v="8"/>
    <n v="0"/>
    <n v="9"/>
    <n v="5"/>
    <x v="5"/>
    <x v="4"/>
    <x v="6"/>
    <n v="64.346000000000004"/>
    <n v="9651.9000000000015"/>
    <n v="2895.57"/>
    <x v="0"/>
  </r>
  <r>
    <d v="2019-05-23T00:00:00"/>
    <n v="2.33"/>
    <n v="3.34"/>
    <n v="2"/>
    <n v="26.1"/>
    <n v="4"/>
    <n v="0"/>
    <n v="10"/>
    <n v="6"/>
    <x v="5"/>
    <x v="4"/>
    <x v="0"/>
    <n v="53.77"/>
    <n v="8065.5000000000009"/>
    <n v="2419.65"/>
    <x v="0"/>
  </r>
  <r>
    <d v="2019-05-24T00:00:00"/>
    <n v="5.34"/>
    <n v="3.7029999999999998"/>
    <n v="3"/>
    <n v="36.200000000000003"/>
    <n v="8"/>
    <n v="1"/>
    <n v="5"/>
    <n v="3"/>
    <x v="5"/>
    <x v="4"/>
    <x v="1"/>
    <n v="65.242999999999995"/>
    <n v="9786.4499999999989"/>
    <n v="2935.9349999999995"/>
    <x v="0"/>
  </r>
  <r>
    <d v="2019-05-25T00:00:00"/>
    <n v="11"/>
    <n v="3.34"/>
    <n v="4.0999999999999996"/>
    <n v="35"/>
    <n v="4"/>
    <n v="0"/>
    <n v="16"/>
    <n v="2"/>
    <x v="5"/>
    <x v="4"/>
    <x v="2"/>
    <n v="75.44"/>
    <n v="11316"/>
    <n v="3394.7999999999997"/>
    <x v="1"/>
  </r>
  <r>
    <d v="2019-05-26T00:00:00"/>
    <n v="6.33"/>
    <n v="5.31"/>
    <n v="2"/>
    <n v="30"/>
    <n v="2.6"/>
    <n v="0"/>
    <n v="11"/>
    <n v="6"/>
    <x v="5"/>
    <x v="4"/>
    <x v="3"/>
    <n v="63.24"/>
    <n v="9486"/>
    <n v="2845.7999999999997"/>
    <x v="0"/>
  </r>
  <r>
    <d v="2019-05-27T00:00:00"/>
    <n v="4.67"/>
    <n v="0.67"/>
    <n v="1.2"/>
    <n v="19"/>
    <n v="8"/>
    <n v="0"/>
    <n v="0"/>
    <n v="2"/>
    <x v="5"/>
    <x v="4"/>
    <x v="4"/>
    <n v="35.54"/>
    <n v="5331"/>
    <n v="1599.3"/>
    <x v="0"/>
  </r>
  <r>
    <d v="2019-05-28T00:00:00"/>
    <n v="4.33"/>
    <n v="3.99"/>
    <n v="6.3"/>
    <n v="18.2"/>
    <n v="10"/>
    <n v="2"/>
    <n v="5"/>
    <n v="6"/>
    <x v="5"/>
    <x v="4"/>
    <x v="5"/>
    <n v="55.82"/>
    <n v="8373"/>
    <n v="2511.9"/>
    <x v="0"/>
  </r>
  <r>
    <d v="2019-05-29T00:00:00"/>
    <n v="5.5"/>
    <n v="2.34"/>
    <n v="4.05"/>
    <n v="15"/>
    <n v="10"/>
    <n v="1"/>
    <n v="0"/>
    <n v="3"/>
    <x v="5"/>
    <x v="4"/>
    <x v="6"/>
    <n v="40.89"/>
    <n v="6133.5"/>
    <n v="1840.05"/>
    <x v="0"/>
  </r>
  <r>
    <d v="2019-05-30T00:00:00"/>
    <n v="5"/>
    <n v="0.34"/>
    <n v="3.4"/>
    <n v="17.2"/>
    <n v="5"/>
    <n v="0"/>
    <n v="6"/>
    <n v="4"/>
    <x v="5"/>
    <x v="4"/>
    <x v="0"/>
    <n v="40.94"/>
    <n v="6141"/>
    <n v="1842.3"/>
    <x v="0"/>
  </r>
  <r>
    <d v="2019-05-31T00:00:00"/>
    <n v="5.99"/>
    <n v="3.363"/>
    <n v="1"/>
    <n v="22.661999999999999"/>
    <n v="2"/>
    <n v="0"/>
    <n v="2"/>
    <n v="5"/>
    <x v="5"/>
    <x v="4"/>
    <x v="1"/>
    <n v="42.015000000000001"/>
    <n v="6302.25"/>
    <n v="1890.675"/>
    <x v="0"/>
  </r>
  <r>
    <d v="2019-06-01T00:00:00"/>
    <n v="3"/>
    <n v="1.34"/>
    <n v="6"/>
    <n v="21.4"/>
    <n v="1"/>
    <n v="0"/>
    <n v="8"/>
    <n v="4"/>
    <x v="5"/>
    <x v="5"/>
    <x v="2"/>
    <n v="44.739999999999995"/>
    <n v="6710.9999999999991"/>
    <n v="2013.2999999999997"/>
    <x v="0"/>
  </r>
  <r>
    <d v="2019-06-02T00:00:00"/>
    <n v="4"/>
    <n v="2.66"/>
    <n v="3.05"/>
    <n v="28"/>
    <n v="4"/>
    <n v="1"/>
    <n v="6"/>
    <n v="4"/>
    <x v="5"/>
    <x v="5"/>
    <x v="3"/>
    <n v="52.71"/>
    <n v="7906.5"/>
    <n v="2371.9499999999998"/>
    <x v="0"/>
  </r>
  <r>
    <d v="2019-06-03T00:00:00"/>
    <n v="0.33"/>
    <n v="2.5049999999999999"/>
    <n v="4"/>
    <n v="15.4"/>
    <n v="4"/>
    <n v="0"/>
    <n v="5"/>
    <n v="10"/>
    <x v="5"/>
    <x v="5"/>
    <x v="4"/>
    <n v="41.234999999999999"/>
    <n v="6185.25"/>
    <n v="1855.5749999999998"/>
    <x v="0"/>
  </r>
  <r>
    <d v="2019-06-04T00:00:00"/>
    <n v="6.34"/>
    <n v="2.823"/>
    <n v="5.35"/>
    <n v="28.2"/>
    <n v="9"/>
    <n v="1"/>
    <n v="12"/>
    <n v="5"/>
    <x v="5"/>
    <x v="5"/>
    <x v="5"/>
    <n v="69.712999999999994"/>
    <n v="10456.949999999999"/>
    <n v="3137.0849999999996"/>
    <x v="1"/>
  </r>
  <r>
    <d v="2019-06-05T00:00:00"/>
    <n v="5"/>
    <n v="1.77"/>
    <n v="2.1"/>
    <n v="26.1"/>
    <n v="7"/>
    <n v="0"/>
    <n v="1"/>
    <n v="2"/>
    <x v="5"/>
    <x v="5"/>
    <x v="6"/>
    <n v="44.97"/>
    <n v="6745.5"/>
    <n v="2023.6499999999999"/>
    <x v="0"/>
  </r>
  <r>
    <d v="2019-06-06T00:00:00"/>
    <n v="7.67"/>
    <n v="2.0760000000000001"/>
    <n v="6.35"/>
    <n v="27"/>
    <n v="7"/>
    <n v="2"/>
    <n v="11"/>
    <n v="4"/>
    <x v="5"/>
    <x v="5"/>
    <x v="0"/>
    <n v="67.096000000000004"/>
    <n v="10064.400000000001"/>
    <n v="3019.32"/>
    <x v="1"/>
  </r>
  <r>
    <d v="2019-06-07T00:00:00"/>
    <n v="6"/>
    <n v="2.67"/>
    <n v="2"/>
    <n v="22"/>
    <n v="6"/>
    <n v="0"/>
    <n v="16"/>
    <n v="0"/>
    <x v="5"/>
    <x v="5"/>
    <x v="1"/>
    <n v="54.67"/>
    <n v="8200.5"/>
    <n v="2460.15"/>
    <x v="0"/>
  </r>
  <r>
    <d v="2019-06-08T00:00:00"/>
    <n v="3"/>
    <n v="3.66"/>
    <n v="1"/>
    <n v="22.4"/>
    <n v="12"/>
    <n v="0"/>
    <n v="0"/>
    <n v="2.1"/>
    <x v="5"/>
    <x v="5"/>
    <x v="2"/>
    <n v="44.160000000000004"/>
    <n v="6624.0000000000009"/>
    <n v="1987.2000000000003"/>
    <x v="0"/>
  </r>
  <r>
    <d v="2019-06-09T00:00:00"/>
    <n v="9.33"/>
    <n v="1.0329999999999999"/>
    <n v="8"/>
    <n v="16.5"/>
    <n v="7"/>
    <n v="4"/>
    <n v="0"/>
    <n v="5"/>
    <x v="5"/>
    <x v="5"/>
    <x v="3"/>
    <n v="50.863"/>
    <n v="7629.45"/>
    <n v="2288.835"/>
    <x v="0"/>
  </r>
  <r>
    <d v="2019-06-10T00:00:00"/>
    <n v="3"/>
    <n v="1.34"/>
    <n v="2"/>
    <n v="15"/>
    <n v="7"/>
    <n v="0"/>
    <n v="6"/>
    <n v="12"/>
    <x v="5"/>
    <x v="5"/>
    <x v="4"/>
    <n v="46.34"/>
    <n v="6951.0000000000009"/>
    <n v="2085.3000000000002"/>
    <x v="0"/>
  </r>
  <r>
    <d v="2019-06-11T00:00:00"/>
    <n v="11.34"/>
    <n v="3.33"/>
    <n v="10.5"/>
    <n v="25"/>
    <n v="9"/>
    <n v="0"/>
    <n v="7"/>
    <n v="6"/>
    <x v="5"/>
    <x v="5"/>
    <x v="5"/>
    <n v="72.17"/>
    <n v="10825.5"/>
    <n v="3247.65"/>
    <x v="1"/>
  </r>
  <r>
    <d v="2019-06-12T00:00:00"/>
    <n v="8"/>
    <n v="3.4060000000000001"/>
    <n v="1"/>
    <n v="16.2"/>
    <n v="11"/>
    <n v="0"/>
    <n v="1"/>
    <n v="7"/>
    <x v="5"/>
    <x v="5"/>
    <x v="6"/>
    <n v="47.606000000000002"/>
    <n v="7140.9000000000005"/>
    <n v="2142.27"/>
    <x v="0"/>
  </r>
  <r>
    <d v="2019-06-13T00:00:00"/>
    <n v="0.68"/>
    <n v="3.02"/>
    <n v="0.25"/>
    <n v="19.399999999999999"/>
    <n v="2"/>
    <n v="0"/>
    <n v="2"/>
    <n v="9"/>
    <x v="5"/>
    <x v="5"/>
    <x v="0"/>
    <n v="36.349999999999994"/>
    <n v="5452.4999999999991"/>
    <n v="1635.7499999999998"/>
    <x v="0"/>
  </r>
  <r>
    <d v="2019-06-14T00:00:00"/>
    <n v="3.18"/>
    <n v="3.35"/>
    <n v="3"/>
    <n v="15"/>
    <n v="2"/>
    <n v="1"/>
    <n v="0"/>
    <n v="6"/>
    <x v="5"/>
    <x v="5"/>
    <x v="1"/>
    <n v="33.53"/>
    <n v="5029.5"/>
    <n v="1508.85"/>
    <x v="0"/>
  </r>
  <r>
    <d v="2019-06-15T00:00:00"/>
    <n v="7"/>
    <n v="3.4630000000000001"/>
    <n v="5"/>
    <n v="15"/>
    <n v="13"/>
    <n v="0"/>
    <n v="7"/>
    <n v="8"/>
    <x v="5"/>
    <x v="5"/>
    <x v="2"/>
    <n v="58.463000000000001"/>
    <n v="8769.4500000000007"/>
    <n v="2630.835"/>
    <x v="0"/>
  </r>
  <r>
    <d v="2019-06-16T00:00:00"/>
    <n v="4"/>
    <n v="5.35"/>
    <n v="3"/>
    <n v="18"/>
    <n v="2"/>
    <n v="0"/>
    <n v="0"/>
    <n v="9"/>
    <x v="5"/>
    <x v="5"/>
    <x v="3"/>
    <n v="41.35"/>
    <n v="6202.5"/>
    <n v="1860.75"/>
    <x v="0"/>
  </r>
  <r>
    <d v="2019-06-17T00:00:00"/>
    <n v="6.66"/>
    <n v="4.66"/>
    <n v="3"/>
    <n v="18"/>
    <n v="6"/>
    <n v="0"/>
    <n v="2"/>
    <n v="2.34"/>
    <x v="5"/>
    <x v="5"/>
    <x v="4"/>
    <n v="42.66"/>
    <n v="6398.9999999999991"/>
    <n v="1919.6999999999996"/>
    <x v="0"/>
  </r>
  <r>
    <d v="2019-06-18T00:00:00"/>
    <n v="5"/>
    <n v="4.21"/>
    <n v="3"/>
    <n v="29.5"/>
    <n v="8"/>
    <n v="0"/>
    <n v="2"/>
    <n v="12.1"/>
    <x v="5"/>
    <x v="5"/>
    <x v="5"/>
    <n v="63.81"/>
    <n v="9571.5"/>
    <n v="2871.45"/>
    <x v="0"/>
  </r>
  <r>
    <d v="2019-06-19T00:00:00"/>
    <n v="3.67"/>
    <n v="3.0329999999999999"/>
    <n v="3"/>
    <n v="18"/>
    <n v="6"/>
    <n v="1"/>
    <n v="2"/>
    <n v="5.5"/>
    <x v="5"/>
    <x v="5"/>
    <x v="6"/>
    <n v="42.203000000000003"/>
    <n v="6330.4500000000007"/>
    <n v="1899.1350000000002"/>
    <x v="0"/>
  </r>
  <r>
    <d v="2019-06-20T00:00:00"/>
    <n v="5"/>
    <n v="4.3630000000000004"/>
    <n v="3"/>
    <n v="15"/>
    <n v="9"/>
    <n v="4"/>
    <n v="0"/>
    <n v="4"/>
    <x v="5"/>
    <x v="5"/>
    <x v="0"/>
    <n v="44.363"/>
    <n v="6654.45"/>
    <n v="1996.3349999999998"/>
    <x v="0"/>
  </r>
  <r>
    <d v="2019-06-21T00:00:00"/>
    <n v="3"/>
    <n v="2.33"/>
    <n v="3"/>
    <n v="24.8"/>
    <n v="8"/>
    <n v="3"/>
    <n v="4"/>
    <n v="6"/>
    <x v="5"/>
    <x v="5"/>
    <x v="1"/>
    <n v="54.13"/>
    <n v="8119.5"/>
    <n v="2435.85"/>
    <x v="0"/>
  </r>
  <r>
    <d v="2019-06-22T00:00:00"/>
    <n v="3"/>
    <n v="4"/>
    <n v="0"/>
    <n v="25"/>
    <n v="11"/>
    <n v="2"/>
    <n v="12"/>
    <n v="5"/>
    <x v="5"/>
    <x v="5"/>
    <x v="2"/>
    <n v="62"/>
    <n v="9300"/>
    <n v="2790"/>
    <x v="0"/>
  </r>
  <r>
    <d v="2019-06-23T00:00:00"/>
    <n v="9.33"/>
    <n v="4.7919999999999998"/>
    <n v="5.5"/>
    <n v="18.2"/>
    <n v="1"/>
    <n v="0"/>
    <n v="10"/>
    <n v="1"/>
    <x v="5"/>
    <x v="5"/>
    <x v="3"/>
    <n v="49.822000000000003"/>
    <n v="7473.3"/>
    <n v="2241.9899999999998"/>
    <x v="0"/>
  </r>
  <r>
    <d v="2019-06-24T00:00:00"/>
    <n v="10"/>
    <n v="4.68"/>
    <n v="3.1"/>
    <n v="19"/>
    <n v="9"/>
    <n v="3"/>
    <n v="3"/>
    <n v="7"/>
    <x v="5"/>
    <x v="5"/>
    <x v="4"/>
    <n v="58.78"/>
    <n v="8817"/>
    <n v="2645.1"/>
    <x v="0"/>
  </r>
  <r>
    <d v="2019-06-25T00:00:00"/>
    <n v="2.34"/>
    <n v="2.6379999999999999"/>
    <n v="5"/>
    <n v="12"/>
    <n v="10"/>
    <n v="1"/>
    <n v="0"/>
    <n v="3"/>
    <x v="5"/>
    <x v="5"/>
    <x v="5"/>
    <n v="35.978000000000002"/>
    <n v="5396.7"/>
    <n v="1619.01"/>
    <x v="0"/>
  </r>
  <r>
    <d v="2019-06-26T00:00:00"/>
    <n v="2"/>
    <n v="3.44"/>
    <n v="1"/>
    <n v="11.6"/>
    <n v="5"/>
    <n v="1"/>
    <n v="0"/>
    <n v="5"/>
    <x v="5"/>
    <x v="5"/>
    <x v="6"/>
    <n v="29.04"/>
    <n v="4356"/>
    <n v="1306.8"/>
    <x v="0"/>
  </r>
  <r>
    <d v="2019-06-27T00:00:00"/>
    <n v="8.16"/>
    <n v="6.33"/>
    <n v="4"/>
    <n v="15"/>
    <n v="5"/>
    <n v="1"/>
    <n v="7"/>
    <n v="2"/>
    <x v="5"/>
    <x v="5"/>
    <x v="0"/>
    <n v="48.49"/>
    <n v="7273.5"/>
    <n v="2182.0499999999997"/>
    <x v="0"/>
  </r>
  <r>
    <d v="2019-06-28T00:00:00"/>
    <n v="4.33"/>
    <n v="1.496"/>
    <n v="2"/>
    <n v="15"/>
    <n v="5"/>
    <n v="0"/>
    <n v="2"/>
    <n v="3"/>
    <x v="5"/>
    <x v="5"/>
    <x v="1"/>
    <n v="32.826000000000001"/>
    <n v="4923.8999999999996"/>
    <n v="1477.1699999999998"/>
    <x v="0"/>
  </r>
  <r>
    <d v="2019-06-29T00:00:00"/>
    <n v="1.18"/>
    <n v="5.7"/>
    <n v="5"/>
    <n v="18.3"/>
    <n v="2"/>
    <n v="0"/>
    <n v="5"/>
    <n v="2"/>
    <x v="5"/>
    <x v="5"/>
    <x v="2"/>
    <n v="39.18"/>
    <n v="5877"/>
    <n v="1763.1"/>
    <x v="0"/>
  </r>
  <r>
    <d v="2019-06-30T00:00:00"/>
    <n v="6"/>
    <n v="6.1589999999999998"/>
    <n v="0"/>
    <n v="40"/>
    <n v="5"/>
    <n v="0"/>
    <n v="11"/>
    <n v="5"/>
    <x v="5"/>
    <x v="5"/>
    <x v="3"/>
    <n v="73.158999999999992"/>
    <n v="10973.849999999999"/>
    <n v="3292.1549999999993"/>
    <x v="1"/>
  </r>
  <r>
    <d v="2019-07-01T00:00:00"/>
    <n v="5.33"/>
    <n v="2"/>
    <n v="1"/>
    <n v="14"/>
    <n v="7"/>
    <n v="0"/>
    <n v="8"/>
    <n v="4"/>
    <x v="5"/>
    <x v="6"/>
    <x v="4"/>
    <n v="41.33"/>
    <n v="6199.5"/>
    <n v="1859.85"/>
    <x v="0"/>
  </r>
  <r>
    <d v="2019-07-02T00:00:00"/>
    <n v="5.66"/>
    <n v="3.012"/>
    <n v="4"/>
    <n v="14"/>
    <n v="9"/>
    <n v="0"/>
    <n v="1"/>
    <n v="4.3"/>
    <x v="5"/>
    <x v="6"/>
    <x v="5"/>
    <n v="40.971999999999994"/>
    <n v="6145.7999999999993"/>
    <n v="1843.7399999999998"/>
    <x v="0"/>
  </r>
  <r>
    <d v="2019-07-03T00:00:00"/>
    <n v="4"/>
    <n v="2.8490000000000002"/>
    <n v="4"/>
    <n v="30.05"/>
    <n v="9"/>
    <n v="0"/>
    <n v="1"/>
    <n v="4"/>
    <x v="5"/>
    <x v="6"/>
    <x v="6"/>
    <n v="54.899000000000001"/>
    <n v="8234.85"/>
    <n v="2470.4549999999999"/>
    <x v="0"/>
  </r>
  <r>
    <d v="2019-07-04T00:00:00"/>
    <n v="5.33"/>
    <n v="1.67"/>
    <n v="0"/>
    <n v="13"/>
    <n v="7"/>
    <n v="1"/>
    <n v="3"/>
    <n v="6.5"/>
    <x v="5"/>
    <x v="6"/>
    <x v="0"/>
    <n v="37.5"/>
    <n v="5625"/>
    <n v="1687.5"/>
    <x v="0"/>
  </r>
  <r>
    <d v="2019-07-05T00:00:00"/>
    <n v="4.33"/>
    <n v="3.08"/>
    <n v="4"/>
    <n v="20"/>
    <n v="11"/>
    <n v="0"/>
    <n v="0"/>
    <n v="2"/>
    <x v="5"/>
    <x v="6"/>
    <x v="1"/>
    <n v="44.41"/>
    <n v="6661.4999999999991"/>
    <n v="1998.4499999999996"/>
    <x v="0"/>
  </r>
  <r>
    <d v="2019-07-06T00:00:00"/>
    <n v="4.34"/>
    <n v="1.7030000000000001"/>
    <n v="3"/>
    <n v="16"/>
    <n v="2"/>
    <n v="0"/>
    <n v="1"/>
    <n v="3"/>
    <x v="5"/>
    <x v="6"/>
    <x v="2"/>
    <n v="31.042999999999999"/>
    <n v="4656.45"/>
    <n v="1396.9349999999999"/>
    <x v="0"/>
  </r>
  <r>
    <d v="2019-07-07T00:00:00"/>
    <n v="5.66"/>
    <n v="6.4630000000000001"/>
    <n v="3"/>
    <n v="25"/>
    <n v="2"/>
    <n v="0"/>
    <n v="3"/>
    <n v="5"/>
    <x v="5"/>
    <x v="6"/>
    <x v="3"/>
    <n v="50.123000000000005"/>
    <n v="7518.4500000000007"/>
    <n v="2255.5350000000003"/>
    <x v="0"/>
  </r>
  <r>
    <d v="2019-07-08T00:00:00"/>
    <n v="6"/>
    <n v="4.3730000000000002"/>
    <n v="2"/>
    <n v="21.4"/>
    <n v="9.1999999999999993"/>
    <n v="1"/>
    <n v="4"/>
    <n v="4"/>
    <x v="5"/>
    <x v="6"/>
    <x v="4"/>
    <n v="51.972999999999999"/>
    <n v="7795.95"/>
    <n v="2338.7849999999999"/>
    <x v="0"/>
  </r>
  <r>
    <d v="2019-07-09T00:00:00"/>
    <n v="2.67"/>
    <n v="2.7029999999999998"/>
    <n v="8"/>
    <n v="15"/>
    <n v="12"/>
    <n v="4"/>
    <n v="3"/>
    <n v="2"/>
    <x v="5"/>
    <x v="6"/>
    <x v="5"/>
    <n v="49.372999999999998"/>
    <n v="7405.95"/>
    <n v="2221.7849999999999"/>
    <x v="0"/>
  </r>
  <r>
    <d v="2019-07-10T00:00:00"/>
    <n v="10"/>
    <n v="5.67"/>
    <n v="5"/>
    <n v="19.600000000000001"/>
    <n v="10.199999999999999"/>
    <n v="0"/>
    <n v="1"/>
    <n v="4"/>
    <x v="5"/>
    <x v="6"/>
    <x v="6"/>
    <n v="55.47"/>
    <n v="8320.5"/>
    <n v="2496.15"/>
    <x v="0"/>
  </r>
  <r>
    <d v="2019-07-11T00:00:00"/>
    <n v="3.33"/>
    <n v="4.726"/>
    <n v="4"/>
    <n v="19"/>
    <n v="7"/>
    <n v="0"/>
    <n v="0"/>
    <n v="3"/>
    <x v="5"/>
    <x v="6"/>
    <x v="0"/>
    <n v="41.055999999999997"/>
    <n v="6158.4"/>
    <n v="1847.5199999999998"/>
    <x v="0"/>
  </r>
  <r>
    <d v="2019-07-12T00:00:00"/>
    <n v="11"/>
    <n v="5.09"/>
    <n v="4.05"/>
    <n v="34"/>
    <n v="7.2"/>
    <n v="0"/>
    <n v="2"/>
    <n v="2"/>
    <x v="5"/>
    <x v="6"/>
    <x v="1"/>
    <n v="65.34"/>
    <n v="9801"/>
    <n v="2940.2999999999997"/>
    <x v="0"/>
  </r>
  <r>
    <d v="2019-07-13T00:00:00"/>
    <n v="5"/>
    <n v="3.4169999999999998"/>
    <n v="1"/>
    <n v="17.600000000000001"/>
    <n v="5"/>
    <n v="3"/>
    <n v="0"/>
    <n v="5"/>
    <x v="5"/>
    <x v="6"/>
    <x v="2"/>
    <n v="40.017000000000003"/>
    <n v="6002.55"/>
    <n v="1800.7650000000001"/>
    <x v="0"/>
  </r>
  <r>
    <d v="2019-07-14T00:00:00"/>
    <n v="6"/>
    <n v="5.34"/>
    <n v="4"/>
    <n v="23"/>
    <n v="3"/>
    <n v="0"/>
    <n v="5"/>
    <n v="1"/>
    <x v="5"/>
    <x v="6"/>
    <x v="3"/>
    <n v="47.34"/>
    <n v="7101.0000000000009"/>
    <n v="2130.3000000000002"/>
    <x v="0"/>
  </r>
  <r>
    <d v="2019-07-15T00:00:00"/>
    <n v="7.33"/>
    <n v="1.67"/>
    <n v="4.55"/>
    <n v="24"/>
    <n v="6"/>
    <n v="1"/>
    <n v="0"/>
    <n v="7"/>
    <x v="5"/>
    <x v="6"/>
    <x v="4"/>
    <n v="51.55"/>
    <n v="7732.5"/>
    <n v="2319.75"/>
    <x v="0"/>
  </r>
  <r>
    <d v="2019-07-16T00:00:00"/>
    <n v="7"/>
    <n v="3.34"/>
    <n v="3"/>
    <n v="14"/>
    <n v="7"/>
    <n v="0"/>
    <n v="2"/>
    <n v="4"/>
    <x v="5"/>
    <x v="6"/>
    <x v="5"/>
    <n v="40.340000000000003"/>
    <n v="6051.0000000000009"/>
    <n v="1815.3000000000002"/>
    <x v="0"/>
  </r>
  <r>
    <d v="2019-07-17T00:00:00"/>
    <n v="3.99"/>
    <n v="0.157"/>
    <n v="2.5"/>
    <n v="26"/>
    <n v="7"/>
    <n v="1"/>
    <n v="0"/>
    <n v="2"/>
    <x v="5"/>
    <x v="6"/>
    <x v="6"/>
    <n v="42.646999999999998"/>
    <n v="6397.05"/>
    <n v="1919.115"/>
    <x v="0"/>
  </r>
  <r>
    <d v="2019-07-18T00:00:00"/>
    <n v="11"/>
    <n v="3.33"/>
    <n v="1.3"/>
    <n v="24"/>
    <n v="11"/>
    <n v="0"/>
    <n v="3"/>
    <n v="3"/>
    <x v="5"/>
    <x v="6"/>
    <x v="0"/>
    <n v="56.63"/>
    <n v="8494.5"/>
    <n v="2548.35"/>
    <x v="0"/>
  </r>
  <r>
    <d v="2019-07-19T00:00:00"/>
    <n v="7.33"/>
    <n v="5.34"/>
    <n v="4"/>
    <n v="28"/>
    <n v="15"/>
    <n v="0"/>
    <n v="3"/>
    <n v="7"/>
    <x v="5"/>
    <x v="6"/>
    <x v="1"/>
    <n v="69.67"/>
    <n v="10450.5"/>
    <n v="3135.15"/>
    <x v="1"/>
  </r>
  <r>
    <d v="2019-07-20T00:00:00"/>
    <n v="4.34"/>
    <n v="4.4489999999999998"/>
    <n v="1"/>
    <n v="17.2"/>
    <n v="4"/>
    <n v="0"/>
    <n v="6"/>
    <n v="2"/>
    <x v="5"/>
    <x v="6"/>
    <x v="2"/>
    <n v="38.988999999999997"/>
    <n v="5848.3499999999995"/>
    <n v="1754.5049999999999"/>
    <x v="0"/>
  </r>
  <r>
    <d v="2019-07-21T00:00:00"/>
    <n v="6.34"/>
    <n v="0.36299999999999999"/>
    <n v="1.1000000000000001"/>
    <n v="16"/>
    <n v="5"/>
    <n v="0"/>
    <n v="1"/>
    <n v="3"/>
    <x v="5"/>
    <x v="6"/>
    <x v="3"/>
    <n v="32.802999999999997"/>
    <n v="4920.45"/>
    <n v="1476.135"/>
    <x v="0"/>
  </r>
  <r>
    <d v="2019-07-22T00:00:00"/>
    <n v="1"/>
    <n v="2.66"/>
    <n v="2"/>
    <n v="14.25"/>
    <n v="10"/>
    <n v="0"/>
    <n v="0"/>
    <n v="6"/>
    <x v="5"/>
    <x v="6"/>
    <x v="4"/>
    <n v="35.909999999999997"/>
    <n v="5386.4999999999991"/>
    <n v="1615.9499999999996"/>
    <x v="0"/>
  </r>
  <r>
    <d v="2019-07-23T00:00:00"/>
    <n v="1.34"/>
    <n v="0.67"/>
    <n v="5.2"/>
    <n v="7.25"/>
    <n v="11"/>
    <n v="0"/>
    <n v="7"/>
    <n v="2.4"/>
    <x v="5"/>
    <x v="6"/>
    <x v="5"/>
    <n v="34.86"/>
    <n v="5229"/>
    <n v="1568.7"/>
    <x v="0"/>
  </r>
  <r>
    <d v="2019-07-24T00:00:00"/>
    <n v="8"/>
    <n v="3.7690000000000001"/>
    <n v="2"/>
    <n v="30.875"/>
    <n v="19"/>
    <n v="0"/>
    <n v="2"/>
    <n v="1"/>
    <x v="5"/>
    <x v="6"/>
    <x v="6"/>
    <n v="66.644000000000005"/>
    <n v="9996.6"/>
    <n v="2998.98"/>
    <x v="0"/>
  </r>
  <r>
    <d v="2019-07-25T00:00:00"/>
    <n v="6"/>
    <n v="7"/>
    <n v="5"/>
    <n v="20"/>
    <n v="9"/>
    <n v="1"/>
    <n v="11"/>
    <n v="2"/>
    <x v="5"/>
    <x v="6"/>
    <x v="0"/>
    <n v="61"/>
    <n v="9150"/>
    <n v="2745"/>
    <x v="0"/>
  </r>
  <r>
    <d v="2019-07-26T00:00:00"/>
    <n v="12.5"/>
    <n v="4"/>
    <n v="0.1"/>
    <n v="17"/>
    <n v="12"/>
    <n v="0"/>
    <n v="8"/>
    <n v="3"/>
    <x v="5"/>
    <x v="6"/>
    <x v="1"/>
    <n v="56.6"/>
    <n v="8490"/>
    <n v="2547"/>
    <x v="0"/>
  </r>
  <r>
    <d v="2019-07-27T00:00:00"/>
    <n v="3.34"/>
    <n v="0"/>
    <n v="1"/>
    <n v="22"/>
    <n v="6"/>
    <n v="3"/>
    <n v="2"/>
    <n v="3.4"/>
    <x v="5"/>
    <x v="6"/>
    <x v="2"/>
    <n v="40.74"/>
    <n v="6111"/>
    <n v="1833.3"/>
    <x v="0"/>
  </r>
  <r>
    <d v="2019-07-28T00:00:00"/>
    <n v="4.34"/>
    <n v="1.34"/>
    <n v="4"/>
    <n v="13"/>
    <n v="3"/>
    <n v="1"/>
    <n v="0"/>
    <n v="0.6"/>
    <x v="5"/>
    <x v="6"/>
    <x v="3"/>
    <n v="27.28"/>
    <n v="4092"/>
    <n v="1227.5999999999999"/>
    <x v="0"/>
  </r>
  <r>
    <d v="2019-07-29T00:00:00"/>
    <n v="9"/>
    <n v="4.33"/>
    <n v="2"/>
    <n v="25.45"/>
    <n v="12"/>
    <n v="0"/>
    <n v="1"/>
    <n v="2"/>
    <x v="5"/>
    <x v="6"/>
    <x v="4"/>
    <n v="55.78"/>
    <n v="8367"/>
    <n v="2510.1"/>
    <x v="0"/>
  </r>
  <r>
    <d v="2019-07-30T00:00:00"/>
    <n v="9.5"/>
    <n v="6.1870000000000003"/>
    <n v="5"/>
    <n v="19"/>
    <n v="9"/>
    <n v="4"/>
    <n v="33"/>
    <n v="5"/>
    <x v="5"/>
    <x v="6"/>
    <x v="5"/>
    <n v="90.686999999999998"/>
    <n v="13603.05"/>
    <n v="4080.9149999999995"/>
    <x v="1"/>
  </r>
  <r>
    <d v="2019-07-31T00:00:00"/>
    <n v="0"/>
    <n v="2.84"/>
    <n v="2"/>
    <n v="21"/>
    <n v="4"/>
    <n v="0"/>
    <n v="4"/>
    <n v="2"/>
    <x v="5"/>
    <x v="6"/>
    <x v="6"/>
    <n v="35.840000000000003"/>
    <n v="5376.0000000000009"/>
    <n v="1612.8000000000002"/>
    <x v="0"/>
  </r>
  <r>
    <d v="2019-08-01T00:00:00"/>
    <n v="8.67"/>
    <n v="0.91300000000000003"/>
    <n v="2"/>
    <n v="37"/>
    <n v="6"/>
    <n v="0"/>
    <n v="1"/>
    <n v="2"/>
    <x v="5"/>
    <x v="7"/>
    <x v="0"/>
    <n v="57.582999999999998"/>
    <n v="8637.4499999999989"/>
    <n v="2591.2349999999997"/>
    <x v="0"/>
  </r>
  <r>
    <d v="2019-08-02T00:00:00"/>
    <n v="5"/>
    <n v="1.68"/>
    <n v="3"/>
    <n v="18"/>
    <n v="7"/>
    <n v="2"/>
    <n v="6"/>
    <n v="1"/>
    <x v="5"/>
    <x v="7"/>
    <x v="1"/>
    <n v="43.68"/>
    <n v="6552"/>
    <n v="1965.6"/>
    <x v="0"/>
  </r>
  <r>
    <d v="2019-08-03T00:00:00"/>
    <n v="5.34"/>
    <n v="4.68"/>
    <n v="2.2999999999999998"/>
    <n v="12"/>
    <n v="6"/>
    <n v="5"/>
    <n v="1"/>
    <n v="3.4"/>
    <x v="5"/>
    <x v="7"/>
    <x v="2"/>
    <n v="39.72"/>
    <n v="5958"/>
    <n v="1787.3999999999999"/>
    <x v="0"/>
  </r>
  <r>
    <d v="2019-08-04T00:00:00"/>
    <n v="6.5"/>
    <n v="2.67"/>
    <n v="5"/>
    <n v="24"/>
    <n v="10"/>
    <n v="0"/>
    <n v="2"/>
    <n v="4.3"/>
    <x v="5"/>
    <x v="7"/>
    <x v="3"/>
    <n v="54.47"/>
    <n v="8170.5"/>
    <n v="2451.15"/>
    <x v="0"/>
  </r>
  <r>
    <d v="2019-08-05T00:00:00"/>
    <n v="4"/>
    <n v="1"/>
    <n v="4.3"/>
    <n v="6"/>
    <n v="7"/>
    <n v="1"/>
    <n v="5"/>
    <n v="0"/>
    <x v="5"/>
    <x v="7"/>
    <x v="4"/>
    <n v="28.3"/>
    <n v="4245"/>
    <n v="1273.5"/>
    <x v="0"/>
  </r>
  <r>
    <d v="2019-08-06T00:00:00"/>
    <n v="10"/>
    <n v="4.67"/>
    <n v="2"/>
    <n v="17.25"/>
    <n v="4"/>
    <n v="0"/>
    <n v="6"/>
    <n v="6"/>
    <x v="5"/>
    <x v="7"/>
    <x v="5"/>
    <n v="49.92"/>
    <n v="7488"/>
    <n v="2246.4"/>
    <x v="0"/>
  </r>
  <r>
    <d v="2019-08-07T00:00:00"/>
    <n v="6"/>
    <n v="1.7589999999999999"/>
    <n v="2"/>
    <n v="9"/>
    <n v="7"/>
    <n v="0"/>
    <n v="21"/>
    <n v="3"/>
    <x v="5"/>
    <x v="7"/>
    <x v="6"/>
    <n v="49.759"/>
    <n v="7463.85"/>
    <n v="2239.1550000000002"/>
    <x v="0"/>
  </r>
  <r>
    <d v="2019-08-08T00:00:00"/>
    <n v="7.66"/>
    <n v="1.01"/>
    <n v="3"/>
    <n v="15"/>
    <n v="10"/>
    <n v="0"/>
    <n v="31"/>
    <n v="3"/>
    <x v="5"/>
    <x v="7"/>
    <x v="0"/>
    <n v="70.67"/>
    <n v="10600.5"/>
    <n v="3180.15"/>
    <x v="1"/>
  </r>
  <r>
    <d v="2019-08-09T00:00:00"/>
    <n v="3"/>
    <n v="3.25"/>
    <n v="0"/>
    <n v="8"/>
    <n v="13"/>
    <n v="5"/>
    <n v="1"/>
    <n v="5"/>
    <x v="5"/>
    <x v="7"/>
    <x v="1"/>
    <n v="38.25"/>
    <n v="5737.5"/>
    <n v="1721.25"/>
    <x v="0"/>
  </r>
  <r>
    <d v="2019-08-10T00:00:00"/>
    <n v="3.33"/>
    <n v="0.68"/>
    <n v="6"/>
    <n v="15"/>
    <n v="11"/>
    <n v="0"/>
    <n v="0"/>
    <n v="0"/>
    <x v="5"/>
    <x v="7"/>
    <x v="2"/>
    <n v="36.01"/>
    <n v="5401.5"/>
    <n v="1620.45"/>
    <x v="0"/>
  </r>
  <r>
    <d v="2019-08-11T00:00:00"/>
    <n v="7"/>
    <n v="6.85"/>
    <n v="4"/>
    <n v="16"/>
    <n v="5"/>
    <n v="2"/>
    <n v="2"/>
    <n v="3"/>
    <x v="5"/>
    <x v="7"/>
    <x v="3"/>
    <n v="45.85"/>
    <n v="6877.5"/>
    <n v="2063.25"/>
    <x v="0"/>
  </r>
  <r>
    <d v="2019-08-12T00:00:00"/>
    <n v="8.33"/>
    <n v="4.4960000000000004"/>
    <n v="1"/>
    <n v="36"/>
    <n v="11"/>
    <n v="1"/>
    <n v="5"/>
    <n v="3.5"/>
    <x v="5"/>
    <x v="7"/>
    <x v="4"/>
    <n v="70.325999999999993"/>
    <n v="10548.9"/>
    <n v="3164.6699999999996"/>
    <x v="1"/>
  </r>
  <r>
    <d v="2019-08-13T00:00:00"/>
    <n v="8"/>
    <n v="1.8959999999999999"/>
    <n v="2"/>
    <n v="15"/>
    <n v="3"/>
    <n v="0"/>
    <n v="2"/>
    <n v="1"/>
    <x v="5"/>
    <x v="7"/>
    <x v="5"/>
    <n v="32.896000000000001"/>
    <n v="4934.4000000000005"/>
    <n v="1480.3200000000002"/>
    <x v="0"/>
  </r>
  <r>
    <d v="2019-08-14T00:00:00"/>
    <n v="4.34"/>
    <n v="0.67"/>
    <n v="3.1"/>
    <n v="20"/>
    <n v="6"/>
    <n v="0"/>
    <n v="0"/>
    <n v="3"/>
    <x v="5"/>
    <x v="7"/>
    <x v="6"/>
    <n v="37.11"/>
    <n v="5566.5"/>
    <n v="1669.95"/>
    <x v="0"/>
  </r>
  <r>
    <d v="2019-08-15T00:00:00"/>
    <n v="8.67"/>
    <n v="1.99"/>
    <n v="2"/>
    <n v="12"/>
    <n v="9"/>
    <n v="0"/>
    <n v="11"/>
    <n v="2"/>
    <x v="5"/>
    <x v="7"/>
    <x v="0"/>
    <n v="46.66"/>
    <n v="6998.9999999999991"/>
    <n v="2099.6999999999998"/>
    <x v="0"/>
  </r>
  <r>
    <d v="2019-08-16T00:00:00"/>
    <n v="3.33"/>
    <n v="2.68"/>
    <n v="2"/>
    <n v="13"/>
    <n v="15"/>
    <n v="0"/>
    <n v="10"/>
    <n v="7"/>
    <x v="5"/>
    <x v="7"/>
    <x v="1"/>
    <n v="53.01"/>
    <n v="7951.5"/>
    <n v="2385.4499999999998"/>
    <x v="0"/>
  </r>
  <r>
    <d v="2019-08-17T00:00:00"/>
    <n v="7.67"/>
    <n v="4.5309999999999997"/>
    <n v="2.4500000000000002"/>
    <n v="18"/>
    <n v="5"/>
    <n v="1"/>
    <n v="0"/>
    <n v="2.5"/>
    <x v="5"/>
    <x v="7"/>
    <x v="2"/>
    <n v="41.150999999999996"/>
    <n v="6172.65"/>
    <n v="1851.7949999999998"/>
    <x v="0"/>
  </r>
  <r>
    <d v="2019-08-18T00:00:00"/>
    <n v="4.84"/>
    <n v="2.8460000000000001"/>
    <n v="1"/>
    <n v="11"/>
    <n v="4"/>
    <n v="0"/>
    <n v="7"/>
    <n v="4"/>
    <x v="5"/>
    <x v="7"/>
    <x v="3"/>
    <n v="34.686"/>
    <n v="5202.8999999999996"/>
    <n v="1560.87"/>
    <x v="0"/>
  </r>
  <r>
    <d v="2019-08-19T00:00:00"/>
    <n v="3.68"/>
    <n v="3.67"/>
    <n v="4"/>
    <n v="9"/>
    <n v="11"/>
    <n v="2"/>
    <n v="0"/>
    <n v="4"/>
    <x v="5"/>
    <x v="7"/>
    <x v="4"/>
    <n v="37.35"/>
    <n v="5602.5"/>
    <n v="1680.75"/>
    <x v="0"/>
  </r>
  <r>
    <d v="2019-08-20T00:00:00"/>
    <n v="2"/>
    <n v="1.32"/>
    <n v="2"/>
    <n v="13.4"/>
    <n v="8"/>
    <n v="0"/>
    <n v="2"/>
    <n v="3"/>
    <x v="5"/>
    <x v="7"/>
    <x v="5"/>
    <n v="31.72"/>
    <n v="4758"/>
    <n v="1427.3999999999999"/>
    <x v="0"/>
  </r>
  <r>
    <d v="2019-08-21T00:00:00"/>
    <n v="4.34"/>
    <n v="4"/>
    <n v="0"/>
    <n v="19.45"/>
    <n v="10"/>
    <n v="0"/>
    <n v="5"/>
    <n v="3"/>
    <x v="5"/>
    <x v="7"/>
    <x v="6"/>
    <n v="45.79"/>
    <n v="6868.5"/>
    <n v="2060.5499999999997"/>
    <x v="0"/>
  </r>
  <r>
    <d v="2019-08-22T00:00:00"/>
    <n v="5.34"/>
    <n v="4"/>
    <n v="2"/>
    <n v="20"/>
    <n v="8"/>
    <n v="2"/>
    <n v="10"/>
    <n v="3"/>
    <x v="5"/>
    <x v="7"/>
    <x v="0"/>
    <n v="54.34"/>
    <n v="8151.0000000000009"/>
    <n v="2445.3000000000002"/>
    <x v="0"/>
  </r>
  <r>
    <d v="2019-08-23T00:00:00"/>
    <n v="9.67"/>
    <n v="5.1559999999999997"/>
    <n v="4.05"/>
    <n v="12"/>
    <n v="11"/>
    <n v="2"/>
    <n v="4"/>
    <n v="2"/>
    <x v="5"/>
    <x v="7"/>
    <x v="1"/>
    <n v="49.876000000000005"/>
    <n v="7481.4000000000005"/>
    <n v="2244.42"/>
    <x v="0"/>
  </r>
  <r>
    <d v="2019-08-24T00:00:00"/>
    <n v="13.84"/>
    <n v="6.02"/>
    <n v="3"/>
    <n v="24.6"/>
    <n v="9"/>
    <n v="0"/>
    <n v="0"/>
    <n v="5.5"/>
    <x v="5"/>
    <x v="7"/>
    <x v="2"/>
    <n v="61.96"/>
    <n v="9294"/>
    <n v="2788.2"/>
    <x v="0"/>
  </r>
  <r>
    <d v="2019-08-25T00:00:00"/>
    <n v="3"/>
    <n v="3.35"/>
    <n v="2"/>
    <n v="17"/>
    <n v="4"/>
    <n v="0"/>
    <n v="3"/>
    <n v="0"/>
    <x v="5"/>
    <x v="7"/>
    <x v="3"/>
    <n v="32.35"/>
    <n v="4852.5"/>
    <n v="1455.75"/>
    <x v="0"/>
  </r>
  <r>
    <d v="2019-08-26T00:00:00"/>
    <n v="2.67"/>
    <n v="2.3730000000000002"/>
    <n v="3"/>
    <n v="18"/>
    <n v="11"/>
    <n v="0"/>
    <n v="3"/>
    <n v="3"/>
    <x v="5"/>
    <x v="7"/>
    <x v="4"/>
    <n v="43.042999999999999"/>
    <n v="6456.45"/>
    <n v="1936.9349999999999"/>
    <x v="0"/>
  </r>
  <r>
    <d v="2019-08-27T00:00:00"/>
    <n v="2.34"/>
    <n v="2.0099999999999998"/>
    <n v="3"/>
    <n v="21"/>
    <n v="3"/>
    <n v="0"/>
    <n v="0"/>
    <n v="5"/>
    <x v="5"/>
    <x v="7"/>
    <x v="5"/>
    <n v="36.35"/>
    <n v="5452.5"/>
    <n v="1635.75"/>
    <x v="0"/>
  </r>
  <r>
    <d v="2019-08-28T00:00:00"/>
    <n v="3.33"/>
    <n v="1.427"/>
    <n v="5"/>
    <n v="10"/>
    <n v="6"/>
    <n v="1"/>
    <n v="0"/>
    <n v="2"/>
    <x v="5"/>
    <x v="7"/>
    <x v="6"/>
    <n v="28.756999999999998"/>
    <n v="4313.5499999999993"/>
    <n v="1294.0649999999998"/>
    <x v="0"/>
  </r>
  <r>
    <d v="2019-08-29T00:00:00"/>
    <n v="9"/>
    <n v="1.68"/>
    <n v="5"/>
    <n v="17.399999999999999"/>
    <n v="9"/>
    <n v="1"/>
    <n v="1"/>
    <n v="2"/>
    <x v="5"/>
    <x v="7"/>
    <x v="0"/>
    <n v="46.08"/>
    <n v="6912"/>
    <n v="2073.6"/>
    <x v="0"/>
  </r>
  <r>
    <d v="2019-08-30T00:00:00"/>
    <n v="6.34"/>
    <n v="1.056"/>
    <n v="2"/>
    <n v="19"/>
    <n v="3"/>
    <n v="0"/>
    <n v="2"/>
    <n v="5.0999999999999996"/>
    <x v="5"/>
    <x v="7"/>
    <x v="1"/>
    <n v="38.496000000000002"/>
    <n v="5774.4000000000005"/>
    <n v="1732.3200000000002"/>
    <x v="0"/>
  </r>
  <r>
    <d v="2019-08-31T00:00:00"/>
    <n v="4.68"/>
    <n v="3.9359999999999999"/>
    <n v="2"/>
    <n v="15"/>
    <n v="5"/>
    <n v="1"/>
    <n v="4"/>
    <n v="6"/>
    <x v="5"/>
    <x v="7"/>
    <x v="2"/>
    <n v="41.616"/>
    <n v="6242.4"/>
    <n v="1872.7199999999998"/>
    <x v="0"/>
  </r>
  <r>
    <d v="2019-09-01T00:00:00"/>
    <n v="2"/>
    <n v="4.3600000000000003"/>
    <n v="5"/>
    <n v="17"/>
    <n v="8.1999999999999993"/>
    <n v="1"/>
    <n v="5"/>
    <n v="4"/>
    <x v="5"/>
    <x v="8"/>
    <x v="3"/>
    <n v="46.56"/>
    <n v="6984"/>
    <n v="2095.1999999999998"/>
    <x v="0"/>
  </r>
  <r>
    <d v="2019-09-02T00:00:00"/>
    <n v="5.33"/>
    <n v="2.0870000000000002"/>
    <n v="2.5"/>
    <n v="18"/>
    <n v="7"/>
    <n v="0"/>
    <n v="1"/>
    <n v="9"/>
    <x v="5"/>
    <x v="8"/>
    <x v="4"/>
    <n v="44.917000000000002"/>
    <n v="6737.55"/>
    <n v="2021.2649999999999"/>
    <x v="0"/>
  </r>
  <r>
    <d v="2019-09-03T00:00:00"/>
    <n v="9.36"/>
    <n v="2.35"/>
    <n v="3.1"/>
    <n v="12.125"/>
    <n v="8"/>
    <n v="3"/>
    <n v="1"/>
    <n v="2"/>
    <x v="5"/>
    <x v="8"/>
    <x v="5"/>
    <n v="40.935000000000002"/>
    <n v="6140.25"/>
    <n v="1842.0749999999998"/>
    <x v="0"/>
  </r>
  <r>
    <d v="2019-09-04T00:00:00"/>
    <n v="2"/>
    <n v="0.373"/>
    <n v="2.15"/>
    <n v="29.23"/>
    <n v="7"/>
    <n v="0"/>
    <n v="3"/>
    <n v="3"/>
    <x v="5"/>
    <x v="8"/>
    <x v="6"/>
    <n v="46.753"/>
    <n v="7012.95"/>
    <n v="2103.8849999999998"/>
    <x v="0"/>
  </r>
  <r>
    <d v="2019-09-05T00:00:00"/>
    <n v="7"/>
    <n v="9.5299999999999994"/>
    <n v="2"/>
    <n v="14"/>
    <n v="1"/>
    <n v="0"/>
    <n v="1"/>
    <n v="8"/>
    <x v="5"/>
    <x v="8"/>
    <x v="0"/>
    <n v="42.53"/>
    <n v="6379.5"/>
    <n v="1913.85"/>
    <x v="0"/>
  </r>
  <r>
    <d v="2019-09-06T00:00:00"/>
    <n v="1.68"/>
    <n v="2.67"/>
    <n v="1"/>
    <n v="28.4"/>
    <n v="7"/>
    <n v="0"/>
    <n v="0"/>
    <n v="1.5"/>
    <x v="5"/>
    <x v="8"/>
    <x v="1"/>
    <n v="42.25"/>
    <n v="6337.5"/>
    <n v="1901.25"/>
    <x v="0"/>
  </r>
  <r>
    <d v="2019-09-07T00:00:00"/>
    <n v="8.33"/>
    <n v="3.67"/>
    <n v="2"/>
    <n v="27"/>
    <n v="14"/>
    <n v="3"/>
    <n v="6"/>
    <n v="2"/>
    <x v="5"/>
    <x v="8"/>
    <x v="2"/>
    <n v="66"/>
    <n v="9900"/>
    <n v="2970"/>
    <x v="0"/>
  </r>
  <r>
    <d v="2019-09-08T00:00:00"/>
    <n v="7.01"/>
    <n v="6.0869999999999997"/>
    <n v="3"/>
    <n v="26"/>
    <n v="7"/>
    <n v="0"/>
    <n v="3"/>
    <n v="3"/>
    <x v="5"/>
    <x v="8"/>
    <x v="3"/>
    <n v="55.097000000000001"/>
    <n v="8264.5500000000011"/>
    <n v="2479.3650000000002"/>
    <x v="0"/>
  </r>
  <r>
    <d v="2019-09-09T00:00:00"/>
    <n v="1.18"/>
    <n v="2.1240000000000001"/>
    <n v="3"/>
    <n v="26"/>
    <n v="4"/>
    <n v="3"/>
    <n v="5"/>
    <n v="2"/>
    <x v="5"/>
    <x v="8"/>
    <x v="4"/>
    <n v="46.304000000000002"/>
    <n v="6945.6"/>
    <n v="2083.6799999999998"/>
    <x v="0"/>
  </r>
  <r>
    <d v="2019-09-10T00:00:00"/>
    <n v="8.66"/>
    <n v="6.68"/>
    <n v="4.2"/>
    <n v="22"/>
    <n v="17"/>
    <n v="0"/>
    <n v="1"/>
    <n v="1"/>
    <x v="5"/>
    <x v="8"/>
    <x v="5"/>
    <n v="60.54"/>
    <n v="9081"/>
    <n v="2724.2999999999997"/>
    <x v="0"/>
  </r>
  <r>
    <d v="2019-09-11T00:00:00"/>
    <n v="2.67"/>
    <n v="5.0759999999999996"/>
    <n v="3"/>
    <n v="42"/>
    <n v="5"/>
    <n v="0"/>
    <n v="5"/>
    <n v="2.5"/>
    <x v="5"/>
    <x v="8"/>
    <x v="6"/>
    <n v="65.245999999999995"/>
    <n v="9786.9"/>
    <n v="2936.0699999999997"/>
    <x v="0"/>
  </r>
  <r>
    <d v="2019-09-12T00:00:00"/>
    <n v="2.33"/>
    <n v="1.34"/>
    <n v="2"/>
    <n v="21.975000000000001"/>
    <n v="11.2"/>
    <n v="0"/>
    <n v="10"/>
    <n v="4"/>
    <x v="5"/>
    <x v="8"/>
    <x v="0"/>
    <n v="52.844999999999999"/>
    <n v="7926.75"/>
    <n v="2378.0250000000001"/>
    <x v="0"/>
  </r>
  <r>
    <d v="2019-09-13T00:00:00"/>
    <n v="6.34"/>
    <n v="3.35"/>
    <n v="2"/>
    <n v="17"/>
    <n v="12"/>
    <n v="2"/>
    <n v="5"/>
    <n v="5"/>
    <x v="5"/>
    <x v="8"/>
    <x v="1"/>
    <n v="52.69"/>
    <n v="7903.5"/>
    <n v="2371.0499999999997"/>
    <x v="0"/>
  </r>
  <r>
    <d v="2019-09-14T00:00:00"/>
    <n v="8.99"/>
    <n v="6.3970000000000002"/>
    <n v="3.45"/>
    <n v="24"/>
    <n v="12"/>
    <n v="0"/>
    <n v="2"/>
    <n v="10"/>
    <x v="5"/>
    <x v="8"/>
    <x v="2"/>
    <n v="66.837000000000003"/>
    <n v="10025.550000000001"/>
    <n v="3007.6650000000004"/>
    <x v="1"/>
  </r>
  <r>
    <d v="2019-09-15T00:00:00"/>
    <n v="5.34"/>
    <n v="6.01"/>
    <n v="2"/>
    <n v="25.4"/>
    <n v="6"/>
    <n v="0"/>
    <n v="2"/>
    <n v="6"/>
    <x v="5"/>
    <x v="8"/>
    <x v="3"/>
    <n v="52.75"/>
    <n v="7912.5"/>
    <n v="2373.75"/>
    <x v="0"/>
  </r>
  <r>
    <d v="2019-09-16T00:00:00"/>
    <n v="9.33"/>
    <n v="2.3159999999999998"/>
    <n v="3"/>
    <n v="22"/>
    <n v="5"/>
    <n v="1"/>
    <n v="0"/>
    <n v="2"/>
    <x v="5"/>
    <x v="8"/>
    <x v="4"/>
    <n v="44.646000000000001"/>
    <n v="6696.9000000000005"/>
    <n v="2009.0700000000002"/>
    <x v="0"/>
  </r>
  <r>
    <d v="2019-09-17T00:00:00"/>
    <n v="4.5"/>
    <n v="3.0070000000000001"/>
    <n v="6.5"/>
    <n v="19.2"/>
    <n v="8.1999999999999993"/>
    <n v="0"/>
    <n v="6"/>
    <n v="2"/>
    <x v="5"/>
    <x v="8"/>
    <x v="5"/>
    <n v="49.406999999999996"/>
    <n v="7411.0499999999993"/>
    <n v="2223.3149999999996"/>
    <x v="0"/>
  </r>
  <r>
    <d v="2019-09-18T00:00:00"/>
    <n v="6.33"/>
    <n v="4.33"/>
    <n v="7"/>
    <n v="22"/>
    <n v="4"/>
    <n v="0"/>
    <n v="2"/>
    <n v="2"/>
    <x v="5"/>
    <x v="8"/>
    <x v="6"/>
    <n v="47.66"/>
    <n v="7148.9999999999991"/>
    <n v="2144.6999999999998"/>
    <x v="0"/>
  </r>
  <r>
    <d v="2019-09-19T00:00:00"/>
    <n v="7.33"/>
    <n v="3.34"/>
    <n v="3"/>
    <n v="33"/>
    <n v="5"/>
    <n v="2"/>
    <n v="3"/>
    <n v="4"/>
    <x v="5"/>
    <x v="8"/>
    <x v="0"/>
    <n v="60.67"/>
    <n v="9100.5"/>
    <n v="2730.15"/>
    <x v="0"/>
  </r>
  <r>
    <d v="2019-09-20T00:00:00"/>
    <n v="5.34"/>
    <n v="3.383"/>
    <n v="2"/>
    <n v="51.3"/>
    <n v="3"/>
    <n v="0"/>
    <n v="1"/>
    <n v="3"/>
    <x v="5"/>
    <x v="8"/>
    <x v="1"/>
    <n v="69.022999999999996"/>
    <n v="10353.449999999999"/>
    <n v="3106.0349999999994"/>
    <x v="1"/>
  </r>
  <r>
    <d v="2019-09-21T00:00:00"/>
    <n v="10.68"/>
    <n v="5.68"/>
    <n v="1"/>
    <n v="44.25"/>
    <n v="3"/>
    <n v="0"/>
    <n v="6"/>
    <n v="4"/>
    <x v="5"/>
    <x v="8"/>
    <x v="2"/>
    <n v="74.61"/>
    <n v="11191.5"/>
    <n v="3357.45"/>
    <x v="1"/>
  </r>
  <r>
    <d v="2019-09-22T00:00:00"/>
    <n v="3.33"/>
    <n v="3.34"/>
    <n v="1.9"/>
    <n v="56.5"/>
    <n v="3"/>
    <n v="0"/>
    <n v="8"/>
    <n v="4"/>
    <x v="5"/>
    <x v="8"/>
    <x v="3"/>
    <n v="80.069999999999993"/>
    <n v="12010.499999999998"/>
    <n v="3603.1499999999992"/>
    <x v="1"/>
  </r>
  <r>
    <d v="2019-09-23T00:00:00"/>
    <n v="5.34"/>
    <n v="4.5490000000000004"/>
    <n v="3.3"/>
    <n v="55"/>
    <n v="6"/>
    <n v="0"/>
    <n v="1"/>
    <n v="4"/>
    <x v="5"/>
    <x v="8"/>
    <x v="4"/>
    <n v="79.188999999999993"/>
    <n v="11878.349999999999"/>
    <n v="3563.5049999999997"/>
    <x v="1"/>
  </r>
  <r>
    <d v="2019-09-24T00:00:00"/>
    <n v="2"/>
    <n v="1.34"/>
    <n v="6"/>
    <n v="61.3"/>
    <n v="12"/>
    <n v="0"/>
    <n v="1"/>
    <n v="6"/>
    <x v="5"/>
    <x v="8"/>
    <x v="5"/>
    <n v="89.64"/>
    <n v="13446"/>
    <n v="4033.7999999999997"/>
    <x v="1"/>
  </r>
  <r>
    <d v="2019-09-25T00:00:00"/>
    <n v="6"/>
    <n v="3.67"/>
    <n v="4.2"/>
    <n v="32.5"/>
    <n v="14"/>
    <n v="1"/>
    <n v="1.4166666670000001"/>
    <n v="4"/>
    <x v="5"/>
    <x v="8"/>
    <x v="6"/>
    <n v="66.786666667000006"/>
    <n v="10018.00000005"/>
    <n v="3005.4000000149999"/>
    <x v="1"/>
  </r>
  <r>
    <d v="2019-09-26T00:00:00"/>
    <n v="5.5"/>
    <n v="3.0329999999999999"/>
    <n v="2"/>
    <n v="31"/>
    <n v="13"/>
    <n v="0"/>
    <n v="31"/>
    <n v="0"/>
    <x v="5"/>
    <x v="8"/>
    <x v="0"/>
    <n v="85.533000000000001"/>
    <n v="12829.95"/>
    <n v="3848.9850000000001"/>
    <x v="1"/>
  </r>
  <r>
    <d v="2019-09-27T00:00:00"/>
    <n v="4.66"/>
    <n v="4.359"/>
    <n v="4"/>
    <n v="41.1"/>
    <n v="4"/>
    <n v="0"/>
    <n v="2"/>
    <n v="4"/>
    <x v="5"/>
    <x v="8"/>
    <x v="1"/>
    <n v="64.119"/>
    <n v="9617.85"/>
    <n v="2885.355"/>
    <x v="0"/>
  </r>
  <r>
    <d v="2019-09-28T00:00:00"/>
    <n v="7"/>
    <n v="1.68"/>
    <n v="4.0999999999999996"/>
    <n v="48"/>
    <n v="6.2"/>
    <n v="0"/>
    <n v="1"/>
    <n v="3"/>
    <x v="5"/>
    <x v="8"/>
    <x v="2"/>
    <n v="70.98"/>
    <n v="10647"/>
    <n v="3194.1"/>
    <x v="1"/>
  </r>
  <r>
    <d v="2019-09-29T00:00:00"/>
    <n v="3.51"/>
    <n v="3.867"/>
    <n v="3"/>
    <n v="67.8"/>
    <n v="6"/>
    <n v="0"/>
    <n v="3"/>
    <n v="2.1"/>
    <x v="5"/>
    <x v="8"/>
    <x v="3"/>
    <n v="89.276999999999987"/>
    <n v="13391.549999999997"/>
    <n v="4017.4649999999992"/>
    <x v="1"/>
  </r>
  <r>
    <d v="2019-09-30T00:00:00"/>
    <n v="2"/>
    <n v="1.4390000000000001"/>
    <n v="2.1"/>
    <n v="49.4"/>
    <n v="9"/>
    <n v="0"/>
    <n v="5"/>
    <n v="2"/>
    <x v="5"/>
    <x v="8"/>
    <x v="4"/>
    <n v="70.938999999999993"/>
    <n v="10640.849999999999"/>
    <n v="3192.2549999999997"/>
    <x v="1"/>
  </r>
  <r>
    <d v="2019-10-01T00:00:00"/>
    <n v="11.34"/>
    <n v="2.4060000000000001"/>
    <n v="0.1"/>
    <n v="47"/>
    <n v="15"/>
    <n v="4"/>
    <n v="17"/>
    <n v="1.5"/>
    <x v="5"/>
    <x v="9"/>
    <x v="5"/>
    <n v="98.346000000000004"/>
    <n v="14751.900000000001"/>
    <n v="4425.5700000000006"/>
    <x v="1"/>
  </r>
  <r>
    <d v="2019-10-02T00:00:00"/>
    <n v="5.18"/>
    <n v="3.274"/>
    <n v="2.8"/>
    <n v="30.2"/>
    <n v="9"/>
    <n v="1"/>
    <n v="0"/>
    <n v="1.1000000000000001"/>
    <x v="5"/>
    <x v="9"/>
    <x v="6"/>
    <n v="52.554000000000002"/>
    <n v="7883.1"/>
    <n v="2364.9299999999998"/>
    <x v="0"/>
  </r>
  <r>
    <d v="2019-10-03T00:00:00"/>
    <n v="5"/>
    <n v="3"/>
    <n v="4"/>
    <n v="40.4"/>
    <n v="10"/>
    <n v="0"/>
    <n v="2"/>
    <n v="2"/>
    <x v="5"/>
    <x v="9"/>
    <x v="0"/>
    <n v="66.400000000000006"/>
    <n v="9960"/>
    <n v="2988"/>
    <x v="0"/>
  </r>
  <r>
    <d v="2019-10-04T00:00:00"/>
    <n v="7.34"/>
    <n v="5.6829999999999998"/>
    <n v="2.25"/>
    <n v="22.45"/>
    <n v="13"/>
    <n v="0"/>
    <n v="1"/>
    <n v="1"/>
    <x v="5"/>
    <x v="9"/>
    <x v="1"/>
    <n v="52.722999999999999"/>
    <n v="7908.45"/>
    <n v="2372.5349999999999"/>
    <x v="0"/>
  </r>
  <r>
    <d v="2019-10-05T00:00:00"/>
    <n v="3.84"/>
    <n v="5.01"/>
    <n v="6"/>
    <n v="25.4"/>
    <n v="7"/>
    <n v="0"/>
    <n v="0"/>
    <n v="0.33"/>
    <x v="5"/>
    <x v="9"/>
    <x v="2"/>
    <n v="47.58"/>
    <n v="7137"/>
    <n v="2141.1"/>
    <x v="0"/>
  </r>
  <r>
    <d v="2019-10-06T00:00:00"/>
    <n v="4"/>
    <n v="11.69"/>
    <n v="2"/>
    <n v="34.6"/>
    <n v="6"/>
    <n v="0"/>
    <n v="5"/>
    <n v="4.2"/>
    <x v="5"/>
    <x v="9"/>
    <x v="3"/>
    <n v="67.489999999999995"/>
    <n v="10123.5"/>
    <n v="3037.0499999999997"/>
    <x v="1"/>
  </r>
  <r>
    <d v="2019-10-07T00:00:00"/>
    <n v="7.34"/>
    <n v="4.5069999999999997"/>
    <n v="3"/>
    <n v="50.8"/>
    <n v="6"/>
    <n v="0"/>
    <n v="10"/>
    <n v="1"/>
    <x v="5"/>
    <x v="9"/>
    <x v="4"/>
    <n v="82.646999999999991"/>
    <n v="12397.05"/>
    <n v="3719.1149999999998"/>
    <x v="1"/>
  </r>
  <r>
    <d v="2019-10-08T00:00:00"/>
    <n v="0.33"/>
    <n v="1.73"/>
    <n v="0.5"/>
    <n v="44.3"/>
    <n v="20"/>
    <n v="2"/>
    <n v="2"/>
    <n v="0"/>
    <x v="5"/>
    <x v="9"/>
    <x v="5"/>
    <n v="70.86"/>
    <n v="10629"/>
    <n v="3188.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Market Segment">
  <location ref="A3:B7" firstHeaderRow="1" firstDataRow="1" firstDataCol="1"/>
  <pivotFields count="16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numFmtId="44"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5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 Total Revenue" fld="13" baseField="15" baseItem="0" numFmtId="4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Month/Year">
  <location ref="A21:B98" firstHeaderRow="1" firstDataRow="1" firstDataCol="1"/>
  <pivotFields count="16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numFmtId="44" showAll="0"/>
    <pivotField numFmtId="44" showAll="0"/>
    <pivotField showAll="0"/>
  </pivotFields>
  <rowFields count="2">
    <field x="9"/>
    <field x="10"/>
  </rowFields>
  <rowItems count="7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 Total Revenue" fld="13" baseField="10" baseItem="0" numFmtId="4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Weekday Name">
  <location ref="A10:B18" firstHeaderRow="1" firstDataRow="1" firstDataCol="1"/>
  <pivotFields count="16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3"/>
        <item x="4"/>
        <item x="5"/>
        <item x="6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4" showAll="0"/>
    <pivotField dataField="1" numFmtId="44" showAll="0"/>
    <pivotField showAll="0"/>
  </pivotFields>
  <rowFields count="1">
    <field x="11"/>
  </rowFields>
  <rowItems count="8">
    <i>
      <x v="6"/>
    </i>
    <i>
      <x/>
    </i>
    <i>
      <x v="1"/>
    </i>
    <i>
      <x v="5"/>
    </i>
    <i>
      <x v="2"/>
    </i>
    <i>
      <x v="3"/>
    </i>
    <i>
      <x v="4"/>
    </i>
    <i t="grand">
      <x/>
    </i>
  </rowItems>
  <colItems count="1">
    <i/>
  </colItems>
  <dataFields count="1">
    <dataField name=" Profit" fld="14" baseField="11" baseItem="0" numFmtId="4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5F430-3297-4F09-89C8-2F4D252A694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74" firstHeaderRow="0" firstDataRow="1" firstDataCol="2"/>
  <pivotFields count="16"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9"/>
    <field x="10"/>
  </rowFields>
  <rowItems count="7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evenue" fld="13" baseField="0" baseItem="0" numFmtId="44"/>
    <dataField name="Sum of Profit" fld="1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harma_Sales_Data" displayName="Pharma_Sales_Data" ref="A1:P2107" totalsRowShown="0">
  <autoFilter ref="A1:P2107" xr:uid="{00000000-0009-0000-0100-000001000000}"/>
  <tableColumns count="16">
    <tableColumn id="1" xr3:uid="{00000000-0010-0000-0000-000001000000}" name="Date" dataDxfId="2"/>
    <tableColumn id="2" xr3:uid="{00000000-0010-0000-0000-000002000000}" name="M01AB"/>
    <tableColumn id="3" xr3:uid="{00000000-0010-0000-0000-000003000000}" name="M01AE"/>
    <tableColumn id="4" xr3:uid="{00000000-0010-0000-0000-000004000000}" name="N02BA"/>
    <tableColumn id="5" xr3:uid="{00000000-0010-0000-0000-000005000000}" name="N02BE"/>
    <tableColumn id="6" xr3:uid="{00000000-0010-0000-0000-000006000000}" name="N05B"/>
    <tableColumn id="7" xr3:uid="{00000000-0010-0000-0000-000007000000}" name="N05C"/>
    <tableColumn id="8" xr3:uid="{00000000-0010-0000-0000-000008000000}" name="R03"/>
    <tableColumn id="9" xr3:uid="{00000000-0010-0000-0000-000009000000}" name="R06"/>
    <tableColumn id="10" xr3:uid="{00000000-0010-0000-0000-00000A000000}" name="Year"/>
    <tableColumn id="11" xr3:uid="{00000000-0010-0000-0000-00000B000000}" name="Month"/>
    <tableColumn id="12" xr3:uid="{00000000-0010-0000-0000-00000C000000}" name="Weekday Name"/>
    <tableColumn id="13" xr3:uid="{00000000-0010-0000-0000-00000D000000}" name="Total Drug Sales" dataDxfId="1">
      <calculatedColumnFormula>SUM(Pharma_Sales_Data[[#This Row],[M01AB]:[R06]])</calculatedColumnFormula>
    </tableColumn>
    <tableColumn id="14" xr3:uid="{00000000-0010-0000-0000-00000E000000}" name="Total Revenue" dataCellStyle="Currency">
      <calculatedColumnFormula>Pharma_Sales_Data[[#This Row],[Total Drug Sales]]*150</calculatedColumnFormula>
    </tableColumn>
    <tableColumn id="15" xr3:uid="{00000000-0010-0000-0000-00000F000000}" name="Profit" dataCellStyle="Currency">
      <calculatedColumnFormula>Pharma_Sales_Data[[#This Row],[Total Revenue]]*0.3</calculatedColumnFormula>
    </tableColumn>
    <tableColumn id="16" xr3:uid="{00000000-0010-0000-0000-000010000000}" name="Market Segment" dataDxfId="0">
      <calculatedColumnFormula>IF(Pharma_Sales_Data[[#This Row],[Total Revenue]]&gt;20000,"High Value", IF(Pharma_Sales_Data[[#This Row],[Total Revenue]]&gt;=10000,"Medium Value","Low Value"))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98"/>
  <sheetViews>
    <sheetView workbookViewId="0">
      <selection activeCell="A5" sqref="A5"/>
    </sheetView>
  </sheetViews>
  <sheetFormatPr defaultRowHeight="14.5" x14ac:dyDescent="0.35"/>
  <cols>
    <col min="1" max="1" width="16.6328125" customWidth="1"/>
    <col min="2" max="2" width="13.26953125" bestFit="1" customWidth="1"/>
  </cols>
  <sheetData>
    <row r="3" spans="1:2" x14ac:dyDescent="0.35">
      <c r="A3" s="3" t="s">
        <v>22</v>
      </c>
      <c r="B3" t="s">
        <v>27</v>
      </c>
    </row>
    <row r="4" spans="1:2" x14ac:dyDescent="0.35">
      <c r="A4" s="4" t="s">
        <v>24</v>
      </c>
      <c r="B4" s="5">
        <v>10279104.462501008</v>
      </c>
    </row>
    <row r="5" spans="1:2" x14ac:dyDescent="0.35">
      <c r="A5" s="4" t="s">
        <v>25</v>
      </c>
      <c r="B5" s="5">
        <v>8654938.6906221136</v>
      </c>
    </row>
    <row r="6" spans="1:2" x14ac:dyDescent="0.35">
      <c r="A6" s="4" t="s">
        <v>23</v>
      </c>
      <c r="B6" s="5">
        <v>205282.39999950002</v>
      </c>
    </row>
    <row r="7" spans="1:2" x14ac:dyDescent="0.35">
      <c r="A7" s="4" t="s">
        <v>26</v>
      </c>
      <c r="B7" s="5">
        <v>19139325.553122621</v>
      </c>
    </row>
    <row r="10" spans="1:2" x14ac:dyDescent="0.35">
      <c r="A10" s="3" t="s">
        <v>10</v>
      </c>
      <c r="B10" t="s">
        <v>28</v>
      </c>
    </row>
    <row r="11" spans="1:2" x14ac:dyDescent="0.35">
      <c r="A11" s="4" t="s">
        <v>13</v>
      </c>
      <c r="B11" s="5">
        <v>889541.74874983553</v>
      </c>
    </row>
    <row r="12" spans="1:2" x14ac:dyDescent="0.35">
      <c r="A12" s="4" t="s">
        <v>14</v>
      </c>
      <c r="B12" s="5">
        <v>828064.67625053984</v>
      </c>
    </row>
    <row r="13" spans="1:2" x14ac:dyDescent="0.35">
      <c r="A13" s="4" t="s">
        <v>15</v>
      </c>
      <c r="B13" s="5">
        <v>820926.74999956461</v>
      </c>
    </row>
    <row r="14" spans="1:2" x14ac:dyDescent="0.35">
      <c r="A14" s="4" t="s">
        <v>12</v>
      </c>
      <c r="B14" s="5">
        <v>816052.12124967028</v>
      </c>
    </row>
    <row r="15" spans="1:2" x14ac:dyDescent="0.35">
      <c r="A15" s="4" t="s">
        <v>16</v>
      </c>
      <c r="B15" s="5">
        <v>812936.11499945982</v>
      </c>
    </row>
    <row r="16" spans="1:2" x14ac:dyDescent="0.35">
      <c r="A16" s="4" t="s">
        <v>17</v>
      </c>
      <c r="B16" s="5">
        <v>799718.7375000451</v>
      </c>
    </row>
    <row r="17" spans="1:2" x14ac:dyDescent="0.35">
      <c r="A17" s="4" t="s">
        <v>11</v>
      </c>
      <c r="B17" s="5">
        <v>774557.51718766487</v>
      </c>
    </row>
    <row r="18" spans="1:2" x14ac:dyDescent="0.35">
      <c r="A18" s="4" t="s">
        <v>26</v>
      </c>
      <c r="B18" s="5">
        <v>5741797.6659367792</v>
      </c>
    </row>
    <row r="21" spans="1:2" x14ac:dyDescent="0.35">
      <c r="A21" s="3" t="s">
        <v>29</v>
      </c>
      <c r="B21" t="s">
        <v>27</v>
      </c>
    </row>
    <row r="22" spans="1:2" x14ac:dyDescent="0.35">
      <c r="A22" s="4">
        <v>2014</v>
      </c>
      <c r="B22" s="5">
        <v>3035750.6531249997</v>
      </c>
    </row>
    <row r="23" spans="1:2" x14ac:dyDescent="0.35">
      <c r="A23" s="6">
        <v>1</v>
      </c>
      <c r="B23" s="5">
        <v>270166.5</v>
      </c>
    </row>
    <row r="24" spans="1:2" x14ac:dyDescent="0.35">
      <c r="A24" s="6">
        <v>2</v>
      </c>
      <c r="B24" s="5">
        <v>296170.5</v>
      </c>
    </row>
    <row r="25" spans="1:2" x14ac:dyDescent="0.35">
      <c r="A25" s="6">
        <v>3</v>
      </c>
      <c r="B25" s="5">
        <v>241008</v>
      </c>
    </row>
    <row r="26" spans="1:2" x14ac:dyDescent="0.35">
      <c r="A26" s="6">
        <v>4</v>
      </c>
      <c r="B26" s="5">
        <v>213588.75</v>
      </c>
    </row>
    <row r="27" spans="1:2" x14ac:dyDescent="0.35">
      <c r="A27" s="6">
        <v>5</v>
      </c>
      <c r="B27" s="5">
        <v>225945.45</v>
      </c>
    </row>
    <row r="28" spans="1:2" x14ac:dyDescent="0.35">
      <c r="A28" s="6">
        <v>6</v>
      </c>
      <c r="B28" s="5">
        <v>208530.75</v>
      </c>
    </row>
    <row r="29" spans="1:2" x14ac:dyDescent="0.35">
      <c r="A29" s="6">
        <v>7</v>
      </c>
      <c r="B29" s="5">
        <v>199855.5</v>
      </c>
    </row>
    <row r="30" spans="1:2" x14ac:dyDescent="0.35">
      <c r="A30" s="6">
        <v>8</v>
      </c>
      <c r="B30" s="5">
        <v>217878</v>
      </c>
    </row>
    <row r="31" spans="1:2" x14ac:dyDescent="0.35">
      <c r="A31" s="6">
        <v>9</v>
      </c>
      <c r="B31" s="5">
        <v>270689.09999999998</v>
      </c>
    </row>
    <row r="32" spans="1:2" x14ac:dyDescent="0.35">
      <c r="A32" s="6">
        <v>10</v>
      </c>
      <c r="B32" s="5">
        <v>312299.35312500002</v>
      </c>
    </row>
    <row r="33" spans="1:2" x14ac:dyDescent="0.35">
      <c r="A33" s="6">
        <v>11</v>
      </c>
      <c r="B33" s="5">
        <v>265596</v>
      </c>
    </row>
    <row r="34" spans="1:2" x14ac:dyDescent="0.35">
      <c r="A34" s="6">
        <v>12</v>
      </c>
      <c r="B34" s="5">
        <v>314022.75</v>
      </c>
    </row>
    <row r="35" spans="1:2" x14ac:dyDescent="0.35">
      <c r="A35" s="4">
        <v>2015</v>
      </c>
      <c r="B35" s="5">
        <v>3412853.6999999997</v>
      </c>
    </row>
    <row r="36" spans="1:2" x14ac:dyDescent="0.35">
      <c r="A36" s="6">
        <v>1</v>
      </c>
      <c r="B36" s="5">
        <v>323662.35000000003</v>
      </c>
    </row>
    <row r="37" spans="1:2" x14ac:dyDescent="0.35">
      <c r="A37" s="6">
        <v>2</v>
      </c>
      <c r="B37" s="5">
        <v>274729.8</v>
      </c>
    </row>
    <row r="38" spans="1:2" x14ac:dyDescent="0.35">
      <c r="A38" s="6">
        <v>3</v>
      </c>
      <c r="B38" s="5">
        <v>292361.39999999997</v>
      </c>
    </row>
    <row r="39" spans="1:2" x14ac:dyDescent="0.35">
      <c r="A39" s="6">
        <v>4</v>
      </c>
      <c r="B39" s="5">
        <v>258582.75</v>
      </c>
    </row>
    <row r="40" spans="1:2" x14ac:dyDescent="0.35">
      <c r="A40" s="6">
        <v>5</v>
      </c>
      <c r="B40" s="5">
        <v>246686.55000000002</v>
      </c>
    </row>
    <row r="41" spans="1:2" x14ac:dyDescent="0.35">
      <c r="A41" s="6">
        <v>6</v>
      </c>
      <c r="B41" s="5">
        <v>251134.94999999998</v>
      </c>
    </row>
    <row r="42" spans="1:2" x14ac:dyDescent="0.35">
      <c r="A42" s="6">
        <v>7</v>
      </c>
      <c r="B42" s="5">
        <v>228457.2</v>
      </c>
    </row>
    <row r="43" spans="1:2" x14ac:dyDescent="0.35">
      <c r="A43" s="6">
        <v>8</v>
      </c>
      <c r="B43" s="5">
        <v>248939.55</v>
      </c>
    </row>
    <row r="44" spans="1:2" x14ac:dyDescent="0.35">
      <c r="A44" s="6">
        <v>9</v>
      </c>
      <c r="B44" s="5">
        <v>251905.05000000002</v>
      </c>
    </row>
    <row r="45" spans="1:2" x14ac:dyDescent="0.35">
      <c r="A45" s="6">
        <v>10</v>
      </c>
      <c r="B45" s="5">
        <v>379436.39999999997</v>
      </c>
    </row>
    <row r="46" spans="1:2" x14ac:dyDescent="0.35">
      <c r="A46" s="6">
        <v>11</v>
      </c>
      <c r="B46" s="5">
        <v>316033.2</v>
      </c>
    </row>
    <row r="47" spans="1:2" x14ac:dyDescent="0.35">
      <c r="A47" s="6">
        <v>12</v>
      </c>
      <c r="B47" s="5">
        <v>340924.49999999994</v>
      </c>
    </row>
    <row r="48" spans="1:2" x14ac:dyDescent="0.35">
      <c r="A48" s="4">
        <v>2016</v>
      </c>
      <c r="B48" s="5">
        <v>3785238.90000105</v>
      </c>
    </row>
    <row r="49" spans="1:2" x14ac:dyDescent="0.35">
      <c r="A49" s="6">
        <v>1</v>
      </c>
      <c r="B49" s="5">
        <v>367706.4</v>
      </c>
    </row>
    <row r="50" spans="1:2" x14ac:dyDescent="0.35">
      <c r="A50" s="6">
        <v>2</v>
      </c>
      <c r="B50" s="5">
        <v>334860</v>
      </c>
    </row>
    <row r="51" spans="1:2" x14ac:dyDescent="0.35">
      <c r="A51" s="6">
        <v>3</v>
      </c>
      <c r="B51" s="5">
        <v>335275.34999999998</v>
      </c>
    </row>
    <row r="52" spans="1:2" x14ac:dyDescent="0.35">
      <c r="A52" s="6">
        <v>4</v>
      </c>
      <c r="B52" s="5">
        <v>322135.95</v>
      </c>
    </row>
    <row r="53" spans="1:2" x14ac:dyDescent="0.35">
      <c r="A53" s="6">
        <v>5</v>
      </c>
      <c r="B53" s="5">
        <v>293553.15000000002</v>
      </c>
    </row>
    <row r="54" spans="1:2" x14ac:dyDescent="0.35">
      <c r="A54" s="6">
        <v>6</v>
      </c>
      <c r="B54" s="5">
        <v>258709.65</v>
      </c>
    </row>
    <row r="55" spans="1:2" x14ac:dyDescent="0.35">
      <c r="A55" s="6">
        <v>7</v>
      </c>
      <c r="B55" s="5">
        <v>239945.89999994999</v>
      </c>
    </row>
    <row r="56" spans="1:2" x14ac:dyDescent="0.35">
      <c r="A56" s="6">
        <v>8</v>
      </c>
      <c r="B56" s="5">
        <v>245008.25000099998</v>
      </c>
    </row>
    <row r="57" spans="1:2" x14ac:dyDescent="0.35">
      <c r="A57" s="6">
        <v>9</v>
      </c>
      <c r="B57" s="5">
        <v>307481.55000000005</v>
      </c>
    </row>
    <row r="58" spans="1:2" x14ac:dyDescent="0.35">
      <c r="A58" s="6">
        <v>10</v>
      </c>
      <c r="B58" s="5">
        <v>398308.65</v>
      </c>
    </row>
    <row r="59" spans="1:2" x14ac:dyDescent="0.35">
      <c r="A59" s="6">
        <v>11</v>
      </c>
      <c r="B59" s="5">
        <v>291389.90000055003</v>
      </c>
    </row>
    <row r="60" spans="1:2" x14ac:dyDescent="0.35">
      <c r="A60" s="6">
        <v>12</v>
      </c>
      <c r="B60" s="5">
        <v>390864.14999954996</v>
      </c>
    </row>
    <row r="61" spans="1:2" x14ac:dyDescent="0.35">
      <c r="A61" s="4">
        <v>2017</v>
      </c>
      <c r="B61" s="5">
        <v>2909904.8499960001</v>
      </c>
    </row>
    <row r="62" spans="1:2" x14ac:dyDescent="0.35">
      <c r="A62" s="6">
        <v>1</v>
      </c>
      <c r="B62" s="5">
        <v>404939.56249784998</v>
      </c>
    </row>
    <row r="63" spans="1:2" x14ac:dyDescent="0.35">
      <c r="A63" s="6">
        <v>2</v>
      </c>
      <c r="B63" s="5">
        <v>217120.73749815</v>
      </c>
    </row>
    <row r="64" spans="1:2" x14ac:dyDescent="0.35">
      <c r="A64" s="6">
        <v>3</v>
      </c>
      <c r="B64" s="5">
        <v>206528.25000000003</v>
      </c>
    </row>
    <row r="65" spans="1:2" x14ac:dyDescent="0.35">
      <c r="A65" s="6">
        <v>4</v>
      </c>
      <c r="B65" s="5">
        <v>201270</v>
      </c>
    </row>
    <row r="66" spans="1:2" x14ac:dyDescent="0.35">
      <c r="A66" s="6">
        <v>5</v>
      </c>
      <c r="B66" s="5">
        <v>205422.75</v>
      </c>
    </row>
    <row r="67" spans="1:2" x14ac:dyDescent="0.35">
      <c r="A67" s="6">
        <v>6</v>
      </c>
      <c r="B67" s="5">
        <v>196040.4</v>
      </c>
    </row>
    <row r="68" spans="1:2" x14ac:dyDescent="0.35">
      <c r="A68" s="6">
        <v>7</v>
      </c>
      <c r="B68" s="5">
        <v>187672.65000000002</v>
      </c>
    </row>
    <row r="69" spans="1:2" x14ac:dyDescent="0.35">
      <c r="A69" s="6">
        <v>8</v>
      </c>
      <c r="B69" s="5">
        <v>195363</v>
      </c>
    </row>
    <row r="70" spans="1:2" x14ac:dyDescent="0.35">
      <c r="A70" s="6">
        <v>9</v>
      </c>
      <c r="B70" s="5">
        <v>249126.15</v>
      </c>
    </row>
    <row r="71" spans="1:2" x14ac:dyDescent="0.35">
      <c r="A71" s="6">
        <v>10</v>
      </c>
      <c r="B71" s="5">
        <v>307519.05000000005</v>
      </c>
    </row>
    <row r="72" spans="1:2" x14ac:dyDescent="0.35">
      <c r="A72" s="6">
        <v>11</v>
      </c>
      <c r="B72" s="5">
        <v>255836.84999999998</v>
      </c>
    </row>
    <row r="73" spans="1:2" x14ac:dyDescent="0.35">
      <c r="A73" s="6">
        <v>12</v>
      </c>
      <c r="B73" s="5">
        <v>283065.45</v>
      </c>
    </row>
    <row r="74" spans="1:2" x14ac:dyDescent="0.35">
      <c r="A74" s="4">
        <v>2018</v>
      </c>
      <c r="B74" s="5">
        <v>3432684.15</v>
      </c>
    </row>
    <row r="75" spans="1:2" x14ac:dyDescent="0.35">
      <c r="A75" s="6">
        <v>1</v>
      </c>
      <c r="B75" s="5">
        <v>297855.15000000002</v>
      </c>
    </row>
    <row r="76" spans="1:2" x14ac:dyDescent="0.35">
      <c r="A76" s="6">
        <v>2</v>
      </c>
      <c r="B76" s="5">
        <v>326174.69999999995</v>
      </c>
    </row>
    <row r="77" spans="1:2" x14ac:dyDescent="0.35">
      <c r="A77" s="6">
        <v>3</v>
      </c>
      <c r="B77" s="5">
        <v>323527.04999999993</v>
      </c>
    </row>
    <row r="78" spans="1:2" x14ac:dyDescent="0.35">
      <c r="A78" s="6">
        <v>4</v>
      </c>
      <c r="B78" s="5">
        <v>284209.5</v>
      </c>
    </row>
    <row r="79" spans="1:2" x14ac:dyDescent="0.35">
      <c r="A79" s="6">
        <v>5</v>
      </c>
      <c r="B79" s="5">
        <v>247519.5</v>
      </c>
    </row>
    <row r="80" spans="1:2" x14ac:dyDescent="0.35">
      <c r="A80" s="6">
        <v>6</v>
      </c>
      <c r="B80" s="5">
        <v>212152.35</v>
      </c>
    </row>
    <row r="81" spans="1:2" x14ac:dyDescent="0.35">
      <c r="A81" s="6">
        <v>7</v>
      </c>
      <c r="B81" s="5">
        <v>234521.84999999998</v>
      </c>
    </row>
    <row r="82" spans="1:2" x14ac:dyDescent="0.35">
      <c r="A82" s="6">
        <v>8</v>
      </c>
      <c r="B82" s="5">
        <v>241786.05</v>
      </c>
    </row>
    <row r="83" spans="1:2" x14ac:dyDescent="0.35">
      <c r="A83" s="6">
        <v>9</v>
      </c>
      <c r="B83" s="5">
        <v>297206.09999999998</v>
      </c>
    </row>
    <row r="84" spans="1:2" x14ac:dyDescent="0.35">
      <c r="A84" s="6">
        <v>10</v>
      </c>
      <c r="B84" s="5">
        <v>329300.25</v>
      </c>
    </row>
    <row r="85" spans="1:2" x14ac:dyDescent="0.35">
      <c r="A85" s="6">
        <v>11</v>
      </c>
      <c r="B85" s="5">
        <v>301301.55000000005</v>
      </c>
    </row>
    <row r="86" spans="1:2" x14ac:dyDescent="0.35">
      <c r="A86" s="6">
        <v>12</v>
      </c>
      <c r="B86" s="5">
        <v>337130.10000000003</v>
      </c>
    </row>
    <row r="87" spans="1:2" x14ac:dyDescent="0.35">
      <c r="A87" s="4">
        <v>2019</v>
      </c>
      <c r="B87" s="5">
        <v>2562893.3000005502</v>
      </c>
    </row>
    <row r="88" spans="1:2" x14ac:dyDescent="0.35">
      <c r="A88" s="6">
        <v>1</v>
      </c>
      <c r="B88" s="5">
        <v>431273.7</v>
      </c>
    </row>
    <row r="89" spans="1:2" x14ac:dyDescent="0.35">
      <c r="A89" s="6">
        <v>2</v>
      </c>
      <c r="B89" s="5">
        <v>291629.55</v>
      </c>
    </row>
    <row r="90" spans="1:2" x14ac:dyDescent="0.35">
      <c r="A90" s="6">
        <v>3</v>
      </c>
      <c r="B90" s="5">
        <v>305840.7</v>
      </c>
    </row>
    <row r="91" spans="1:2" x14ac:dyDescent="0.35">
      <c r="A91" s="6">
        <v>4</v>
      </c>
      <c r="B91" s="5">
        <v>257520.74999999994</v>
      </c>
    </row>
    <row r="92" spans="1:2" x14ac:dyDescent="0.35">
      <c r="A92" s="6">
        <v>5</v>
      </c>
      <c r="B92" s="5">
        <v>269767.7500005</v>
      </c>
    </row>
    <row r="93" spans="1:2" x14ac:dyDescent="0.35">
      <c r="A93" s="6">
        <v>6</v>
      </c>
      <c r="B93" s="5">
        <v>222361.05000000002</v>
      </c>
    </row>
    <row r="94" spans="1:2" x14ac:dyDescent="0.35">
      <c r="A94" s="6">
        <v>7</v>
      </c>
      <c r="B94" s="5">
        <v>223322.40000000002</v>
      </c>
    </row>
    <row r="95" spans="1:2" x14ac:dyDescent="0.35">
      <c r="A95" s="6">
        <v>8</v>
      </c>
      <c r="B95" s="5">
        <v>206666.84999999995</v>
      </c>
    </row>
    <row r="96" spans="1:2" x14ac:dyDescent="0.35">
      <c r="A96" s="6">
        <v>9</v>
      </c>
      <c r="B96" s="5">
        <v>273720.55000004999</v>
      </c>
    </row>
    <row r="97" spans="1:2" x14ac:dyDescent="0.35">
      <c r="A97" s="6">
        <v>10</v>
      </c>
      <c r="B97" s="5">
        <v>80790</v>
      </c>
    </row>
    <row r="98" spans="1:2" x14ac:dyDescent="0.35">
      <c r="A98" s="4" t="s">
        <v>26</v>
      </c>
      <c r="B98" s="5">
        <v>19139325.553122602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08824-2BDC-4B7B-9670-7640E61B66BC}">
  <dimension ref="A3:D74"/>
  <sheetViews>
    <sheetView tabSelected="1" workbookViewId="0">
      <selection activeCell="B4" sqref="A3:D74"/>
    </sheetView>
  </sheetViews>
  <sheetFormatPr defaultRowHeight="14.5" x14ac:dyDescent="0.35"/>
  <cols>
    <col min="1" max="1" width="12.36328125" bestFit="1" customWidth="1"/>
    <col min="2" max="2" width="8.81640625" bestFit="1" customWidth="1"/>
    <col min="3" max="3" width="19.1796875" bestFit="1" customWidth="1"/>
    <col min="4" max="4" width="13.81640625" bestFit="1" customWidth="1"/>
  </cols>
  <sheetData>
    <row r="3" spans="1:4" x14ac:dyDescent="0.35">
      <c r="A3" s="3" t="s">
        <v>8</v>
      </c>
      <c r="B3" s="3" t="s">
        <v>9</v>
      </c>
      <c r="C3" t="s">
        <v>30</v>
      </c>
      <c r="D3" t="s">
        <v>31</v>
      </c>
    </row>
    <row r="4" spans="1:4" x14ac:dyDescent="0.35">
      <c r="A4">
        <v>2014</v>
      </c>
      <c r="B4">
        <v>1</v>
      </c>
      <c r="C4" s="7">
        <v>270166.5</v>
      </c>
      <c r="D4" s="7">
        <v>81049.95</v>
      </c>
    </row>
    <row r="5" spans="1:4" x14ac:dyDescent="0.35">
      <c r="A5">
        <v>2014</v>
      </c>
      <c r="B5">
        <v>2</v>
      </c>
      <c r="C5" s="7">
        <v>296170.5</v>
      </c>
      <c r="D5" s="7">
        <v>88851.150000000009</v>
      </c>
    </row>
    <row r="6" spans="1:4" x14ac:dyDescent="0.35">
      <c r="A6">
        <v>2014</v>
      </c>
      <c r="B6">
        <v>3</v>
      </c>
      <c r="C6" s="7">
        <v>241008</v>
      </c>
      <c r="D6" s="7">
        <v>72302.400000000023</v>
      </c>
    </row>
    <row r="7" spans="1:4" x14ac:dyDescent="0.35">
      <c r="A7">
        <v>2014</v>
      </c>
      <c r="B7">
        <v>4</v>
      </c>
      <c r="C7" s="7">
        <v>213588.75</v>
      </c>
      <c r="D7" s="7">
        <v>64076.625</v>
      </c>
    </row>
    <row r="8" spans="1:4" x14ac:dyDescent="0.35">
      <c r="A8">
        <v>2014</v>
      </c>
      <c r="B8">
        <v>5</v>
      </c>
      <c r="C8" s="7">
        <v>225945.45</v>
      </c>
      <c r="D8" s="7">
        <v>67783.635000000009</v>
      </c>
    </row>
    <row r="9" spans="1:4" x14ac:dyDescent="0.35">
      <c r="A9">
        <v>2014</v>
      </c>
      <c r="B9">
        <v>6</v>
      </c>
      <c r="C9" s="7">
        <v>208530.75</v>
      </c>
      <c r="D9" s="7">
        <v>62559.225000000013</v>
      </c>
    </row>
    <row r="10" spans="1:4" x14ac:dyDescent="0.35">
      <c r="A10">
        <v>2014</v>
      </c>
      <c r="B10">
        <v>7</v>
      </c>
      <c r="C10" s="7">
        <v>199855.5</v>
      </c>
      <c r="D10" s="7">
        <v>59956.650000000023</v>
      </c>
    </row>
    <row r="11" spans="1:4" x14ac:dyDescent="0.35">
      <c r="A11">
        <v>2014</v>
      </c>
      <c r="B11">
        <v>8</v>
      </c>
      <c r="C11" s="7">
        <v>217878</v>
      </c>
      <c r="D11" s="7">
        <v>65363.399999999994</v>
      </c>
    </row>
    <row r="12" spans="1:4" x14ac:dyDescent="0.35">
      <c r="A12">
        <v>2014</v>
      </c>
      <c r="B12">
        <v>9</v>
      </c>
      <c r="C12" s="7">
        <v>270689.09999999998</v>
      </c>
      <c r="D12" s="7">
        <v>81206.730000000025</v>
      </c>
    </row>
    <row r="13" spans="1:4" x14ac:dyDescent="0.35">
      <c r="A13">
        <v>2014</v>
      </c>
      <c r="B13">
        <v>10</v>
      </c>
      <c r="C13" s="7">
        <v>312299.35312500002</v>
      </c>
      <c r="D13" s="7">
        <v>93689.805937500001</v>
      </c>
    </row>
    <row r="14" spans="1:4" x14ac:dyDescent="0.35">
      <c r="A14">
        <v>2014</v>
      </c>
      <c r="B14">
        <v>11</v>
      </c>
      <c r="C14" s="7">
        <v>265596</v>
      </c>
      <c r="D14" s="7">
        <v>79678.799999999974</v>
      </c>
    </row>
    <row r="15" spans="1:4" x14ac:dyDescent="0.35">
      <c r="A15">
        <v>2014</v>
      </c>
      <c r="B15">
        <v>12</v>
      </c>
      <c r="C15" s="7">
        <v>314022.75</v>
      </c>
      <c r="D15" s="7">
        <v>94206.825000000026</v>
      </c>
    </row>
    <row r="16" spans="1:4" x14ac:dyDescent="0.35">
      <c r="A16">
        <v>2015</v>
      </c>
      <c r="B16">
        <v>1</v>
      </c>
      <c r="C16" s="7">
        <v>323662.35000000003</v>
      </c>
      <c r="D16" s="7">
        <v>97098.705000000016</v>
      </c>
    </row>
    <row r="17" spans="1:4" x14ac:dyDescent="0.35">
      <c r="A17">
        <v>2015</v>
      </c>
      <c r="B17">
        <v>2</v>
      </c>
      <c r="C17" s="7">
        <v>274729.8</v>
      </c>
      <c r="D17" s="7">
        <v>82418.94</v>
      </c>
    </row>
    <row r="18" spans="1:4" x14ac:dyDescent="0.35">
      <c r="A18">
        <v>2015</v>
      </c>
      <c r="B18">
        <v>3</v>
      </c>
      <c r="C18" s="7">
        <v>292361.39999999997</v>
      </c>
      <c r="D18" s="7">
        <v>87708.42</v>
      </c>
    </row>
    <row r="19" spans="1:4" x14ac:dyDescent="0.35">
      <c r="A19">
        <v>2015</v>
      </c>
      <c r="B19">
        <v>4</v>
      </c>
      <c r="C19" s="7">
        <v>258582.75</v>
      </c>
      <c r="D19" s="7">
        <v>77574.825000000012</v>
      </c>
    </row>
    <row r="20" spans="1:4" x14ac:dyDescent="0.35">
      <c r="A20">
        <v>2015</v>
      </c>
      <c r="B20">
        <v>5</v>
      </c>
      <c r="C20" s="7">
        <v>246686.55000000002</v>
      </c>
      <c r="D20" s="7">
        <v>74005.964999999997</v>
      </c>
    </row>
    <row r="21" spans="1:4" x14ac:dyDescent="0.35">
      <c r="A21">
        <v>2015</v>
      </c>
      <c r="B21">
        <v>6</v>
      </c>
      <c r="C21" s="7">
        <v>251134.94999999998</v>
      </c>
      <c r="D21" s="7">
        <v>75340.485000000001</v>
      </c>
    </row>
    <row r="22" spans="1:4" x14ac:dyDescent="0.35">
      <c r="A22">
        <v>2015</v>
      </c>
      <c r="B22">
        <v>7</v>
      </c>
      <c r="C22" s="7">
        <v>228457.2</v>
      </c>
      <c r="D22" s="7">
        <v>68537.159999999989</v>
      </c>
    </row>
    <row r="23" spans="1:4" x14ac:dyDescent="0.35">
      <c r="A23">
        <v>2015</v>
      </c>
      <c r="B23">
        <v>8</v>
      </c>
      <c r="C23" s="7">
        <v>248939.55</v>
      </c>
      <c r="D23" s="7">
        <v>74681.865000000005</v>
      </c>
    </row>
    <row r="24" spans="1:4" x14ac:dyDescent="0.35">
      <c r="A24">
        <v>2015</v>
      </c>
      <c r="B24">
        <v>9</v>
      </c>
      <c r="C24" s="7">
        <v>251905.05000000002</v>
      </c>
      <c r="D24" s="7">
        <v>75571.514999999999</v>
      </c>
    </row>
    <row r="25" spans="1:4" x14ac:dyDescent="0.35">
      <c r="A25">
        <v>2015</v>
      </c>
      <c r="B25">
        <v>10</v>
      </c>
      <c r="C25" s="7">
        <v>379436.39999999997</v>
      </c>
      <c r="D25" s="7">
        <v>113830.92000000003</v>
      </c>
    </row>
    <row r="26" spans="1:4" x14ac:dyDescent="0.35">
      <c r="A26">
        <v>2015</v>
      </c>
      <c r="B26">
        <v>11</v>
      </c>
      <c r="C26" s="7">
        <v>316033.2</v>
      </c>
      <c r="D26" s="7">
        <v>94809.960000000036</v>
      </c>
    </row>
    <row r="27" spans="1:4" x14ac:dyDescent="0.35">
      <c r="A27">
        <v>2015</v>
      </c>
      <c r="B27">
        <v>12</v>
      </c>
      <c r="C27" s="7">
        <v>340924.49999999994</v>
      </c>
      <c r="D27" s="7">
        <v>102277.35000000002</v>
      </c>
    </row>
    <row r="28" spans="1:4" x14ac:dyDescent="0.35">
      <c r="A28">
        <v>2016</v>
      </c>
      <c r="B28">
        <v>1</v>
      </c>
      <c r="C28" s="7">
        <v>367706.4</v>
      </c>
      <c r="D28" s="7">
        <v>110311.92000000001</v>
      </c>
    </row>
    <row r="29" spans="1:4" x14ac:dyDescent="0.35">
      <c r="A29">
        <v>2016</v>
      </c>
      <c r="B29">
        <v>2</v>
      </c>
      <c r="C29" s="7">
        <v>334860</v>
      </c>
      <c r="D29" s="7">
        <v>100458.00000000001</v>
      </c>
    </row>
    <row r="30" spans="1:4" x14ac:dyDescent="0.35">
      <c r="A30">
        <v>2016</v>
      </c>
      <c r="B30">
        <v>3</v>
      </c>
      <c r="C30" s="7">
        <v>335275.34999999998</v>
      </c>
      <c r="D30" s="7">
        <v>100582.605</v>
      </c>
    </row>
    <row r="31" spans="1:4" x14ac:dyDescent="0.35">
      <c r="A31">
        <v>2016</v>
      </c>
      <c r="B31">
        <v>4</v>
      </c>
      <c r="C31" s="7">
        <v>322135.95</v>
      </c>
      <c r="D31" s="7">
        <v>96640.785000000003</v>
      </c>
    </row>
    <row r="32" spans="1:4" x14ac:dyDescent="0.35">
      <c r="A32">
        <v>2016</v>
      </c>
      <c r="B32">
        <v>5</v>
      </c>
      <c r="C32" s="7">
        <v>293553.15000000002</v>
      </c>
      <c r="D32" s="7">
        <v>88065.944999999992</v>
      </c>
    </row>
    <row r="33" spans="1:4" x14ac:dyDescent="0.35">
      <c r="A33">
        <v>2016</v>
      </c>
      <c r="B33">
        <v>6</v>
      </c>
      <c r="C33" s="7">
        <v>258709.65</v>
      </c>
      <c r="D33" s="7">
        <v>77612.894999999975</v>
      </c>
    </row>
    <row r="34" spans="1:4" x14ac:dyDescent="0.35">
      <c r="A34">
        <v>2016</v>
      </c>
      <c r="B34">
        <v>7</v>
      </c>
      <c r="C34" s="7">
        <v>239945.89999994999</v>
      </c>
      <c r="D34" s="7">
        <v>71983.769999984986</v>
      </c>
    </row>
    <row r="35" spans="1:4" x14ac:dyDescent="0.35">
      <c r="A35">
        <v>2016</v>
      </c>
      <c r="B35">
        <v>8</v>
      </c>
      <c r="C35" s="7">
        <v>245008.25000099998</v>
      </c>
      <c r="D35" s="7">
        <v>73502.475000299979</v>
      </c>
    </row>
    <row r="36" spans="1:4" x14ac:dyDescent="0.35">
      <c r="A36">
        <v>2016</v>
      </c>
      <c r="B36">
        <v>9</v>
      </c>
      <c r="C36" s="7">
        <v>307481.55000000005</v>
      </c>
      <c r="D36" s="7">
        <v>92244.464999999997</v>
      </c>
    </row>
    <row r="37" spans="1:4" x14ac:dyDescent="0.35">
      <c r="A37">
        <v>2016</v>
      </c>
      <c r="B37">
        <v>10</v>
      </c>
      <c r="C37" s="7">
        <v>398308.65</v>
      </c>
      <c r="D37" s="7">
        <v>119492.59500000002</v>
      </c>
    </row>
    <row r="38" spans="1:4" x14ac:dyDescent="0.35">
      <c r="A38">
        <v>2016</v>
      </c>
      <c r="B38">
        <v>11</v>
      </c>
      <c r="C38" s="7">
        <v>291389.90000055003</v>
      </c>
      <c r="D38" s="7">
        <v>87416.970000164991</v>
      </c>
    </row>
    <row r="39" spans="1:4" x14ac:dyDescent="0.35">
      <c r="A39">
        <v>2016</v>
      </c>
      <c r="B39">
        <v>12</v>
      </c>
      <c r="C39" s="7">
        <v>390864.14999954996</v>
      </c>
      <c r="D39" s="7">
        <v>117259.24499986501</v>
      </c>
    </row>
    <row r="40" spans="1:4" x14ac:dyDescent="0.35">
      <c r="A40">
        <v>2017</v>
      </c>
      <c r="B40">
        <v>1</v>
      </c>
      <c r="C40" s="7">
        <v>404939.56249784998</v>
      </c>
      <c r="D40" s="7">
        <v>121481.868749355</v>
      </c>
    </row>
    <row r="41" spans="1:4" x14ac:dyDescent="0.35">
      <c r="A41">
        <v>2017</v>
      </c>
      <c r="B41">
        <v>2</v>
      </c>
      <c r="C41" s="7">
        <v>217120.73749815</v>
      </c>
      <c r="D41" s="7">
        <v>65136.221249445</v>
      </c>
    </row>
    <row r="42" spans="1:4" x14ac:dyDescent="0.35">
      <c r="A42">
        <v>2017</v>
      </c>
      <c r="B42">
        <v>3</v>
      </c>
      <c r="C42" s="7">
        <v>206528.25000000003</v>
      </c>
      <c r="D42" s="7">
        <v>61958.475000000006</v>
      </c>
    </row>
    <row r="43" spans="1:4" x14ac:dyDescent="0.35">
      <c r="A43">
        <v>2017</v>
      </c>
      <c r="B43">
        <v>4</v>
      </c>
      <c r="C43" s="7">
        <v>201270</v>
      </c>
      <c r="D43" s="7">
        <v>60381.000000000007</v>
      </c>
    </row>
    <row r="44" spans="1:4" x14ac:dyDescent="0.35">
      <c r="A44">
        <v>2017</v>
      </c>
      <c r="B44">
        <v>5</v>
      </c>
      <c r="C44" s="7">
        <v>205422.75</v>
      </c>
      <c r="D44" s="7">
        <v>61626.82499999999</v>
      </c>
    </row>
    <row r="45" spans="1:4" x14ac:dyDescent="0.35">
      <c r="A45">
        <v>2017</v>
      </c>
      <c r="B45">
        <v>6</v>
      </c>
      <c r="C45" s="7">
        <v>196040.4</v>
      </c>
      <c r="D45" s="7">
        <v>58812.12</v>
      </c>
    </row>
    <row r="46" spans="1:4" x14ac:dyDescent="0.35">
      <c r="A46">
        <v>2017</v>
      </c>
      <c r="B46">
        <v>7</v>
      </c>
      <c r="C46" s="7">
        <v>187672.65000000002</v>
      </c>
      <c r="D46" s="7">
        <v>56301.795000000006</v>
      </c>
    </row>
    <row r="47" spans="1:4" x14ac:dyDescent="0.35">
      <c r="A47">
        <v>2017</v>
      </c>
      <c r="B47">
        <v>8</v>
      </c>
      <c r="C47" s="7">
        <v>195363</v>
      </c>
      <c r="D47" s="7">
        <v>58608.9</v>
      </c>
    </row>
    <row r="48" spans="1:4" x14ac:dyDescent="0.35">
      <c r="A48">
        <v>2017</v>
      </c>
      <c r="B48">
        <v>9</v>
      </c>
      <c r="C48" s="7">
        <v>249126.15</v>
      </c>
      <c r="D48" s="7">
        <v>74737.845000000001</v>
      </c>
    </row>
    <row r="49" spans="1:4" x14ac:dyDescent="0.35">
      <c r="A49">
        <v>2017</v>
      </c>
      <c r="B49">
        <v>10</v>
      </c>
      <c r="C49" s="7">
        <v>307519.05000000005</v>
      </c>
      <c r="D49" s="7">
        <v>92255.714999999982</v>
      </c>
    </row>
    <row r="50" spans="1:4" x14ac:dyDescent="0.35">
      <c r="A50">
        <v>2017</v>
      </c>
      <c r="B50">
        <v>11</v>
      </c>
      <c r="C50" s="7">
        <v>255836.84999999998</v>
      </c>
      <c r="D50" s="7">
        <v>76751.054999999978</v>
      </c>
    </row>
    <row r="51" spans="1:4" x14ac:dyDescent="0.35">
      <c r="A51">
        <v>2017</v>
      </c>
      <c r="B51">
        <v>12</v>
      </c>
      <c r="C51" s="7">
        <v>283065.45</v>
      </c>
      <c r="D51" s="7">
        <v>84919.634999999995</v>
      </c>
    </row>
    <row r="52" spans="1:4" x14ac:dyDescent="0.35">
      <c r="A52">
        <v>2018</v>
      </c>
      <c r="B52">
        <v>1</v>
      </c>
      <c r="C52" s="7">
        <v>297855.15000000002</v>
      </c>
      <c r="D52" s="7">
        <v>89356.544999999998</v>
      </c>
    </row>
    <row r="53" spans="1:4" x14ac:dyDescent="0.35">
      <c r="A53">
        <v>2018</v>
      </c>
      <c r="B53">
        <v>2</v>
      </c>
      <c r="C53" s="7">
        <v>326174.69999999995</v>
      </c>
      <c r="D53" s="7">
        <v>97852.410000000033</v>
      </c>
    </row>
    <row r="54" spans="1:4" x14ac:dyDescent="0.35">
      <c r="A54">
        <v>2018</v>
      </c>
      <c r="B54">
        <v>3</v>
      </c>
      <c r="C54" s="7">
        <v>323527.04999999993</v>
      </c>
      <c r="D54" s="7">
        <v>97058.115000000005</v>
      </c>
    </row>
    <row r="55" spans="1:4" x14ac:dyDescent="0.35">
      <c r="A55">
        <v>2018</v>
      </c>
      <c r="B55">
        <v>4</v>
      </c>
      <c r="C55" s="7">
        <v>284209.5</v>
      </c>
      <c r="D55" s="7">
        <v>85262.849999999991</v>
      </c>
    </row>
    <row r="56" spans="1:4" x14ac:dyDescent="0.35">
      <c r="A56">
        <v>2018</v>
      </c>
      <c r="B56">
        <v>5</v>
      </c>
      <c r="C56" s="7">
        <v>247519.5</v>
      </c>
      <c r="D56" s="7">
        <v>74255.849999999991</v>
      </c>
    </row>
    <row r="57" spans="1:4" x14ac:dyDescent="0.35">
      <c r="A57">
        <v>2018</v>
      </c>
      <c r="B57">
        <v>6</v>
      </c>
      <c r="C57" s="7">
        <v>212152.35</v>
      </c>
      <c r="D57" s="7">
        <v>63645.704999999994</v>
      </c>
    </row>
    <row r="58" spans="1:4" x14ac:dyDescent="0.35">
      <c r="A58">
        <v>2018</v>
      </c>
      <c r="B58">
        <v>7</v>
      </c>
      <c r="C58" s="7">
        <v>234521.84999999998</v>
      </c>
      <c r="D58" s="7">
        <v>70356.555000000008</v>
      </c>
    </row>
    <row r="59" spans="1:4" x14ac:dyDescent="0.35">
      <c r="A59">
        <v>2018</v>
      </c>
      <c r="B59">
        <v>8</v>
      </c>
      <c r="C59" s="7">
        <v>241786.05</v>
      </c>
      <c r="D59" s="7">
        <v>72535.815000000017</v>
      </c>
    </row>
    <row r="60" spans="1:4" x14ac:dyDescent="0.35">
      <c r="A60">
        <v>2018</v>
      </c>
      <c r="B60">
        <v>9</v>
      </c>
      <c r="C60" s="7">
        <v>297206.09999999998</v>
      </c>
      <c r="D60" s="7">
        <v>89161.83</v>
      </c>
    </row>
    <row r="61" spans="1:4" x14ac:dyDescent="0.35">
      <c r="A61">
        <v>2018</v>
      </c>
      <c r="B61">
        <v>10</v>
      </c>
      <c r="C61" s="7">
        <v>329300.25</v>
      </c>
      <c r="D61" s="7">
        <v>98790.075000000012</v>
      </c>
    </row>
    <row r="62" spans="1:4" x14ac:dyDescent="0.35">
      <c r="A62">
        <v>2018</v>
      </c>
      <c r="B62">
        <v>11</v>
      </c>
      <c r="C62" s="7">
        <v>301301.55000000005</v>
      </c>
      <c r="D62" s="7">
        <v>90390.464999999982</v>
      </c>
    </row>
    <row r="63" spans="1:4" x14ac:dyDescent="0.35">
      <c r="A63">
        <v>2018</v>
      </c>
      <c r="B63">
        <v>12</v>
      </c>
      <c r="C63" s="7">
        <v>337130.10000000003</v>
      </c>
      <c r="D63" s="7">
        <v>101139.03</v>
      </c>
    </row>
    <row r="64" spans="1:4" x14ac:dyDescent="0.35">
      <c r="A64">
        <v>2019</v>
      </c>
      <c r="B64">
        <v>1</v>
      </c>
      <c r="C64" s="7">
        <v>431273.7</v>
      </c>
      <c r="D64" s="7">
        <v>129382.11</v>
      </c>
    </row>
    <row r="65" spans="1:4" x14ac:dyDescent="0.35">
      <c r="A65">
        <v>2019</v>
      </c>
      <c r="B65">
        <v>2</v>
      </c>
      <c r="C65" s="7">
        <v>291629.55</v>
      </c>
      <c r="D65" s="7">
        <v>87488.864999999991</v>
      </c>
    </row>
    <row r="66" spans="1:4" x14ac:dyDescent="0.35">
      <c r="A66">
        <v>2019</v>
      </c>
      <c r="B66">
        <v>3</v>
      </c>
      <c r="C66" s="7">
        <v>305840.7</v>
      </c>
      <c r="D66" s="7">
        <v>91752.21</v>
      </c>
    </row>
    <row r="67" spans="1:4" x14ac:dyDescent="0.35">
      <c r="A67">
        <v>2019</v>
      </c>
      <c r="B67">
        <v>4</v>
      </c>
      <c r="C67" s="7">
        <v>257520.74999999994</v>
      </c>
      <c r="D67" s="7">
        <v>77256.224999999991</v>
      </c>
    </row>
    <row r="68" spans="1:4" x14ac:dyDescent="0.35">
      <c r="A68">
        <v>2019</v>
      </c>
      <c r="B68">
        <v>5</v>
      </c>
      <c r="C68" s="7">
        <v>269767.7500005</v>
      </c>
      <c r="D68" s="7">
        <v>80930.325000150027</v>
      </c>
    </row>
    <row r="69" spans="1:4" x14ac:dyDescent="0.35">
      <c r="A69">
        <v>2019</v>
      </c>
      <c r="B69">
        <v>6</v>
      </c>
      <c r="C69" s="7">
        <v>222361.05000000002</v>
      </c>
      <c r="D69" s="7">
        <v>66708.315000000002</v>
      </c>
    </row>
    <row r="70" spans="1:4" x14ac:dyDescent="0.35">
      <c r="A70">
        <v>2019</v>
      </c>
      <c r="B70">
        <v>7</v>
      </c>
      <c r="C70" s="7">
        <v>223322.40000000002</v>
      </c>
      <c r="D70" s="7">
        <v>66996.719999999987</v>
      </c>
    </row>
    <row r="71" spans="1:4" x14ac:dyDescent="0.35">
      <c r="A71">
        <v>2019</v>
      </c>
      <c r="B71">
        <v>8</v>
      </c>
      <c r="C71" s="7">
        <v>206666.84999999995</v>
      </c>
      <c r="D71" s="7">
        <v>62000.055</v>
      </c>
    </row>
    <row r="72" spans="1:4" x14ac:dyDescent="0.35">
      <c r="A72">
        <v>2019</v>
      </c>
      <c r="B72">
        <v>9</v>
      </c>
      <c r="C72" s="7">
        <v>273720.55000004999</v>
      </c>
      <c r="D72" s="7">
        <v>82116.165000014997</v>
      </c>
    </row>
    <row r="73" spans="1:4" x14ac:dyDescent="0.35">
      <c r="A73">
        <v>2019</v>
      </c>
      <c r="B73">
        <v>10</v>
      </c>
      <c r="C73" s="7">
        <v>80790</v>
      </c>
      <c r="D73" s="7">
        <v>24237.000000000004</v>
      </c>
    </row>
    <row r="74" spans="1:4" x14ac:dyDescent="0.35">
      <c r="A74" t="s">
        <v>26</v>
      </c>
      <c r="C74" s="7">
        <v>19139325.553122602</v>
      </c>
      <c r="D74" s="7">
        <v>5741797.6659367802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07"/>
  <sheetViews>
    <sheetView topLeftCell="A2" workbookViewId="0">
      <selection activeCell="A2" sqref="A2"/>
    </sheetView>
  </sheetViews>
  <sheetFormatPr defaultRowHeight="14.5" x14ac:dyDescent="0.35"/>
  <cols>
    <col min="1" max="1" width="10.453125" style="1" bestFit="1" customWidth="1"/>
    <col min="2" max="9" width="11.81640625" bestFit="1" customWidth="1"/>
    <col min="10" max="10" width="6.81640625" bestFit="1" customWidth="1"/>
    <col min="11" max="11" width="8.7265625" bestFit="1" customWidth="1"/>
    <col min="12" max="12" width="16.26953125" bestFit="1" customWidth="1"/>
    <col min="13" max="13" width="16.54296875" bestFit="1" customWidth="1"/>
    <col min="14" max="14" width="15" style="2" bestFit="1" customWidth="1"/>
    <col min="15" max="15" width="11.81640625" style="2" bestFit="1" customWidth="1"/>
    <col min="16" max="16" width="17.08984375" bestFit="1" customWidth="1"/>
  </cols>
  <sheetData>
    <row r="1" spans="1:16" x14ac:dyDescent="0.35">
      <c r="A1" s="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19</v>
      </c>
      <c r="N1" s="2" t="s">
        <v>20</v>
      </c>
      <c r="O1" s="2" t="s">
        <v>21</v>
      </c>
      <c r="P1" t="s">
        <v>22</v>
      </c>
    </row>
    <row r="2" spans="1:16" x14ac:dyDescent="0.35">
      <c r="A2" s="1">
        <v>41641</v>
      </c>
      <c r="B2">
        <v>0</v>
      </c>
      <c r="C2">
        <v>3.67</v>
      </c>
      <c r="D2">
        <v>3.4</v>
      </c>
      <c r="E2">
        <v>32.4</v>
      </c>
      <c r="F2">
        <v>7</v>
      </c>
      <c r="G2">
        <v>0</v>
      </c>
      <c r="H2">
        <v>0</v>
      </c>
      <c r="I2">
        <v>2</v>
      </c>
      <c r="J2">
        <v>2014</v>
      </c>
      <c r="K2">
        <v>1</v>
      </c>
      <c r="L2" t="s">
        <v>11</v>
      </c>
      <c r="M2">
        <f>SUM(Pharma_Sales_Data[[#This Row],[M01AB]:[R06]])</f>
        <v>48.47</v>
      </c>
      <c r="N2" s="2">
        <f>Pharma_Sales_Data[[#This Row],[Total Drug Sales]]*150</f>
        <v>7270.5</v>
      </c>
      <c r="O2" s="2">
        <f>Pharma_Sales_Data[[#This Row],[Total Revenue]]*0.3</f>
        <v>2181.15</v>
      </c>
      <c r="P2" t="str">
        <f>IF(Pharma_Sales_Data[[#This Row],[Total Revenue]]&gt;20000,"High Value", IF(Pharma_Sales_Data[[#This Row],[Total Revenue]]&gt;=10000,"Medium Value","Low Value"))</f>
        <v>Low Value</v>
      </c>
    </row>
    <row r="3" spans="1:16" x14ac:dyDescent="0.35">
      <c r="A3" s="1">
        <v>41642</v>
      </c>
      <c r="B3">
        <v>8</v>
      </c>
      <c r="C3">
        <v>4</v>
      </c>
      <c r="D3">
        <v>4.4000000000000004</v>
      </c>
      <c r="E3">
        <v>50.6</v>
      </c>
      <c r="F3">
        <v>16</v>
      </c>
      <c r="G3">
        <v>0</v>
      </c>
      <c r="H3">
        <v>20</v>
      </c>
      <c r="I3">
        <v>4</v>
      </c>
      <c r="J3">
        <v>2014</v>
      </c>
      <c r="K3">
        <v>1</v>
      </c>
      <c r="L3" t="s">
        <v>12</v>
      </c>
      <c r="M3">
        <f>SUM(Pharma_Sales_Data[[#This Row],[M01AB]:[R06]])</f>
        <v>107</v>
      </c>
      <c r="N3" s="2">
        <f>Pharma_Sales_Data[[#This Row],[Total Drug Sales]]*150</f>
        <v>16050</v>
      </c>
      <c r="O3" s="2">
        <f>Pharma_Sales_Data[[#This Row],[Total Revenue]]*0.3</f>
        <v>4815</v>
      </c>
      <c r="P3" t="str">
        <f>IF(Pharma_Sales_Data[[#This Row],[Total Revenue]]&gt;20000,"High Value", IF(Pharma_Sales_Data[[#This Row],[Total Revenue]]&gt;=10000,"Medium Value","Low Value"))</f>
        <v>Medium Value</v>
      </c>
    </row>
    <row r="4" spans="1:16" x14ac:dyDescent="0.35">
      <c r="A4" s="1">
        <v>41643</v>
      </c>
      <c r="B4">
        <v>2</v>
      </c>
      <c r="C4">
        <v>1</v>
      </c>
      <c r="D4">
        <v>6.5</v>
      </c>
      <c r="E4">
        <v>61.85</v>
      </c>
      <c r="F4">
        <v>10</v>
      </c>
      <c r="G4">
        <v>0</v>
      </c>
      <c r="H4">
        <v>9</v>
      </c>
      <c r="I4">
        <v>1</v>
      </c>
      <c r="J4">
        <v>2014</v>
      </c>
      <c r="K4">
        <v>1</v>
      </c>
      <c r="L4" t="s">
        <v>13</v>
      </c>
      <c r="M4">
        <f>SUM(Pharma_Sales_Data[[#This Row],[M01AB]:[R06]])</f>
        <v>91.35</v>
      </c>
      <c r="N4" s="2">
        <f>Pharma_Sales_Data[[#This Row],[Total Drug Sales]]*150</f>
        <v>13702.5</v>
      </c>
      <c r="O4" s="2">
        <f>Pharma_Sales_Data[[#This Row],[Total Revenue]]*0.3</f>
        <v>4110.75</v>
      </c>
      <c r="P4" t="str">
        <f>IF(Pharma_Sales_Data[[#This Row],[Total Revenue]]&gt;20000,"High Value", IF(Pharma_Sales_Data[[#This Row],[Total Revenue]]&gt;=10000,"Medium Value","Low Value"))</f>
        <v>Medium Value</v>
      </c>
    </row>
    <row r="5" spans="1:16" x14ac:dyDescent="0.35">
      <c r="A5" s="1">
        <v>41644</v>
      </c>
      <c r="B5">
        <v>4</v>
      </c>
      <c r="C5">
        <v>3</v>
      </c>
      <c r="D5">
        <v>7</v>
      </c>
      <c r="E5">
        <v>41.1</v>
      </c>
      <c r="F5">
        <v>8</v>
      </c>
      <c r="G5">
        <v>0</v>
      </c>
      <c r="H5">
        <v>3</v>
      </c>
      <c r="I5">
        <v>0</v>
      </c>
      <c r="J5">
        <v>2014</v>
      </c>
      <c r="K5">
        <v>1</v>
      </c>
      <c r="L5" t="s">
        <v>14</v>
      </c>
      <c r="M5">
        <f>SUM(Pharma_Sales_Data[[#This Row],[M01AB]:[R06]])</f>
        <v>66.099999999999994</v>
      </c>
      <c r="N5" s="2">
        <f>Pharma_Sales_Data[[#This Row],[Total Drug Sales]]*150</f>
        <v>9915</v>
      </c>
      <c r="O5" s="2">
        <f>Pharma_Sales_Data[[#This Row],[Total Revenue]]*0.3</f>
        <v>2974.5</v>
      </c>
      <c r="P5" t="str">
        <f>IF(Pharma_Sales_Data[[#This Row],[Total Revenue]]&gt;20000,"High Value", IF(Pharma_Sales_Data[[#This Row],[Total Revenue]]&gt;=10000,"Medium Value","Low Value"))</f>
        <v>Low Value</v>
      </c>
    </row>
    <row r="6" spans="1:16" x14ac:dyDescent="0.35">
      <c r="A6" s="1">
        <v>41645</v>
      </c>
      <c r="B6">
        <v>5</v>
      </c>
      <c r="C6">
        <v>1</v>
      </c>
      <c r="D6">
        <v>4.5</v>
      </c>
      <c r="E6">
        <v>21.7</v>
      </c>
      <c r="F6">
        <v>16</v>
      </c>
      <c r="G6">
        <v>2</v>
      </c>
      <c r="H6">
        <v>6</v>
      </c>
      <c r="I6">
        <v>2</v>
      </c>
      <c r="J6">
        <v>2014</v>
      </c>
      <c r="K6">
        <v>1</v>
      </c>
      <c r="L6" t="s">
        <v>15</v>
      </c>
      <c r="M6">
        <f>SUM(Pharma_Sales_Data[[#This Row],[M01AB]:[R06]])</f>
        <v>58.2</v>
      </c>
      <c r="N6" s="2">
        <f>Pharma_Sales_Data[[#This Row],[Total Drug Sales]]*150</f>
        <v>8730</v>
      </c>
      <c r="O6" s="2">
        <f>Pharma_Sales_Data[[#This Row],[Total Revenue]]*0.3</f>
        <v>2619</v>
      </c>
      <c r="P6" t="str">
        <f>IF(Pharma_Sales_Data[[#This Row],[Total Revenue]]&gt;20000,"High Value", IF(Pharma_Sales_Data[[#This Row],[Total Revenue]]&gt;=10000,"Medium Value","Low Value"))</f>
        <v>Low Value</v>
      </c>
    </row>
    <row r="7" spans="1:16" x14ac:dyDescent="0.35">
      <c r="A7" s="1">
        <v>41646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2014</v>
      </c>
      <c r="K7">
        <v>1</v>
      </c>
      <c r="L7" t="s">
        <v>16</v>
      </c>
      <c r="M7">
        <f>SUM(Pharma_Sales_Data[[#This Row],[M01AB]:[R06]])</f>
        <v>0</v>
      </c>
      <c r="N7" s="2">
        <f>Pharma_Sales_Data[[#This Row],[Total Drug Sales]]*150</f>
        <v>0</v>
      </c>
      <c r="O7" s="2">
        <f>Pharma_Sales_Data[[#This Row],[Total Revenue]]*0.3</f>
        <v>0</v>
      </c>
      <c r="P7" t="str">
        <f>IF(Pharma_Sales_Data[[#This Row],[Total Revenue]]&gt;20000,"High Value", IF(Pharma_Sales_Data[[#This Row],[Total Revenue]]&gt;=10000,"Medium Value","Low Value"))</f>
        <v>Low Value</v>
      </c>
    </row>
    <row r="8" spans="1:16" x14ac:dyDescent="0.35">
      <c r="A8" s="1">
        <v>41647</v>
      </c>
      <c r="B8">
        <v>5.33</v>
      </c>
      <c r="C8">
        <v>3</v>
      </c>
      <c r="D8">
        <v>10.5</v>
      </c>
      <c r="E8">
        <v>26.4</v>
      </c>
      <c r="F8">
        <v>19</v>
      </c>
      <c r="G8">
        <v>1</v>
      </c>
      <c r="H8">
        <v>10</v>
      </c>
      <c r="I8">
        <v>0</v>
      </c>
      <c r="J8">
        <v>2014</v>
      </c>
      <c r="K8">
        <v>1</v>
      </c>
      <c r="L8" t="s">
        <v>17</v>
      </c>
      <c r="M8">
        <f>SUM(Pharma_Sales_Data[[#This Row],[M01AB]:[R06]])</f>
        <v>75.22999999999999</v>
      </c>
      <c r="N8" s="2">
        <f>Pharma_Sales_Data[[#This Row],[Total Drug Sales]]*150</f>
        <v>11284.499999999998</v>
      </c>
      <c r="O8" s="2">
        <f>Pharma_Sales_Data[[#This Row],[Total Revenue]]*0.3</f>
        <v>3385.3499999999995</v>
      </c>
      <c r="P8" t="str">
        <f>IF(Pharma_Sales_Data[[#This Row],[Total Revenue]]&gt;20000,"High Value", IF(Pharma_Sales_Data[[#This Row],[Total Revenue]]&gt;=10000,"Medium Value","Low Value"))</f>
        <v>Medium Value</v>
      </c>
    </row>
    <row r="9" spans="1:16" x14ac:dyDescent="0.35">
      <c r="A9" s="1">
        <v>41648</v>
      </c>
      <c r="B9">
        <v>7</v>
      </c>
      <c r="C9">
        <v>1.68</v>
      </c>
      <c r="D9">
        <v>8</v>
      </c>
      <c r="E9">
        <v>25</v>
      </c>
      <c r="F9">
        <v>16</v>
      </c>
      <c r="G9">
        <v>0</v>
      </c>
      <c r="H9">
        <v>3</v>
      </c>
      <c r="I9">
        <v>2</v>
      </c>
      <c r="J9">
        <v>2014</v>
      </c>
      <c r="K9">
        <v>1</v>
      </c>
      <c r="L9" t="s">
        <v>11</v>
      </c>
      <c r="M9">
        <f>SUM(Pharma_Sales_Data[[#This Row],[M01AB]:[R06]])</f>
        <v>62.68</v>
      </c>
      <c r="N9" s="2">
        <f>Pharma_Sales_Data[[#This Row],[Total Drug Sales]]*150</f>
        <v>9402</v>
      </c>
      <c r="O9" s="2">
        <f>Pharma_Sales_Data[[#This Row],[Total Revenue]]*0.3</f>
        <v>2820.6</v>
      </c>
      <c r="P9" t="str">
        <f>IF(Pharma_Sales_Data[[#This Row],[Total Revenue]]&gt;20000,"High Value", IF(Pharma_Sales_Data[[#This Row],[Total Revenue]]&gt;=10000,"Medium Value","Low Value"))</f>
        <v>Low Value</v>
      </c>
    </row>
    <row r="10" spans="1:16" x14ac:dyDescent="0.35">
      <c r="A10" s="1">
        <v>41649</v>
      </c>
      <c r="B10">
        <v>5</v>
      </c>
      <c r="C10">
        <v>2</v>
      </c>
      <c r="D10">
        <v>2</v>
      </c>
      <c r="E10">
        <v>53.3</v>
      </c>
      <c r="F10">
        <v>15</v>
      </c>
      <c r="G10">
        <v>2</v>
      </c>
      <c r="H10">
        <v>0</v>
      </c>
      <c r="I10">
        <v>2</v>
      </c>
      <c r="J10">
        <v>2014</v>
      </c>
      <c r="K10">
        <v>1</v>
      </c>
      <c r="L10" t="s">
        <v>12</v>
      </c>
      <c r="M10">
        <f>SUM(Pharma_Sales_Data[[#This Row],[M01AB]:[R06]])</f>
        <v>81.3</v>
      </c>
      <c r="N10" s="2">
        <f>Pharma_Sales_Data[[#This Row],[Total Drug Sales]]*150</f>
        <v>12195</v>
      </c>
      <c r="O10" s="2">
        <f>Pharma_Sales_Data[[#This Row],[Total Revenue]]*0.3</f>
        <v>3658.5</v>
      </c>
      <c r="P10" t="str">
        <f>IF(Pharma_Sales_Data[[#This Row],[Total Revenue]]&gt;20000,"High Value", IF(Pharma_Sales_Data[[#This Row],[Total Revenue]]&gt;=10000,"Medium Value","Low Value"))</f>
        <v>Medium Value</v>
      </c>
    </row>
    <row r="11" spans="1:16" x14ac:dyDescent="0.35">
      <c r="A11" s="1">
        <v>41650</v>
      </c>
      <c r="B11">
        <v>5</v>
      </c>
      <c r="C11">
        <v>4.34</v>
      </c>
      <c r="D11">
        <v>10.4</v>
      </c>
      <c r="E11">
        <v>52.3</v>
      </c>
      <c r="F11">
        <v>14</v>
      </c>
      <c r="G11">
        <v>0</v>
      </c>
      <c r="H11">
        <v>1</v>
      </c>
      <c r="I11">
        <v>0.2</v>
      </c>
      <c r="J11">
        <v>2014</v>
      </c>
      <c r="K11">
        <v>1</v>
      </c>
      <c r="L11" t="s">
        <v>13</v>
      </c>
      <c r="M11">
        <f>SUM(Pharma_Sales_Data[[#This Row],[M01AB]:[R06]])</f>
        <v>87.24</v>
      </c>
      <c r="N11" s="2">
        <f>Pharma_Sales_Data[[#This Row],[Total Drug Sales]]*150</f>
        <v>13086</v>
      </c>
      <c r="O11" s="2">
        <f>Pharma_Sales_Data[[#This Row],[Total Revenue]]*0.3</f>
        <v>3925.7999999999997</v>
      </c>
      <c r="P11" t="str">
        <f>IF(Pharma_Sales_Data[[#This Row],[Total Revenue]]&gt;20000,"High Value", IF(Pharma_Sales_Data[[#This Row],[Total Revenue]]&gt;=10000,"Medium Value","Low Value"))</f>
        <v>Medium Value</v>
      </c>
    </row>
    <row r="12" spans="1:16" x14ac:dyDescent="0.35">
      <c r="A12" s="1">
        <v>41651</v>
      </c>
      <c r="B12">
        <v>2</v>
      </c>
      <c r="C12">
        <v>0.66</v>
      </c>
      <c r="D12">
        <v>2.5</v>
      </c>
      <c r="E12">
        <v>12</v>
      </c>
      <c r="F12">
        <v>8</v>
      </c>
      <c r="G12">
        <v>0</v>
      </c>
      <c r="H12">
        <v>1</v>
      </c>
      <c r="I12">
        <v>1</v>
      </c>
      <c r="J12">
        <v>2014</v>
      </c>
      <c r="K12">
        <v>1</v>
      </c>
      <c r="L12" t="s">
        <v>14</v>
      </c>
      <c r="M12">
        <f>SUM(Pharma_Sales_Data[[#This Row],[M01AB]:[R06]])</f>
        <v>27.16</v>
      </c>
      <c r="N12" s="2">
        <f>Pharma_Sales_Data[[#This Row],[Total Drug Sales]]*150</f>
        <v>4074</v>
      </c>
      <c r="O12" s="2">
        <f>Pharma_Sales_Data[[#This Row],[Total Revenue]]*0.3</f>
        <v>1222.2</v>
      </c>
      <c r="P12" t="str">
        <f>IF(Pharma_Sales_Data[[#This Row],[Total Revenue]]&gt;20000,"High Value", IF(Pharma_Sales_Data[[#This Row],[Total Revenue]]&gt;=10000,"Medium Value","Low Value"))</f>
        <v>Low Value</v>
      </c>
    </row>
    <row r="13" spans="1:16" x14ac:dyDescent="0.35">
      <c r="A13" s="1">
        <v>41652</v>
      </c>
      <c r="B13">
        <v>7.34</v>
      </c>
      <c r="C13">
        <v>7.66</v>
      </c>
      <c r="D13">
        <v>6.2</v>
      </c>
      <c r="E13">
        <v>52</v>
      </c>
      <c r="F13">
        <v>9</v>
      </c>
      <c r="G13">
        <v>0</v>
      </c>
      <c r="H13">
        <v>7</v>
      </c>
      <c r="I13">
        <v>1</v>
      </c>
      <c r="J13">
        <v>2014</v>
      </c>
      <c r="K13">
        <v>1</v>
      </c>
      <c r="L13" t="s">
        <v>15</v>
      </c>
      <c r="M13">
        <f>SUM(Pharma_Sales_Data[[#This Row],[M01AB]:[R06]])</f>
        <v>90.2</v>
      </c>
      <c r="N13" s="2">
        <f>Pharma_Sales_Data[[#This Row],[Total Drug Sales]]*150</f>
        <v>13530</v>
      </c>
      <c r="O13" s="2">
        <f>Pharma_Sales_Data[[#This Row],[Total Revenue]]*0.3</f>
        <v>4059</v>
      </c>
      <c r="P13" t="str">
        <f>IF(Pharma_Sales_Data[[#This Row],[Total Revenue]]&gt;20000,"High Value", IF(Pharma_Sales_Data[[#This Row],[Total Revenue]]&gt;=10000,"Medium Value","Low Value"))</f>
        <v>Medium Value</v>
      </c>
    </row>
    <row r="14" spans="1:16" x14ac:dyDescent="0.35">
      <c r="A14" s="1">
        <v>41653</v>
      </c>
      <c r="B14">
        <v>6</v>
      </c>
      <c r="C14">
        <v>1.33</v>
      </c>
      <c r="D14">
        <v>12.3</v>
      </c>
      <c r="E14">
        <v>33.700000000000003</v>
      </c>
      <c r="F14">
        <v>6</v>
      </c>
      <c r="G14">
        <v>1</v>
      </c>
      <c r="H14">
        <v>0</v>
      </c>
      <c r="I14">
        <v>2</v>
      </c>
      <c r="J14">
        <v>2014</v>
      </c>
      <c r="K14">
        <v>1</v>
      </c>
      <c r="L14" t="s">
        <v>16</v>
      </c>
      <c r="M14">
        <f>SUM(Pharma_Sales_Data[[#This Row],[M01AB]:[R06]])</f>
        <v>62.330000000000005</v>
      </c>
      <c r="N14" s="2">
        <f>Pharma_Sales_Data[[#This Row],[Total Drug Sales]]*150</f>
        <v>9349.5</v>
      </c>
      <c r="O14" s="2">
        <f>Pharma_Sales_Data[[#This Row],[Total Revenue]]*0.3</f>
        <v>2804.85</v>
      </c>
      <c r="P14" t="str">
        <f>IF(Pharma_Sales_Data[[#This Row],[Total Revenue]]&gt;20000,"High Value", IF(Pharma_Sales_Data[[#This Row],[Total Revenue]]&gt;=10000,"Medium Value","Low Value"))</f>
        <v>Low Value</v>
      </c>
    </row>
    <row r="15" spans="1:16" x14ac:dyDescent="0.35">
      <c r="A15" s="1">
        <v>41654</v>
      </c>
      <c r="B15">
        <v>4</v>
      </c>
      <c r="C15">
        <v>2.34</v>
      </c>
      <c r="D15">
        <v>5</v>
      </c>
      <c r="E15">
        <v>26.7</v>
      </c>
      <c r="F15">
        <v>12</v>
      </c>
      <c r="G15">
        <v>2</v>
      </c>
      <c r="H15">
        <v>3</v>
      </c>
      <c r="I15">
        <v>3</v>
      </c>
      <c r="J15">
        <v>2014</v>
      </c>
      <c r="K15">
        <v>1</v>
      </c>
      <c r="L15" t="s">
        <v>17</v>
      </c>
      <c r="M15">
        <f>SUM(Pharma_Sales_Data[[#This Row],[M01AB]:[R06]])</f>
        <v>58.04</v>
      </c>
      <c r="N15" s="2">
        <f>Pharma_Sales_Data[[#This Row],[Total Drug Sales]]*150</f>
        <v>8706</v>
      </c>
      <c r="O15" s="2">
        <f>Pharma_Sales_Data[[#This Row],[Total Revenue]]*0.3</f>
        <v>2611.7999999999997</v>
      </c>
      <c r="P15" t="str">
        <f>IF(Pharma_Sales_Data[[#This Row],[Total Revenue]]&gt;20000,"High Value", IF(Pharma_Sales_Data[[#This Row],[Total Revenue]]&gt;=10000,"Medium Value","Low Value"))</f>
        <v>Low Value</v>
      </c>
    </row>
    <row r="16" spans="1:16" x14ac:dyDescent="0.35">
      <c r="A16" s="1">
        <v>41655</v>
      </c>
      <c r="B16">
        <v>6</v>
      </c>
      <c r="C16">
        <v>2</v>
      </c>
      <c r="D16">
        <v>4.3</v>
      </c>
      <c r="E16">
        <v>28.3</v>
      </c>
      <c r="F16">
        <v>19</v>
      </c>
      <c r="G16">
        <v>1</v>
      </c>
      <c r="H16">
        <v>5</v>
      </c>
      <c r="I16">
        <v>0</v>
      </c>
      <c r="J16">
        <v>2014</v>
      </c>
      <c r="K16">
        <v>1</v>
      </c>
      <c r="L16" t="s">
        <v>11</v>
      </c>
      <c r="M16">
        <f>SUM(Pharma_Sales_Data[[#This Row],[M01AB]:[R06]])</f>
        <v>65.599999999999994</v>
      </c>
      <c r="N16" s="2">
        <f>Pharma_Sales_Data[[#This Row],[Total Drug Sales]]*150</f>
        <v>9840</v>
      </c>
      <c r="O16" s="2">
        <f>Pharma_Sales_Data[[#This Row],[Total Revenue]]*0.3</f>
        <v>2952</v>
      </c>
      <c r="P16" t="str">
        <f>IF(Pharma_Sales_Data[[#This Row],[Total Revenue]]&gt;20000,"High Value", IF(Pharma_Sales_Data[[#This Row],[Total Revenue]]&gt;=10000,"Medium Value","Low Value"))</f>
        <v>Low Value</v>
      </c>
    </row>
    <row r="17" spans="1:16" x14ac:dyDescent="0.35">
      <c r="A17" s="1">
        <v>41656</v>
      </c>
      <c r="B17">
        <v>2</v>
      </c>
      <c r="C17">
        <v>3.68</v>
      </c>
      <c r="D17">
        <v>8.3000000000000007</v>
      </c>
      <c r="E17">
        <v>20.399999999999999</v>
      </c>
      <c r="F17">
        <v>15</v>
      </c>
      <c r="G17">
        <v>0</v>
      </c>
      <c r="H17">
        <v>6</v>
      </c>
      <c r="I17">
        <v>3</v>
      </c>
      <c r="J17">
        <v>2014</v>
      </c>
      <c r="K17">
        <v>1</v>
      </c>
      <c r="L17" t="s">
        <v>12</v>
      </c>
      <c r="M17">
        <f>SUM(Pharma_Sales_Data[[#This Row],[M01AB]:[R06]])</f>
        <v>58.379999999999995</v>
      </c>
      <c r="N17" s="2">
        <f>Pharma_Sales_Data[[#This Row],[Total Drug Sales]]*150</f>
        <v>8757</v>
      </c>
      <c r="O17" s="2">
        <f>Pharma_Sales_Data[[#This Row],[Total Revenue]]*0.3</f>
        <v>2627.1</v>
      </c>
      <c r="P17" t="str">
        <f>IF(Pharma_Sales_Data[[#This Row],[Total Revenue]]&gt;20000,"High Value", IF(Pharma_Sales_Data[[#This Row],[Total Revenue]]&gt;=10000,"Medium Value","Low Value"))</f>
        <v>Low Value</v>
      </c>
    </row>
    <row r="18" spans="1:16" x14ac:dyDescent="0.35">
      <c r="A18" s="1">
        <v>41657</v>
      </c>
      <c r="B18">
        <v>1</v>
      </c>
      <c r="C18">
        <v>5.33</v>
      </c>
      <c r="D18">
        <v>5.8</v>
      </c>
      <c r="E18">
        <v>43.2</v>
      </c>
      <c r="F18">
        <v>15</v>
      </c>
      <c r="G18">
        <v>4</v>
      </c>
      <c r="H18">
        <v>7</v>
      </c>
      <c r="I18">
        <v>2</v>
      </c>
      <c r="J18">
        <v>2014</v>
      </c>
      <c r="K18">
        <v>1</v>
      </c>
      <c r="L18" t="s">
        <v>13</v>
      </c>
      <c r="M18">
        <f>SUM(Pharma_Sales_Data[[#This Row],[M01AB]:[R06]])</f>
        <v>83.33</v>
      </c>
      <c r="N18" s="2">
        <f>Pharma_Sales_Data[[#This Row],[Total Drug Sales]]*150</f>
        <v>12499.5</v>
      </c>
      <c r="O18" s="2">
        <f>Pharma_Sales_Data[[#This Row],[Total Revenue]]*0.3</f>
        <v>3749.85</v>
      </c>
      <c r="P18" t="str">
        <f>IF(Pharma_Sales_Data[[#This Row],[Total Revenue]]&gt;20000,"High Value", IF(Pharma_Sales_Data[[#This Row],[Total Revenue]]&gt;=10000,"Medium Value","Low Value"))</f>
        <v>Medium Value</v>
      </c>
    </row>
    <row r="19" spans="1:16" x14ac:dyDescent="0.35">
      <c r="A19" s="1">
        <v>41658</v>
      </c>
      <c r="B19">
        <v>4.33</v>
      </c>
      <c r="C19">
        <v>4</v>
      </c>
      <c r="D19">
        <v>4</v>
      </c>
      <c r="E19">
        <v>14.1</v>
      </c>
      <c r="F19">
        <v>4</v>
      </c>
      <c r="G19">
        <v>0</v>
      </c>
      <c r="H19">
        <v>1</v>
      </c>
      <c r="I19">
        <v>1</v>
      </c>
      <c r="J19">
        <v>2014</v>
      </c>
      <c r="K19">
        <v>1</v>
      </c>
      <c r="L19" t="s">
        <v>14</v>
      </c>
      <c r="M19">
        <f>SUM(Pharma_Sales_Data[[#This Row],[M01AB]:[R06]])</f>
        <v>32.43</v>
      </c>
      <c r="N19" s="2">
        <f>Pharma_Sales_Data[[#This Row],[Total Drug Sales]]*150</f>
        <v>4864.5</v>
      </c>
      <c r="O19" s="2">
        <f>Pharma_Sales_Data[[#This Row],[Total Revenue]]*0.3</f>
        <v>1459.35</v>
      </c>
      <c r="P19" t="str">
        <f>IF(Pharma_Sales_Data[[#This Row],[Total Revenue]]&gt;20000,"High Value", IF(Pharma_Sales_Data[[#This Row],[Total Revenue]]&gt;=10000,"Medium Value","Low Value"))</f>
        <v>Low Value</v>
      </c>
    </row>
    <row r="20" spans="1:16" x14ac:dyDescent="0.35">
      <c r="A20" s="1">
        <v>41659</v>
      </c>
      <c r="B20">
        <v>6</v>
      </c>
      <c r="C20">
        <v>3.34</v>
      </c>
      <c r="D20">
        <v>3.3</v>
      </c>
      <c r="E20">
        <v>11.9</v>
      </c>
      <c r="F20">
        <v>18</v>
      </c>
      <c r="G20">
        <v>2</v>
      </c>
      <c r="H20">
        <v>12</v>
      </c>
      <c r="I20">
        <v>3</v>
      </c>
      <c r="J20">
        <v>2014</v>
      </c>
      <c r="K20">
        <v>1</v>
      </c>
      <c r="L20" t="s">
        <v>15</v>
      </c>
      <c r="M20">
        <f>SUM(Pharma_Sales_Data[[#This Row],[M01AB]:[R06]])</f>
        <v>59.54</v>
      </c>
      <c r="N20" s="2">
        <f>Pharma_Sales_Data[[#This Row],[Total Drug Sales]]*150</f>
        <v>8931</v>
      </c>
      <c r="O20" s="2">
        <f>Pharma_Sales_Data[[#This Row],[Total Revenue]]*0.3</f>
        <v>2679.2999999999997</v>
      </c>
      <c r="P20" t="str">
        <f>IF(Pharma_Sales_Data[[#This Row],[Total Revenue]]&gt;20000,"High Value", IF(Pharma_Sales_Data[[#This Row],[Total Revenue]]&gt;=10000,"Medium Value","Low Value"))</f>
        <v>Low Value</v>
      </c>
    </row>
    <row r="21" spans="1:16" x14ac:dyDescent="0.35">
      <c r="A21" s="1">
        <v>41660</v>
      </c>
      <c r="B21">
        <v>2</v>
      </c>
      <c r="C21">
        <v>3.34</v>
      </c>
      <c r="D21">
        <v>4</v>
      </c>
      <c r="E21">
        <v>42</v>
      </c>
      <c r="F21">
        <v>15</v>
      </c>
      <c r="G21">
        <v>2</v>
      </c>
      <c r="H21">
        <v>0</v>
      </c>
      <c r="I21">
        <v>1</v>
      </c>
      <c r="J21">
        <v>2014</v>
      </c>
      <c r="K21">
        <v>1</v>
      </c>
      <c r="L21" t="s">
        <v>16</v>
      </c>
      <c r="M21">
        <f>SUM(Pharma_Sales_Data[[#This Row],[M01AB]:[R06]])</f>
        <v>69.34</v>
      </c>
      <c r="N21" s="2">
        <f>Pharma_Sales_Data[[#This Row],[Total Drug Sales]]*150</f>
        <v>10401</v>
      </c>
      <c r="O21" s="2">
        <f>Pharma_Sales_Data[[#This Row],[Total Revenue]]*0.3</f>
        <v>3120.2999999999997</v>
      </c>
      <c r="P21" t="str">
        <f>IF(Pharma_Sales_Data[[#This Row],[Total Revenue]]&gt;20000,"High Value", IF(Pharma_Sales_Data[[#This Row],[Total Revenue]]&gt;=10000,"Medium Value","Low Value"))</f>
        <v>Medium Value</v>
      </c>
    </row>
    <row r="22" spans="1:16" x14ac:dyDescent="0.35">
      <c r="A22" s="1">
        <v>41661</v>
      </c>
      <c r="B22">
        <v>7</v>
      </c>
      <c r="C22">
        <v>3</v>
      </c>
      <c r="D22">
        <v>7</v>
      </c>
      <c r="E22">
        <v>18.100000000000001</v>
      </c>
      <c r="F22">
        <v>10</v>
      </c>
      <c r="G22">
        <v>0</v>
      </c>
      <c r="H22">
        <v>5</v>
      </c>
      <c r="I22">
        <v>2</v>
      </c>
      <c r="J22">
        <v>2014</v>
      </c>
      <c r="K22">
        <v>1</v>
      </c>
      <c r="L22" t="s">
        <v>17</v>
      </c>
      <c r="M22">
        <f>SUM(Pharma_Sales_Data[[#This Row],[M01AB]:[R06]])</f>
        <v>52.1</v>
      </c>
      <c r="N22" s="2">
        <f>Pharma_Sales_Data[[#This Row],[Total Drug Sales]]*150</f>
        <v>7815</v>
      </c>
      <c r="O22" s="2">
        <f>Pharma_Sales_Data[[#This Row],[Total Revenue]]*0.3</f>
        <v>2344.5</v>
      </c>
      <c r="P22" t="str">
        <f>IF(Pharma_Sales_Data[[#This Row],[Total Revenue]]&gt;20000,"High Value", IF(Pharma_Sales_Data[[#This Row],[Total Revenue]]&gt;=10000,"Medium Value","Low Value"))</f>
        <v>Low Value</v>
      </c>
    </row>
    <row r="23" spans="1:16" x14ac:dyDescent="0.35">
      <c r="A23" s="1">
        <v>41662</v>
      </c>
      <c r="B23">
        <v>4</v>
      </c>
      <c r="C23">
        <v>4.67</v>
      </c>
      <c r="D23">
        <v>5.2</v>
      </c>
      <c r="E23">
        <v>26.2</v>
      </c>
      <c r="F23">
        <v>2</v>
      </c>
      <c r="G23">
        <v>3</v>
      </c>
      <c r="H23">
        <v>1</v>
      </c>
      <c r="I23">
        <v>3</v>
      </c>
      <c r="J23">
        <v>2014</v>
      </c>
      <c r="K23">
        <v>1</v>
      </c>
      <c r="L23" t="s">
        <v>11</v>
      </c>
      <c r="M23">
        <f>SUM(Pharma_Sales_Data[[#This Row],[M01AB]:[R06]])</f>
        <v>49.07</v>
      </c>
      <c r="N23" s="2">
        <f>Pharma_Sales_Data[[#This Row],[Total Drug Sales]]*150</f>
        <v>7360.5</v>
      </c>
      <c r="O23" s="2">
        <f>Pharma_Sales_Data[[#This Row],[Total Revenue]]*0.3</f>
        <v>2208.15</v>
      </c>
      <c r="P23" t="str">
        <f>IF(Pharma_Sales_Data[[#This Row],[Total Revenue]]&gt;20000,"High Value", IF(Pharma_Sales_Data[[#This Row],[Total Revenue]]&gt;=10000,"Medium Value","Low Value"))</f>
        <v>Low Value</v>
      </c>
    </row>
    <row r="24" spans="1:16" x14ac:dyDescent="0.35">
      <c r="A24" s="1">
        <v>41663</v>
      </c>
      <c r="B24">
        <v>4.67</v>
      </c>
      <c r="C24">
        <v>7.34</v>
      </c>
      <c r="D24">
        <v>7</v>
      </c>
      <c r="E24">
        <v>19.600000000000001</v>
      </c>
      <c r="F24">
        <v>13</v>
      </c>
      <c r="G24">
        <v>1</v>
      </c>
      <c r="H24">
        <v>0</v>
      </c>
      <c r="I24">
        <v>0</v>
      </c>
      <c r="J24">
        <v>2014</v>
      </c>
      <c r="K24">
        <v>1</v>
      </c>
      <c r="L24" t="s">
        <v>12</v>
      </c>
      <c r="M24">
        <f>SUM(Pharma_Sales_Data[[#This Row],[M01AB]:[R06]])</f>
        <v>52.61</v>
      </c>
      <c r="N24" s="2">
        <f>Pharma_Sales_Data[[#This Row],[Total Drug Sales]]*150</f>
        <v>7891.5</v>
      </c>
      <c r="O24" s="2">
        <f>Pharma_Sales_Data[[#This Row],[Total Revenue]]*0.3</f>
        <v>2367.4499999999998</v>
      </c>
      <c r="P24" t="str">
        <f>IF(Pharma_Sales_Data[[#This Row],[Total Revenue]]&gt;20000,"High Value", IF(Pharma_Sales_Data[[#This Row],[Total Revenue]]&gt;=10000,"Medium Value","Low Value"))</f>
        <v>Low Value</v>
      </c>
    </row>
    <row r="25" spans="1:16" x14ac:dyDescent="0.35">
      <c r="A25" s="1">
        <v>41664</v>
      </c>
      <c r="B25">
        <v>6</v>
      </c>
      <c r="C25">
        <v>9</v>
      </c>
      <c r="D25">
        <v>5</v>
      </c>
      <c r="E25">
        <v>37.799999999999997</v>
      </c>
      <c r="F25">
        <v>18</v>
      </c>
      <c r="G25">
        <v>0</v>
      </c>
      <c r="H25">
        <v>5</v>
      </c>
      <c r="I25">
        <v>1</v>
      </c>
      <c r="J25">
        <v>2014</v>
      </c>
      <c r="K25">
        <v>1</v>
      </c>
      <c r="L25" t="s">
        <v>13</v>
      </c>
      <c r="M25">
        <f>SUM(Pharma_Sales_Data[[#This Row],[M01AB]:[R06]])</f>
        <v>81.8</v>
      </c>
      <c r="N25" s="2">
        <f>Pharma_Sales_Data[[#This Row],[Total Drug Sales]]*150</f>
        <v>12270</v>
      </c>
      <c r="O25" s="2">
        <f>Pharma_Sales_Data[[#This Row],[Total Revenue]]*0.3</f>
        <v>3681</v>
      </c>
      <c r="P25" t="str">
        <f>IF(Pharma_Sales_Data[[#This Row],[Total Revenue]]&gt;20000,"High Value", IF(Pharma_Sales_Data[[#This Row],[Total Revenue]]&gt;=10000,"Medium Value","Low Value"))</f>
        <v>Medium Value</v>
      </c>
    </row>
    <row r="26" spans="1:16" x14ac:dyDescent="0.35">
      <c r="A26" s="1">
        <v>41665</v>
      </c>
      <c r="B26">
        <v>4.33</v>
      </c>
      <c r="C26">
        <v>1.68</v>
      </c>
      <c r="D26">
        <v>0</v>
      </c>
      <c r="E26">
        <v>24</v>
      </c>
      <c r="F26">
        <v>4</v>
      </c>
      <c r="G26">
        <v>0</v>
      </c>
      <c r="H26">
        <v>0</v>
      </c>
      <c r="I26">
        <v>0</v>
      </c>
      <c r="J26">
        <v>2014</v>
      </c>
      <c r="K26">
        <v>1</v>
      </c>
      <c r="L26" t="s">
        <v>14</v>
      </c>
      <c r="M26">
        <f>SUM(Pharma_Sales_Data[[#This Row],[M01AB]:[R06]])</f>
        <v>34.01</v>
      </c>
      <c r="N26" s="2">
        <f>Pharma_Sales_Data[[#This Row],[Total Drug Sales]]*150</f>
        <v>5101.5</v>
      </c>
      <c r="O26" s="2">
        <f>Pharma_Sales_Data[[#This Row],[Total Revenue]]*0.3</f>
        <v>1530.45</v>
      </c>
      <c r="P26" t="str">
        <f>IF(Pharma_Sales_Data[[#This Row],[Total Revenue]]&gt;20000,"High Value", IF(Pharma_Sales_Data[[#This Row],[Total Revenue]]&gt;=10000,"Medium Value","Low Value"))</f>
        <v>Low Value</v>
      </c>
    </row>
    <row r="27" spans="1:16" x14ac:dyDescent="0.35">
      <c r="A27" s="1">
        <v>41666</v>
      </c>
      <c r="B27">
        <v>4.34</v>
      </c>
      <c r="C27">
        <v>4.67</v>
      </c>
      <c r="D27">
        <v>1.2</v>
      </c>
      <c r="E27">
        <v>23.6</v>
      </c>
      <c r="F27">
        <v>17</v>
      </c>
      <c r="G27">
        <v>2</v>
      </c>
      <c r="H27">
        <v>1</v>
      </c>
      <c r="I27">
        <v>3</v>
      </c>
      <c r="J27">
        <v>2014</v>
      </c>
      <c r="K27">
        <v>1</v>
      </c>
      <c r="L27" t="s">
        <v>15</v>
      </c>
      <c r="M27">
        <f>SUM(Pharma_Sales_Data[[#This Row],[M01AB]:[R06]])</f>
        <v>56.81</v>
      </c>
      <c r="N27" s="2">
        <f>Pharma_Sales_Data[[#This Row],[Total Drug Sales]]*150</f>
        <v>8521.5</v>
      </c>
      <c r="O27" s="2">
        <f>Pharma_Sales_Data[[#This Row],[Total Revenue]]*0.3</f>
        <v>2556.4499999999998</v>
      </c>
      <c r="P27" t="str">
        <f>IF(Pharma_Sales_Data[[#This Row],[Total Revenue]]&gt;20000,"High Value", IF(Pharma_Sales_Data[[#This Row],[Total Revenue]]&gt;=10000,"Medium Value","Low Value"))</f>
        <v>Low Value</v>
      </c>
    </row>
    <row r="28" spans="1:16" x14ac:dyDescent="0.35">
      <c r="A28" s="1">
        <v>41667</v>
      </c>
      <c r="B28">
        <v>6</v>
      </c>
      <c r="C28">
        <v>3.34</v>
      </c>
      <c r="D28">
        <v>2.8</v>
      </c>
      <c r="E28">
        <v>13.38</v>
      </c>
      <c r="F28">
        <v>22</v>
      </c>
      <c r="G28">
        <v>5</v>
      </c>
      <c r="H28">
        <v>1</v>
      </c>
      <c r="I28">
        <v>5</v>
      </c>
      <c r="J28">
        <v>2014</v>
      </c>
      <c r="K28">
        <v>1</v>
      </c>
      <c r="L28" t="s">
        <v>16</v>
      </c>
      <c r="M28">
        <f>SUM(Pharma_Sales_Data[[#This Row],[M01AB]:[R06]])</f>
        <v>58.52</v>
      </c>
      <c r="N28" s="2">
        <f>Pharma_Sales_Data[[#This Row],[Total Drug Sales]]*150</f>
        <v>8778</v>
      </c>
      <c r="O28" s="2">
        <f>Pharma_Sales_Data[[#This Row],[Total Revenue]]*0.3</f>
        <v>2633.4</v>
      </c>
      <c r="P28" t="str">
        <f>IF(Pharma_Sales_Data[[#This Row],[Total Revenue]]&gt;20000,"High Value", IF(Pharma_Sales_Data[[#This Row],[Total Revenue]]&gt;=10000,"Medium Value","Low Value"))</f>
        <v>Low Value</v>
      </c>
    </row>
    <row r="29" spans="1:16" x14ac:dyDescent="0.35">
      <c r="A29" s="1">
        <v>41668</v>
      </c>
      <c r="B29">
        <v>5.33</v>
      </c>
      <c r="C29">
        <v>4</v>
      </c>
      <c r="D29">
        <v>2</v>
      </c>
      <c r="E29">
        <v>14</v>
      </c>
      <c r="F29">
        <v>10</v>
      </c>
      <c r="G29">
        <v>1</v>
      </c>
      <c r="H29">
        <v>1</v>
      </c>
      <c r="I29">
        <v>2</v>
      </c>
      <c r="J29">
        <v>2014</v>
      </c>
      <c r="K29">
        <v>1</v>
      </c>
      <c r="L29" t="s">
        <v>17</v>
      </c>
      <c r="M29">
        <f>SUM(Pharma_Sales_Data[[#This Row],[M01AB]:[R06]])</f>
        <v>39.33</v>
      </c>
      <c r="N29" s="2">
        <f>Pharma_Sales_Data[[#This Row],[Total Drug Sales]]*150</f>
        <v>5899.5</v>
      </c>
      <c r="O29" s="2">
        <f>Pharma_Sales_Data[[#This Row],[Total Revenue]]*0.3</f>
        <v>1769.85</v>
      </c>
      <c r="P29" t="str">
        <f>IF(Pharma_Sales_Data[[#This Row],[Total Revenue]]&gt;20000,"High Value", IF(Pharma_Sales_Data[[#This Row],[Total Revenue]]&gt;=10000,"Medium Value","Low Value"))</f>
        <v>Low Value</v>
      </c>
    </row>
    <row r="30" spans="1:16" x14ac:dyDescent="0.35">
      <c r="A30" s="1">
        <v>41669</v>
      </c>
      <c r="B30">
        <v>3.02</v>
      </c>
      <c r="C30">
        <v>1.34</v>
      </c>
      <c r="D30">
        <v>2.4</v>
      </c>
      <c r="E30">
        <v>25.5</v>
      </c>
      <c r="F30">
        <v>7</v>
      </c>
      <c r="G30">
        <v>1</v>
      </c>
      <c r="H30">
        <v>3</v>
      </c>
      <c r="I30">
        <v>2</v>
      </c>
      <c r="J30">
        <v>2014</v>
      </c>
      <c r="K30">
        <v>1</v>
      </c>
      <c r="L30" t="s">
        <v>11</v>
      </c>
      <c r="M30">
        <f>SUM(Pharma_Sales_Data[[#This Row],[M01AB]:[R06]])</f>
        <v>45.26</v>
      </c>
      <c r="N30" s="2">
        <f>Pharma_Sales_Data[[#This Row],[Total Drug Sales]]*150</f>
        <v>6789</v>
      </c>
      <c r="O30" s="2">
        <f>Pharma_Sales_Data[[#This Row],[Total Revenue]]*0.3</f>
        <v>2036.6999999999998</v>
      </c>
      <c r="P30" t="str">
        <f>IF(Pharma_Sales_Data[[#This Row],[Total Revenue]]&gt;20000,"High Value", IF(Pharma_Sales_Data[[#This Row],[Total Revenue]]&gt;=10000,"Medium Value","Low Value"))</f>
        <v>Low Value</v>
      </c>
    </row>
    <row r="31" spans="1:16" x14ac:dyDescent="0.35">
      <c r="A31" s="1">
        <v>41670</v>
      </c>
      <c r="B31">
        <v>1</v>
      </c>
      <c r="C31">
        <v>2.68</v>
      </c>
      <c r="D31">
        <v>7.1</v>
      </c>
      <c r="E31">
        <v>26.9</v>
      </c>
      <c r="F31">
        <v>9</v>
      </c>
      <c r="G31">
        <v>0</v>
      </c>
      <c r="H31">
        <v>1</v>
      </c>
      <c r="I31">
        <v>0</v>
      </c>
      <c r="J31">
        <v>2014</v>
      </c>
      <c r="K31">
        <v>1</v>
      </c>
      <c r="L31" t="s">
        <v>12</v>
      </c>
      <c r="M31">
        <f>SUM(Pharma_Sales_Data[[#This Row],[M01AB]:[R06]])</f>
        <v>47.68</v>
      </c>
      <c r="N31" s="2">
        <f>Pharma_Sales_Data[[#This Row],[Total Drug Sales]]*150</f>
        <v>7152</v>
      </c>
      <c r="O31" s="2">
        <f>Pharma_Sales_Data[[#This Row],[Total Revenue]]*0.3</f>
        <v>2145.6</v>
      </c>
      <c r="P31" t="str">
        <f>IF(Pharma_Sales_Data[[#This Row],[Total Revenue]]&gt;20000,"High Value", IF(Pharma_Sales_Data[[#This Row],[Total Revenue]]&gt;=10000,"Medium Value","Low Value"))</f>
        <v>Low Value</v>
      </c>
    </row>
    <row r="32" spans="1:16" x14ac:dyDescent="0.35">
      <c r="A32" s="1">
        <v>41671</v>
      </c>
      <c r="B32">
        <v>4.33</v>
      </c>
      <c r="C32">
        <v>4.32</v>
      </c>
      <c r="D32">
        <v>5</v>
      </c>
      <c r="E32">
        <v>43</v>
      </c>
      <c r="F32">
        <v>13</v>
      </c>
      <c r="G32">
        <v>1</v>
      </c>
      <c r="H32">
        <v>14</v>
      </c>
      <c r="I32">
        <v>0</v>
      </c>
      <c r="J32">
        <v>2014</v>
      </c>
      <c r="K32">
        <v>2</v>
      </c>
      <c r="L32" t="s">
        <v>13</v>
      </c>
      <c r="M32">
        <f>SUM(Pharma_Sales_Data[[#This Row],[M01AB]:[R06]])</f>
        <v>84.65</v>
      </c>
      <c r="N32" s="2">
        <f>Pharma_Sales_Data[[#This Row],[Total Drug Sales]]*150</f>
        <v>12697.5</v>
      </c>
      <c r="O32" s="2">
        <f>Pharma_Sales_Data[[#This Row],[Total Revenue]]*0.3</f>
        <v>3809.25</v>
      </c>
      <c r="P32" t="str">
        <f>IF(Pharma_Sales_Data[[#This Row],[Total Revenue]]&gt;20000,"High Value", IF(Pharma_Sales_Data[[#This Row],[Total Revenue]]&gt;=10000,"Medium Value","Low Value"))</f>
        <v>Medium Value</v>
      </c>
    </row>
    <row r="33" spans="1:16" x14ac:dyDescent="0.35">
      <c r="A33" s="1">
        <v>41672</v>
      </c>
      <c r="B33">
        <v>7</v>
      </c>
      <c r="C33">
        <v>3</v>
      </c>
      <c r="D33">
        <v>0.2</v>
      </c>
      <c r="E33">
        <v>13.5</v>
      </c>
      <c r="F33">
        <v>6</v>
      </c>
      <c r="G33">
        <v>2</v>
      </c>
      <c r="H33">
        <v>8</v>
      </c>
      <c r="I33">
        <v>0</v>
      </c>
      <c r="J33">
        <v>2014</v>
      </c>
      <c r="K33">
        <v>2</v>
      </c>
      <c r="L33" t="s">
        <v>14</v>
      </c>
      <c r="M33">
        <f>SUM(Pharma_Sales_Data[[#This Row],[M01AB]:[R06]])</f>
        <v>39.700000000000003</v>
      </c>
      <c r="N33" s="2">
        <f>Pharma_Sales_Data[[#This Row],[Total Drug Sales]]*150</f>
        <v>5955</v>
      </c>
      <c r="O33" s="2">
        <f>Pharma_Sales_Data[[#This Row],[Total Revenue]]*0.3</f>
        <v>1786.5</v>
      </c>
      <c r="P33" t="str">
        <f>IF(Pharma_Sales_Data[[#This Row],[Total Revenue]]&gt;20000,"High Value", IF(Pharma_Sales_Data[[#This Row],[Total Revenue]]&gt;=10000,"Medium Value","Low Value"))</f>
        <v>Low Value</v>
      </c>
    </row>
    <row r="34" spans="1:16" x14ac:dyDescent="0.35">
      <c r="A34" s="1">
        <v>41673</v>
      </c>
      <c r="B34">
        <v>5</v>
      </c>
      <c r="C34">
        <v>1</v>
      </c>
      <c r="D34">
        <v>8.5</v>
      </c>
      <c r="E34">
        <v>32.4</v>
      </c>
      <c r="F34">
        <v>16</v>
      </c>
      <c r="G34">
        <v>1</v>
      </c>
      <c r="H34">
        <v>1</v>
      </c>
      <c r="I34">
        <v>0</v>
      </c>
      <c r="J34">
        <v>2014</v>
      </c>
      <c r="K34">
        <v>2</v>
      </c>
      <c r="L34" t="s">
        <v>15</v>
      </c>
      <c r="M34">
        <f>SUM(Pharma_Sales_Data[[#This Row],[M01AB]:[R06]])</f>
        <v>64.900000000000006</v>
      </c>
      <c r="N34" s="2">
        <f>Pharma_Sales_Data[[#This Row],[Total Drug Sales]]*150</f>
        <v>9735</v>
      </c>
      <c r="O34" s="2">
        <f>Pharma_Sales_Data[[#This Row],[Total Revenue]]*0.3</f>
        <v>2920.5</v>
      </c>
      <c r="P34" t="str">
        <f>IF(Pharma_Sales_Data[[#This Row],[Total Revenue]]&gt;20000,"High Value", IF(Pharma_Sales_Data[[#This Row],[Total Revenue]]&gt;=10000,"Medium Value","Low Value"))</f>
        <v>Low Value</v>
      </c>
    </row>
    <row r="35" spans="1:16" x14ac:dyDescent="0.35">
      <c r="A35" s="1">
        <v>41674</v>
      </c>
      <c r="B35">
        <v>1.33</v>
      </c>
      <c r="C35">
        <v>3</v>
      </c>
      <c r="D35">
        <v>7</v>
      </c>
      <c r="E35">
        <v>30.6</v>
      </c>
      <c r="F35">
        <v>8</v>
      </c>
      <c r="G35">
        <v>1</v>
      </c>
      <c r="H35">
        <v>17</v>
      </c>
      <c r="I35">
        <v>2</v>
      </c>
      <c r="J35">
        <v>2014</v>
      </c>
      <c r="K35">
        <v>2</v>
      </c>
      <c r="L35" t="s">
        <v>16</v>
      </c>
      <c r="M35">
        <f>SUM(Pharma_Sales_Data[[#This Row],[M01AB]:[R06]])</f>
        <v>69.930000000000007</v>
      </c>
      <c r="N35" s="2">
        <f>Pharma_Sales_Data[[#This Row],[Total Drug Sales]]*150</f>
        <v>10489.500000000002</v>
      </c>
      <c r="O35" s="2">
        <f>Pharma_Sales_Data[[#This Row],[Total Revenue]]*0.3</f>
        <v>3146.8500000000004</v>
      </c>
      <c r="P35" t="str">
        <f>IF(Pharma_Sales_Data[[#This Row],[Total Revenue]]&gt;20000,"High Value", IF(Pharma_Sales_Data[[#This Row],[Total Revenue]]&gt;=10000,"Medium Value","Low Value"))</f>
        <v>Medium Value</v>
      </c>
    </row>
    <row r="36" spans="1:16" x14ac:dyDescent="0.35">
      <c r="A36" s="1">
        <v>41675</v>
      </c>
      <c r="B36">
        <v>3</v>
      </c>
      <c r="C36">
        <v>4.0199999999999996</v>
      </c>
      <c r="D36">
        <v>6.2</v>
      </c>
      <c r="E36">
        <v>32.4</v>
      </c>
      <c r="F36">
        <v>15</v>
      </c>
      <c r="G36">
        <v>1</v>
      </c>
      <c r="H36">
        <v>1</v>
      </c>
      <c r="I36">
        <v>1</v>
      </c>
      <c r="J36">
        <v>2014</v>
      </c>
      <c r="K36">
        <v>2</v>
      </c>
      <c r="L36" t="s">
        <v>17</v>
      </c>
      <c r="M36">
        <f>SUM(Pharma_Sales_Data[[#This Row],[M01AB]:[R06]])</f>
        <v>63.62</v>
      </c>
      <c r="N36" s="2">
        <f>Pharma_Sales_Data[[#This Row],[Total Drug Sales]]*150</f>
        <v>9543</v>
      </c>
      <c r="O36" s="2">
        <f>Pharma_Sales_Data[[#This Row],[Total Revenue]]*0.3</f>
        <v>2862.9</v>
      </c>
      <c r="P36" t="str">
        <f>IF(Pharma_Sales_Data[[#This Row],[Total Revenue]]&gt;20000,"High Value", IF(Pharma_Sales_Data[[#This Row],[Total Revenue]]&gt;=10000,"Medium Value","Low Value"))</f>
        <v>Low Value</v>
      </c>
    </row>
    <row r="37" spans="1:16" x14ac:dyDescent="0.35">
      <c r="A37" s="1">
        <v>41676</v>
      </c>
      <c r="B37">
        <v>3.33</v>
      </c>
      <c r="C37">
        <v>6.68</v>
      </c>
      <c r="D37">
        <v>3.5</v>
      </c>
      <c r="E37">
        <v>41.4</v>
      </c>
      <c r="F37">
        <v>17</v>
      </c>
      <c r="G37">
        <v>2</v>
      </c>
      <c r="H37">
        <v>5</v>
      </c>
      <c r="I37">
        <v>2</v>
      </c>
      <c r="J37">
        <v>2014</v>
      </c>
      <c r="K37">
        <v>2</v>
      </c>
      <c r="L37" t="s">
        <v>11</v>
      </c>
      <c r="M37">
        <f>SUM(Pharma_Sales_Data[[#This Row],[M01AB]:[R06]])</f>
        <v>80.91</v>
      </c>
      <c r="N37" s="2">
        <f>Pharma_Sales_Data[[#This Row],[Total Drug Sales]]*150</f>
        <v>12136.5</v>
      </c>
      <c r="O37" s="2">
        <f>Pharma_Sales_Data[[#This Row],[Total Revenue]]*0.3</f>
        <v>3640.95</v>
      </c>
      <c r="P37" t="str">
        <f>IF(Pharma_Sales_Data[[#This Row],[Total Revenue]]&gt;20000,"High Value", IF(Pharma_Sales_Data[[#This Row],[Total Revenue]]&gt;=10000,"Medium Value","Low Value"))</f>
        <v>Medium Value</v>
      </c>
    </row>
    <row r="38" spans="1:16" x14ac:dyDescent="0.35">
      <c r="A38" s="1">
        <v>41677</v>
      </c>
      <c r="B38">
        <v>2.66</v>
      </c>
      <c r="C38">
        <v>8.67</v>
      </c>
      <c r="D38">
        <v>11.7</v>
      </c>
      <c r="E38">
        <v>21.4</v>
      </c>
      <c r="F38">
        <v>19</v>
      </c>
      <c r="G38">
        <v>1</v>
      </c>
      <c r="H38">
        <v>0</v>
      </c>
      <c r="I38">
        <v>0</v>
      </c>
      <c r="J38">
        <v>2014</v>
      </c>
      <c r="K38">
        <v>2</v>
      </c>
      <c r="L38" t="s">
        <v>12</v>
      </c>
      <c r="M38">
        <f>SUM(Pharma_Sales_Data[[#This Row],[M01AB]:[R06]])</f>
        <v>64.430000000000007</v>
      </c>
      <c r="N38" s="2">
        <f>Pharma_Sales_Data[[#This Row],[Total Drug Sales]]*150</f>
        <v>9664.5000000000018</v>
      </c>
      <c r="O38" s="2">
        <f>Pharma_Sales_Data[[#This Row],[Total Revenue]]*0.3</f>
        <v>2899.3500000000004</v>
      </c>
      <c r="P38" t="str">
        <f>IF(Pharma_Sales_Data[[#This Row],[Total Revenue]]&gt;20000,"High Value", IF(Pharma_Sales_Data[[#This Row],[Total Revenue]]&gt;=10000,"Medium Value","Low Value"))</f>
        <v>Low Value</v>
      </c>
    </row>
    <row r="39" spans="1:16" x14ac:dyDescent="0.35">
      <c r="A39" s="1">
        <v>41678</v>
      </c>
      <c r="B39">
        <v>3.33</v>
      </c>
      <c r="C39">
        <v>3.35</v>
      </c>
      <c r="D39">
        <v>14.4</v>
      </c>
      <c r="E39">
        <v>37.1</v>
      </c>
      <c r="F39">
        <v>13</v>
      </c>
      <c r="G39">
        <v>1</v>
      </c>
      <c r="H39">
        <v>1</v>
      </c>
      <c r="I39">
        <v>1</v>
      </c>
      <c r="J39">
        <v>2014</v>
      </c>
      <c r="K39">
        <v>2</v>
      </c>
      <c r="L39" t="s">
        <v>13</v>
      </c>
      <c r="M39">
        <f>SUM(Pharma_Sales_Data[[#This Row],[M01AB]:[R06]])</f>
        <v>74.180000000000007</v>
      </c>
      <c r="N39" s="2">
        <f>Pharma_Sales_Data[[#This Row],[Total Drug Sales]]*150</f>
        <v>11127.000000000002</v>
      </c>
      <c r="O39" s="2">
        <f>Pharma_Sales_Data[[#This Row],[Total Revenue]]*0.3</f>
        <v>3338.1000000000004</v>
      </c>
      <c r="P39" t="str">
        <f>IF(Pharma_Sales_Data[[#This Row],[Total Revenue]]&gt;20000,"High Value", IF(Pharma_Sales_Data[[#This Row],[Total Revenue]]&gt;=10000,"Medium Value","Low Value"))</f>
        <v>Medium Value</v>
      </c>
    </row>
    <row r="40" spans="1:16" x14ac:dyDescent="0.35">
      <c r="A40" s="1">
        <v>41679</v>
      </c>
      <c r="B40">
        <v>4</v>
      </c>
      <c r="C40">
        <v>3</v>
      </c>
      <c r="D40">
        <v>2</v>
      </c>
      <c r="E40">
        <v>31.5</v>
      </c>
      <c r="F40">
        <v>10</v>
      </c>
      <c r="G40">
        <v>0</v>
      </c>
      <c r="H40">
        <v>6</v>
      </c>
      <c r="I40">
        <v>0</v>
      </c>
      <c r="J40">
        <v>2014</v>
      </c>
      <c r="K40">
        <v>2</v>
      </c>
      <c r="L40" t="s">
        <v>14</v>
      </c>
      <c r="M40">
        <f>SUM(Pharma_Sales_Data[[#This Row],[M01AB]:[R06]])</f>
        <v>56.5</v>
      </c>
      <c r="N40" s="2">
        <f>Pharma_Sales_Data[[#This Row],[Total Drug Sales]]*150</f>
        <v>8475</v>
      </c>
      <c r="O40" s="2">
        <f>Pharma_Sales_Data[[#This Row],[Total Revenue]]*0.3</f>
        <v>2542.5</v>
      </c>
      <c r="P40" t="str">
        <f>IF(Pharma_Sales_Data[[#This Row],[Total Revenue]]&gt;20000,"High Value", IF(Pharma_Sales_Data[[#This Row],[Total Revenue]]&gt;=10000,"Medium Value","Low Value"))</f>
        <v>Low Value</v>
      </c>
    </row>
    <row r="41" spans="1:16" x14ac:dyDescent="0.35">
      <c r="A41" s="1">
        <v>41680</v>
      </c>
      <c r="B41">
        <v>5</v>
      </c>
      <c r="C41">
        <v>10.33</v>
      </c>
      <c r="D41">
        <v>8.5</v>
      </c>
      <c r="E41">
        <v>40.1</v>
      </c>
      <c r="F41">
        <v>20</v>
      </c>
      <c r="G41">
        <v>3</v>
      </c>
      <c r="H41">
        <v>3</v>
      </c>
      <c r="I41">
        <v>1</v>
      </c>
      <c r="J41">
        <v>2014</v>
      </c>
      <c r="K41">
        <v>2</v>
      </c>
      <c r="L41" t="s">
        <v>15</v>
      </c>
      <c r="M41">
        <f>SUM(Pharma_Sales_Data[[#This Row],[M01AB]:[R06]])</f>
        <v>90.93</v>
      </c>
      <c r="N41" s="2">
        <f>Pharma_Sales_Data[[#This Row],[Total Drug Sales]]*150</f>
        <v>13639.500000000002</v>
      </c>
      <c r="O41" s="2">
        <f>Pharma_Sales_Data[[#This Row],[Total Revenue]]*0.3</f>
        <v>4091.8500000000004</v>
      </c>
      <c r="P41" t="str">
        <f>IF(Pharma_Sales_Data[[#This Row],[Total Revenue]]&gt;20000,"High Value", IF(Pharma_Sales_Data[[#This Row],[Total Revenue]]&gt;=10000,"Medium Value","Low Value"))</f>
        <v>Medium Value</v>
      </c>
    </row>
    <row r="42" spans="1:16" x14ac:dyDescent="0.35">
      <c r="A42" s="1">
        <v>41681</v>
      </c>
      <c r="B42">
        <v>10</v>
      </c>
      <c r="C42">
        <v>6.99</v>
      </c>
      <c r="D42">
        <v>13.3</v>
      </c>
      <c r="E42">
        <v>44.6</v>
      </c>
      <c r="F42">
        <v>20</v>
      </c>
      <c r="G42">
        <v>2</v>
      </c>
      <c r="H42">
        <v>6</v>
      </c>
      <c r="I42">
        <v>2.2000000000000002</v>
      </c>
      <c r="J42">
        <v>2014</v>
      </c>
      <c r="K42">
        <v>2</v>
      </c>
      <c r="L42" t="s">
        <v>16</v>
      </c>
      <c r="M42">
        <f>SUM(Pharma_Sales_Data[[#This Row],[M01AB]:[R06]])</f>
        <v>105.09</v>
      </c>
      <c r="N42" s="2">
        <f>Pharma_Sales_Data[[#This Row],[Total Drug Sales]]*150</f>
        <v>15763.5</v>
      </c>
      <c r="O42" s="2">
        <f>Pharma_Sales_Data[[#This Row],[Total Revenue]]*0.3</f>
        <v>4729.05</v>
      </c>
      <c r="P42" t="str">
        <f>IF(Pharma_Sales_Data[[#This Row],[Total Revenue]]&gt;20000,"High Value", IF(Pharma_Sales_Data[[#This Row],[Total Revenue]]&gt;=10000,"Medium Value","Low Value"))</f>
        <v>Medium Value</v>
      </c>
    </row>
    <row r="43" spans="1:16" x14ac:dyDescent="0.35">
      <c r="A43" s="1">
        <v>41682</v>
      </c>
      <c r="B43">
        <v>9</v>
      </c>
      <c r="C43">
        <v>1.67</v>
      </c>
      <c r="D43">
        <v>9.1</v>
      </c>
      <c r="E43">
        <v>73.599999999999994</v>
      </c>
      <c r="F43">
        <v>9</v>
      </c>
      <c r="G43">
        <v>0</v>
      </c>
      <c r="H43">
        <v>5</v>
      </c>
      <c r="I43">
        <v>0</v>
      </c>
      <c r="J43">
        <v>2014</v>
      </c>
      <c r="K43">
        <v>2</v>
      </c>
      <c r="L43" t="s">
        <v>17</v>
      </c>
      <c r="M43">
        <f>SUM(Pharma_Sales_Data[[#This Row],[M01AB]:[R06]])</f>
        <v>107.36999999999999</v>
      </c>
      <c r="N43" s="2">
        <f>Pharma_Sales_Data[[#This Row],[Total Drug Sales]]*150</f>
        <v>16105.499999999998</v>
      </c>
      <c r="O43" s="2">
        <f>Pharma_Sales_Data[[#This Row],[Total Revenue]]*0.3</f>
        <v>4831.6499999999996</v>
      </c>
      <c r="P43" t="str">
        <f>IF(Pharma_Sales_Data[[#This Row],[Total Revenue]]&gt;20000,"High Value", IF(Pharma_Sales_Data[[#This Row],[Total Revenue]]&gt;=10000,"Medium Value","Low Value"))</f>
        <v>Medium Value</v>
      </c>
    </row>
    <row r="44" spans="1:16" x14ac:dyDescent="0.35">
      <c r="A44" s="1">
        <v>41683</v>
      </c>
      <c r="B44">
        <v>4.33</v>
      </c>
      <c r="C44">
        <v>3.67</v>
      </c>
      <c r="D44">
        <v>10</v>
      </c>
      <c r="E44">
        <v>49.1</v>
      </c>
      <c r="F44">
        <v>13</v>
      </c>
      <c r="G44">
        <v>3</v>
      </c>
      <c r="H44">
        <v>0</v>
      </c>
      <c r="I44">
        <v>1</v>
      </c>
      <c r="J44">
        <v>2014</v>
      </c>
      <c r="K44">
        <v>2</v>
      </c>
      <c r="L44" t="s">
        <v>11</v>
      </c>
      <c r="M44">
        <f>SUM(Pharma_Sales_Data[[#This Row],[M01AB]:[R06]])</f>
        <v>84.1</v>
      </c>
      <c r="N44" s="2">
        <f>Pharma_Sales_Data[[#This Row],[Total Drug Sales]]*150</f>
        <v>12615</v>
      </c>
      <c r="O44" s="2">
        <f>Pharma_Sales_Data[[#This Row],[Total Revenue]]*0.3</f>
        <v>3784.5</v>
      </c>
      <c r="P44" t="str">
        <f>IF(Pharma_Sales_Data[[#This Row],[Total Revenue]]&gt;20000,"High Value", IF(Pharma_Sales_Data[[#This Row],[Total Revenue]]&gt;=10000,"Medium Value","Low Value"))</f>
        <v>Medium Value</v>
      </c>
    </row>
    <row r="45" spans="1:16" x14ac:dyDescent="0.35">
      <c r="A45" s="1">
        <v>41684</v>
      </c>
      <c r="B45">
        <v>4</v>
      </c>
      <c r="C45">
        <v>4.01</v>
      </c>
      <c r="D45">
        <v>3.2</v>
      </c>
      <c r="E45">
        <v>42.3</v>
      </c>
      <c r="F45">
        <v>13</v>
      </c>
      <c r="G45">
        <v>4</v>
      </c>
      <c r="H45">
        <v>0</v>
      </c>
      <c r="I45">
        <v>6</v>
      </c>
      <c r="J45">
        <v>2014</v>
      </c>
      <c r="K45">
        <v>2</v>
      </c>
      <c r="L45" t="s">
        <v>12</v>
      </c>
      <c r="M45">
        <f>SUM(Pharma_Sales_Data[[#This Row],[M01AB]:[R06]])</f>
        <v>76.509999999999991</v>
      </c>
      <c r="N45" s="2">
        <f>Pharma_Sales_Data[[#This Row],[Total Drug Sales]]*150</f>
        <v>11476.499999999998</v>
      </c>
      <c r="O45" s="2">
        <f>Pharma_Sales_Data[[#This Row],[Total Revenue]]*0.3</f>
        <v>3442.9499999999994</v>
      </c>
      <c r="P45" t="str">
        <f>IF(Pharma_Sales_Data[[#This Row],[Total Revenue]]&gt;20000,"High Value", IF(Pharma_Sales_Data[[#This Row],[Total Revenue]]&gt;=10000,"Medium Value","Low Value"))</f>
        <v>Medium Value</v>
      </c>
    </row>
    <row r="46" spans="1:16" x14ac:dyDescent="0.35">
      <c r="A46" s="1">
        <v>41685</v>
      </c>
      <c r="B46">
        <v>1</v>
      </c>
      <c r="C46">
        <v>2.34</v>
      </c>
      <c r="D46">
        <v>2</v>
      </c>
      <c r="E46">
        <v>37</v>
      </c>
      <c r="F46">
        <v>9</v>
      </c>
      <c r="G46">
        <v>0</v>
      </c>
      <c r="H46">
        <v>1</v>
      </c>
      <c r="I46">
        <v>5</v>
      </c>
      <c r="J46">
        <v>2014</v>
      </c>
      <c r="K46">
        <v>2</v>
      </c>
      <c r="L46" t="s">
        <v>13</v>
      </c>
      <c r="M46">
        <f>SUM(Pharma_Sales_Data[[#This Row],[M01AB]:[R06]])</f>
        <v>57.34</v>
      </c>
      <c r="N46" s="2">
        <f>Pharma_Sales_Data[[#This Row],[Total Drug Sales]]*150</f>
        <v>8601</v>
      </c>
      <c r="O46" s="2">
        <f>Pharma_Sales_Data[[#This Row],[Total Revenue]]*0.3</f>
        <v>2580.2999999999997</v>
      </c>
      <c r="P46" t="str">
        <f>IF(Pharma_Sales_Data[[#This Row],[Total Revenue]]&gt;20000,"High Value", IF(Pharma_Sales_Data[[#This Row],[Total Revenue]]&gt;=10000,"Medium Value","Low Value"))</f>
        <v>Low Value</v>
      </c>
    </row>
    <row r="47" spans="1:16" x14ac:dyDescent="0.35">
      <c r="A47" s="1">
        <v>41686</v>
      </c>
      <c r="B47">
        <v>0</v>
      </c>
      <c r="C47">
        <v>1.68</v>
      </c>
      <c r="D47">
        <v>1.2</v>
      </c>
      <c r="E47">
        <v>34</v>
      </c>
      <c r="F47">
        <v>5</v>
      </c>
      <c r="G47">
        <v>2</v>
      </c>
      <c r="H47">
        <v>3</v>
      </c>
      <c r="I47">
        <v>1</v>
      </c>
      <c r="J47">
        <v>2014</v>
      </c>
      <c r="K47">
        <v>2</v>
      </c>
      <c r="L47" t="s">
        <v>14</v>
      </c>
      <c r="M47">
        <f>SUM(Pharma_Sales_Data[[#This Row],[M01AB]:[R06]])</f>
        <v>47.88</v>
      </c>
      <c r="N47" s="2">
        <f>Pharma_Sales_Data[[#This Row],[Total Drug Sales]]*150</f>
        <v>7182</v>
      </c>
      <c r="O47" s="2">
        <f>Pharma_Sales_Data[[#This Row],[Total Revenue]]*0.3</f>
        <v>2154.6</v>
      </c>
      <c r="P47" t="str">
        <f>IF(Pharma_Sales_Data[[#This Row],[Total Revenue]]&gt;20000,"High Value", IF(Pharma_Sales_Data[[#This Row],[Total Revenue]]&gt;=10000,"Medium Value","Low Value"))</f>
        <v>Low Value</v>
      </c>
    </row>
    <row r="48" spans="1:16" x14ac:dyDescent="0.35">
      <c r="A48" s="1">
        <v>41687</v>
      </c>
      <c r="B48">
        <v>7.34</v>
      </c>
      <c r="C48">
        <v>4</v>
      </c>
      <c r="D48">
        <v>12.7</v>
      </c>
      <c r="E48">
        <v>27</v>
      </c>
      <c r="F48">
        <v>13</v>
      </c>
      <c r="G48">
        <v>1</v>
      </c>
      <c r="H48">
        <v>7</v>
      </c>
      <c r="I48">
        <v>0</v>
      </c>
      <c r="J48">
        <v>2014</v>
      </c>
      <c r="K48">
        <v>2</v>
      </c>
      <c r="L48" t="s">
        <v>15</v>
      </c>
      <c r="M48">
        <f>SUM(Pharma_Sales_Data[[#This Row],[M01AB]:[R06]])</f>
        <v>72.039999999999992</v>
      </c>
      <c r="N48" s="2">
        <f>Pharma_Sales_Data[[#This Row],[Total Drug Sales]]*150</f>
        <v>10805.999999999998</v>
      </c>
      <c r="O48" s="2">
        <f>Pharma_Sales_Data[[#This Row],[Total Revenue]]*0.3</f>
        <v>3241.7999999999993</v>
      </c>
      <c r="P48" t="str">
        <f>IF(Pharma_Sales_Data[[#This Row],[Total Revenue]]&gt;20000,"High Value", IF(Pharma_Sales_Data[[#This Row],[Total Revenue]]&gt;=10000,"Medium Value","Low Value"))</f>
        <v>Medium Value</v>
      </c>
    </row>
    <row r="49" spans="1:16" x14ac:dyDescent="0.35">
      <c r="A49" s="1">
        <v>41688</v>
      </c>
      <c r="B49">
        <v>7.34</v>
      </c>
      <c r="C49">
        <v>7.36</v>
      </c>
      <c r="D49">
        <v>6.1</v>
      </c>
      <c r="E49">
        <v>45</v>
      </c>
      <c r="F49">
        <v>14</v>
      </c>
      <c r="G49">
        <v>0</v>
      </c>
      <c r="H49">
        <v>13</v>
      </c>
      <c r="I49">
        <v>5</v>
      </c>
      <c r="J49">
        <v>2014</v>
      </c>
      <c r="K49">
        <v>2</v>
      </c>
      <c r="L49" t="s">
        <v>16</v>
      </c>
      <c r="M49">
        <f>SUM(Pharma_Sales_Data[[#This Row],[M01AB]:[R06]])</f>
        <v>97.8</v>
      </c>
      <c r="N49" s="2">
        <f>Pharma_Sales_Data[[#This Row],[Total Drug Sales]]*150</f>
        <v>14670</v>
      </c>
      <c r="O49" s="2">
        <f>Pharma_Sales_Data[[#This Row],[Total Revenue]]*0.3</f>
        <v>4401</v>
      </c>
      <c r="P49" t="str">
        <f>IF(Pharma_Sales_Data[[#This Row],[Total Revenue]]&gt;20000,"High Value", IF(Pharma_Sales_Data[[#This Row],[Total Revenue]]&gt;=10000,"Medium Value","Low Value"))</f>
        <v>Medium Value</v>
      </c>
    </row>
    <row r="50" spans="1:16" x14ac:dyDescent="0.35">
      <c r="A50" s="1">
        <v>41689</v>
      </c>
      <c r="B50">
        <v>3.33</v>
      </c>
      <c r="C50">
        <v>5.0199999999999996</v>
      </c>
      <c r="D50">
        <v>5.5</v>
      </c>
      <c r="E50">
        <v>66.8</v>
      </c>
      <c r="F50">
        <v>17</v>
      </c>
      <c r="G50">
        <v>1</v>
      </c>
      <c r="H50">
        <v>6</v>
      </c>
      <c r="I50">
        <v>1</v>
      </c>
      <c r="J50">
        <v>2014</v>
      </c>
      <c r="K50">
        <v>2</v>
      </c>
      <c r="L50" t="s">
        <v>17</v>
      </c>
      <c r="M50">
        <f>SUM(Pharma_Sales_Data[[#This Row],[M01AB]:[R06]])</f>
        <v>105.64999999999999</v>
      </c>
      <c r="N50" s="2">
        <f>Pharma_Sales_Data[[#This Row],[Total Drug Sales]]*150</f>
        <v>15847.499999999998</v>
      </c>
      <c r="O50" s="2">
        <f>Pharma_Sales_Data[[#This Row],[Total Revenue]]*0.3</f>
        <v>4754.2499999999991</v>
      </c>
      <c r="P50" t="str">
        <f>IF(Pharma_Sales_Data[[#This Row],[Total Revenue]]&gt;20000,"High Value", IF(Pharma_Sales_Data[[#This Row],[Total Revenue]]&gt;=10000,"Medium Value","Low Value"))</f>
        <v>Medium Value</v>
      </c>
    </row>
    <row r="51" spans="1:16" x14ac:dyDescent="0.35">
      <c r="A51" s="1">
        <v>41690</v>
      </c>
      <c r="B51">
        <v>7</v>
      </c>
      <c r="C51">
        <v>7.02</v>
      </c>
      <c r="D51">
        <v>3.2</v>
      </c>
      <c r="E51">
        <v>21.5</v>
      </c>
      <c r="F51">
        <v>16</v>
      </c>
      <c r="G51">
        <v>3</v>
      </c>
      <c r="H51">
        <v>8</v>
      </c>
      <c r="I51">
        <v>1</v>
      </c>
      <c r="J51">
        <v>2014</v>
      </c>
      <c r="K51">
        <v>2</v>
      </c>
      <c r="L51" t="s">
        <v>11</v>
      </c>
      <c r="M51">
        <f>SUM(Pharma_Sales_Data[[#This Row],[M01AB]:[R06]])</f>
        <v>66.72</v>
      </c>
      <c r="N51" s="2">
        <f>Pharma_Sales_Data[[#This Row],[Total Drug Sales]]*150</f>
        <v>10008</v>
      </c>
      <c r="O51" s="2">
        <f>Pharma_Sales_Data[[#This Row],[Total Revenue]]*0.3</f>
        <v>3002.4</v>
      </c>
      <c r="P51" t="str">
        <f>IF(Pharma_Sales_Data[[#This Row],[Total Revenue]]&gt;20000,"High Value", IF(Pharma_Sales_Data[[#This Row],[Total Revenue]]&gt;=10000,"Medium Value","Low Value"))</f>
        <v>Medium Value</v>
      </c>
    </row>
    <row r="52" spans="1:16" x14ac:dyDescent="0.35">
      <c r="A52" s="1">
        <v>41691</v>
      </c>
      <c r="B52">
        <v>6</v>
      </c>
      <c r="C52">
        <v>4.34</v>
      </c>
      <c r="D52">
        <v>9</v>
      </c>
      <c r="E52">
        <v>25.4</v>
      </c>
      <c r="F52">
        <v>17</v>
      </c>
      <c r="G52">
        <v>0</v>
      </c>
      <c r="H52">
        <v>0</v>
      </c>
      <c r="I52">
        <v>0</v>
      </c>
      <c r="J52">
        <v>2014</v>
      </c>
      <c r="K52">
        <v>2</v>
      </c>
      <c r="L52" t="s">
        <v>12</v>
      </c>
      <c r="M52">
        <f>SUM(Pharma_Sales_Data[[#This Row],[M01AB]:[R06]])</f>
        <v>61.739999999999995</v>
      </c>
      <c r="N52" s="2">
        <f>Pharma_Sales_Data[[#This Row],[Total Drug Sales]]*150</f>
        <v>9261</v>
      </c>
      <c r="O52" s="2">
        <f>Pharma_Sales_Data[[#This Row],[Total Revenue]]*0.3</f>
        <v>2778.2999999999997</v>
      </c>
      <c r="P52" t="str">
        <f>IF(Pharma_Sales_Data[[#This Row],[Total Revenue]]&gt;20000,"High Value", IF(Pharma_Sales_Data[[#This Row],[Total Revenue]]&gt;=10000,"Medium Value","Low Value"))</f>
        <v>Low Value</v>
      </c>
    </row>
    <row r="53" spans="1:16" x14ac:dyDescent="0.35">
      <c r="A53" s="1">
        <v>41692</v>
      </c>
      <c r="B53">
        <v>7</v>
      </c>
      <c r="C53">
        <v>3.17</v>
      </c>
      <c r="D53">
        <v>5.7</v>
      </c>
      <c r="E53">
        <v>26</v>
      </c>
      <c r="F53">
        <v>12</v>
      </c>
      <c r="G53">
        <v>0</v>
      </c>
      <c r="H53">
        <v>1</v>
      </c>
      <c r="I53">
        <v>0</v>
      </c>
      <c r="J53">
        <v>2014</v>
      </c>
      <c r="K53">
        <v>2</v>
      </c>
      <c r="L53" t="s">
        <v>13</v>
      </c>
      <c r="M53">
        <f>SUM(Pharma_Sales_Data[[#This Row],[M01AB]:[R06]])</f>
        <v>54.870000000000005</v>
      </c>
      <c r="N53" s="2">
        <f>Pharma_Sales_Data[[#This Row],[Total Drug Sales]]*150</f>
        <v>8230.5</v>
      </c>
      <c r="O53" s="2">
        <f>Pharma_Sales_Data[[#This Row],[Total Revenue]]*0.3</f>
        <v>2469.15</v>
      </c>
      <c r="P53" t="str">
        <f>IF(Pharma_Sales_Data[[#This Row],[Total Revenue]]&gt;20000,"High Value", IF(Pharma_Sales_Data[[#This Row],[Total Revenue]]&gt;=10000,"Medium Value","Low Value"))</f>
        <v>Low Value</v>
      </c>
    </row>
    <row r="54" spans="1:16" x14ac:dyDescent="0.35">
      <c r="A54" s="1">
        <v>41693</v>
      </c>
      <c r="B54">
        <v>1</v>
      </c>
      <c r="C54">
        <v>3.34</v>
      </c>
      <c r="D54">
        <v>2</v>
      </c>
      <c r="E54">
        <v>21</v>
      </c>
      <c r="F54">
        <v>10</v>
      </c>
      <c r="G54">
        <v>0</v>
      </c>
      <c r="H54">
        <v>0</v>
      </c>
      <c r="I54">
        <v>0</v>
      </c>
      <c r="J54">
        <v>2014</v>
      </c>
      <c r="K54">
        <v>2</v>
      </c>
      <c r="L54" t="s">
        <v>14</v>
      </c>
      <c r="M54">
        <f>SUM(Pharma_Sales_Data[[#This Row],[M01AB]:[R06]])</f>
        <v>37.340000000000003</v>
      </c>
      <c r="N54" s="2">
        <f>Pharma_Sales_Data[[#This Row],[Total Drug Sales]]*150</f>
        <v>5601.0000000000009</v>
      </c>
      <c r="O54" s="2">
        <f>Pharma_Sales_Data[[#This Row],[Total Revenue]]*0.3</f>
        <v>1680.3000000000002</v>
      </c>
      <c r="P54" t="str">
        <f>IF(Pharma_Sales_Data[[#This Row],[Total Revenue]]&gt;20000,"High Value", IF(Pharma_Sales_Data[[#This Row],[Total Revenue]]&gt;=10000,"Medium Value","Low Value"))</f>
        <v>Low Value</v>
      </c>
    </row>
    <row r="55" spans="1:16" x14ac:dyDescent="0.35">
      <c r="A55" s="1">
        <v>41694</v>
      </c>
      <c r="B55">
        <v>7</v>
      </c>
      <c r="C55">
        <v>4.68</v>
      </c>
      <c r="D55">
        <v>5.5</v>
      </c>
      <c r="E55">
        <v>26.5</v>
      </c>
      <c r="F55">
        <v>4</v>
      </c>
      <c r="G55">
        <v>0</v>
      </c>
      <c r="H55">
        <v>0</v>
      </c>
      <c r="I55">
        <v>3</v>
      </c>
      <c r="J55">
        <v>2014</v>
      </c>
      <c r="K55">
        <v>2</v>
      </c>
      <c r="L55" t="s">
        <v>15</v>
      </c>
      <c r="M55">
        <f>SUM(Pharma_Sales_Data[[#This Row],[M01AB]:[R06]])</f>
        <v>50.68</v>
      </c>
      <c r="N55" s="2">
        <f>Pharma_Sales_Data[[#This Row],[Total Drug Sales]]*150</f>
        <v>7602</v>
      </c>
      <c r="O55" s="2">
        <f>Pharma_Sales_Data[[#This Row],[Total Revenue]]*0.3</f>
        <v>2280.6</v>
      </c>
      <c r="P55" t="str">
        <f>IF(Pharma_Sales_Data[[#This Row],[Total Revenue]]&gt;20000,"High Value", IF(Pharma_Sales_Data[[#This Row],[Total Revenue]]&gt;=10000,"Medium Value","Low Value"))</f>
        <v>Low Value</v>
      </c>
    </row>
    <row r="56" spans="1:16" x14ac:dyDescent="0.35">
      <c r="A56" s="1">
        <v>41695</v>
      </c>
      <c r="B56">
        <v>5</v>
      </c>
      <c r="C56">
        <v>1.68</v>
      </c>
      <c r="D56">
        <v>11.2</v>
      </c>
      <c r="E56">
        <v>34.5</v>
      </c>
      <c r="F56">
        <v>13</v>
      </c>
      <c r="G56">
        <v>0</v>
      </c>
      <c r="H56">
        <v>0</v>
      </c>
      <c r="I56">
        <v>2</v>
      </c>
      <c r="J56">
        <v>2014</v>
      </c>
      <c r="K56">
        <v>2</v>
      </c>
      <c r="L56" t="s">
        <v>16</v>
      </c>
      <c r="M56">
        <f>SUM(Pharma_Sales_Data[[#This Row],[M01AB]:[R06]])</f>
        <v>67.38</v>
      </c>
      <c r="N56" s="2">
        <f>Pharma_Sales_Data[[#This Row],[Total Drug Sales]]*150</f>
        <v>10107</v>
      </c>
      <c r="O56" s="2">
        <f>Pharma_Sales_Data[[#This Row],[Total Revenue]]*0.3</f>
        <v>3032.1</v>
      </c>
      <c r="P56" t="str">
        <f>IF(Pharma_Sales_Data[[#This Row],[Total Revenue]]&gt;20000,"High Value", IF(Pharma_Sales_Data[[#This Row],[Total Revenue]]&gt;=10000,"Medium Value","Low Value"))</f>
        <v>Medium Value</v>
      </c>
    </row>
    <row r="57" spans="1:16" x14ac:dyDescent="0.35">
      <c r="A57" s="1">
        <v>41696</v>
      </c>
      <c r="B57">
        <v>5</v>
      </c>
      <c r="C57">
        <v>4.01</v>
      </c>
      <c r="D57">
        <v>1</v>
      </c>
      <c r="E57">
        <v>34</v>
      </c>
      <c r="F57">
        <v>5</v>
      </c>
      <c r="G57">
        <v>0</v>
      </c>
      <c r="H57">
        <v>12</v>
      </c>
      <c r="I57">
        <v>1</v>
      </c>
      <c r="J57">
        <v>2014</v>
      </c>
      <c r="K57">
        <v>2</v>
      </c>
      <c r="L57" t="s">
        <v>17</v>
      </c>
      <c r="M57">
        <f>SUM(Pharma_Sales_Data[[#This Row],[M01AB]:[R06]])</f>
        <v>62.01</v>
      </c>
      <c r="N57" s="2">
        <f>Pharma_Sales_Data[[#This Row],[Total Drug Sales]]*150</f>
        <v>9301.5</v>
      </c>
      <c r="O57" s="2">
        <f>Pharma_Sales_Data[[#This Row],[Total Revenue]]*0.3</f>
        <v>2790.45</v>
      </c>
      <c r="P57" t="str">
        <f>IF(Pharma_Sales_Data[[#This Row],[Total Revenue]]&gt;20000,"High Value", IF(Pharma_Sales_Data[[#This Row],[Total Revenue]]&gt;=10000,"Medium Value","Low Value"))</f>
        <v>Low Value</v>
      </c>
    </row>
    <row r="58" spans="1:16" x14ac:dyDescent="0.35">
      <c r="A58" s="1">
        <v>41697</v>
      </c>
      <c r="B58">
        <v>3</v>
      </c>
      <c r="C58">
        <v>6.34</v>
      </c>
      <c r="D58">
        <v>4</v>
      </c>
      <c r="E58">
        <v>33.200000000000003</v>
      </c>
      <c r="F58">
        <v>8</v>
      </c>
      <c r="G58">
        <v>1</v>
      </c>
      <c r="H58">
        <v>2</v>
      </c>
      <c r="I58">
        <v>1</v>
      </c>
      <c r="J58">
        <v>2014</v>
      </c>
      <c r="K58">
        <v>2</v>
      </c>
      <c r="L58" t="s">
        <v>11</v>
      </c>
      <c r="M58">
        <f>SUM(Pharma_Sales_Data[[#This Row],[M01AB]:[R06]])</f>
        <v>58.540000000000006</v>
      </c>
      <c r="N58" s="2">
        <f>Pharma_Sales_Data[[#This Row],[Total Drug Sales]]*150</f>
        <v>8781.0000000000018</v>
      </c>
      <c r="O58" s="2">
        <f>Pharma_Sales_Data[[#This Row],[Total Revenue]]*0.3</f>
        <v>2634.3000000000006</v>
      </c>
      <c r="P58" t="str">
        <f>IF(Pharma_Sales_Data[[#This Row],[Total Revenue]]&gt;20000,"High Value", IF(Pharma_Sales_Data[[#This Row],[Total Revenue]]&gt;=10000,"Medium Value","Low Value"))</f>
        <v>Low Value</v>
      </c>
    </row>
    <row r="59" spans="1:16" x14ac:dyDescent="0.35">
      <c r="A59" s="1">
        <v>41698</v>
      </c>
      <c r="B59">
        <v>7</v>
      </c>
      <c r="C59">
        <v>7.36</v>
      </c>
      <c r="D59">
        <v>5.3</v>
      </c>
      <c r="E59">
        <v>37</v>
      </c>
      <c r="F59">
        <v>12</v>
      </c>
      <c r="G59">
        <v>1</v>
      </c>
      <c r="H59">
        <v>2</v>
      </c>
      <c r="I59">
        <v>0</v>
      </c>
      <c r="J59">
        <v>2014</v>
      </c>
      <c r="K59">
        <v>2</v>
      </c>
      <c r="L59" t="s">
        <v>12</v>
      </c>
      <c r="M59">
        <f>SUM(Pharma_Sales_Data[[#This Row],[M01AB]:[R06]])</f>
        <v>71.66</v>
      </c>
      <c r="N59" s="2">
        <f>Pharma_Sales_Data[[#This Row],[Total Drug Sales]]*150</f>
        <v>10749</v>
      </c>
      <c r="O59" s="2">
        <f>Pharma_Sales_Data[[#This Row],[Total Revenue]]*0.3</f>
        <v>3224.7</v>
      </c>
      <c r="P59" t="str">
        <f>IF(Pharma_Sales_Data[[#This Row],[Total Revenue]]&gt;20000,"High Value", IF(Pharma_Sales_Data[[#This Row],[Total Revenue]]&gt;=10000,"Medium Value","Low Value"))</f>
        <v>Medium Value</v>
      </c>
    </row>
    <row r="60" spans="1:16" x14ac:dyDescent="0.35">
      <c r="A60" s="1">
        <v>41699</v>
      </c>
      <c r="B60">
        <v>6.34</v>
      </c>
      <c r="C60">
        <v>3.68</v>
      </c>
      <c r="D60">
        <v>11.355</v>
      </c>
      <c r="E60">
        <v>50.7</v>
      </c>
      <c r="F60">
        <v>8</v>
      </c>
      <c r="G60">
        <v>0</v>
      </c>
      <c r="H60">
        <v>0</v>
      </c>
      <c r="I60">
        <v>2.1</v>
      </c>
      <c r="J60">
        <v>2014</v>
      </c>
      <c r="K60">
        <v>3</v>
      </c>
      <c r="L60" t="s">
        <v>13</v>
      </c>
      <c r="M60">
        <f>SUM(Pharma_Sales_Data[[#This Row],[M01AB]:[R06]])</f>
        <v>82.174999999999997</v>
      </c>
      <c r="N60" s="2">
        <f>Pharma_Sales_Data[[#This Row],[Total Drug Sales]]*150</f>
        <v>12326.25</v>
      </c>
      <c r="O60" s="2">
        <f>Pharma_Sales_Data[[#This Row],[Total Revenue]]*0.3</f>
        <v>3697.875</v>
      </c>
      <c r="P60" t="str">
        <f>IF(Pharma_Sales_Data[[#This Row],[Total Revenue]]&gt;20000,"High Value", IF(Pharma_Sales_Data[[#This Row],[Total Revenue]]&gt;=10000,"Medium Value","Low Value"))</f>
        <v>Medium Value</v>
      </c>
    </row>
    <row r="61" spans="1:16" x14ac:dyDescent="0.35">
      <c r="A61" s="1">
        <v>41700</v>
      </c>
      <c r="B61">
        <v>3.34</v>
      </c>
      <c r="C61">
        <v>1</v>
      </c>
      <c r="D61">
        <v>2</v>
      </c>
      <c r="E61">
        <v>6.6</v>
      </c>
      <c r="F61">
        <v>2</v>
      </c>
      <c r="G61">
        <v>0</v>
      </c>
      <c r="H61">
        <v>0</v>
      </c>
      <c r="I61">
        <v>1</v>
      </c>
      <c r="J61">
        <v>2014</v>
      </c>
      <c r="K61">
        <v>3</v>
      </c>
      <c r="L61" t="s">
        <v>14</v>
      </c>
      <c r="M61">
        <f>SUM(Pharma_Sales_Data[[#This Row],[M01AB]:[R06]])</f>
        <v>15.94</v>
      </c>
      <c r="N61" s="2">
        <f>Pharma_Sales_Data[[#This Row],[Total Drug Sales]]*150</f>
        <v>2391</v>
      </c>
      <c r="O61" s="2">
        <f>Pharma_Sales_Data[[#This Row],[Total Revenue]]*0.3</f>
        <v>717.3</v>
      </c>
      <c r="P61" t="str">
        <f>IF(Pharma_Sales_Data[[#This Row],[Total Revenue]]&gt;20000,"High Value", IF(Pharma_Sales_Data[[#This Row],[Total Revenue]]&gt;=10000,"Medium Value","Low Value"))</f>
        <v>Low Value</v>
      </c>
    </row>
    <row r="62" spans="1:16" x14ac:dyDescent="0.35">
      <c r="A62" s="1">
        <v>41701</v>
      </c>
      <c r="B62">
        <v>4</v>
      </c>
      <c r="C62">
        <v>3.68</v>
      </c>
      <c r="D62">
        <v>1.6</v>
      </c>
      <c r="E62">
        <v>22.1</v>
      </c>
      <c r="F62">
        <v>1</v>
      </c>
      <c r="G62">
        <v>2</v>
      </c>
      <c r="H62">
        <v>0</v>
      </c>
      <c r="I62">
        <v>2.2000000000000002</v>
      </c>
      <c r="J62">
        <v>2014</v>
      </c>
      <c r="K62">
        <v>3</v>
      </c>
      <c r="L62" t="s">
        <v>15</v>
      </c>
      <c r="M62">
        <f>SUM(Pharma_Sales_Data[[#This Row],[M01AB]:[R06]])</f>
        <v>36.580000000000005</v>
      </c>
      <c r="N62" s="2">
        <f>Pharma_Sales_Data[[#This Row],[Total Drug Sales]]*150</f>
        <v>5487.0000000000009</v>
      </c>
      <c r="O62" s="2">
        <f>Pharma_Sales_Data[[#This Row],[Total Revenue]]*0.3</f>
        <v>1646.1000000000001</v>
      </c>
      <c r="P62" t="str">
        <f>IF(Pharma_Sales_Data[[#This Row],[Total Revenue]]&gt;20000,"High Value", IF(Pharma_Sales_Data[[#This Row],[Total Revenue]]&gt;=10000,"Medium Value","Low Value"))</f>
        <v>Low Value</v>
      </c>
    </row>
    <row r="63" spans="1:16" x14ac:dyDescent="0.35">
      <c r="A63" s="1">
        <v>41702</v>
      </c>
      <c r="B63">
        <v>5.34</v>
      </c>
      <c r="C63">
        <v>7.02</v>
      </c>
      <c r="D63">
        <v>7.2</v>
      </c>
      <c r="E63">
        <v>47.274999999999999</v>
      </c>
      <c r="F63">
        <v>9</v>
      </c>
      <c r="G63">
        <v>0</v>
      </c>
      <c r="H63">
        <v>5</v>
      </c>
      <c r="I63">
        <v>4</v>
      </c>
      <c r="J63">
        <v>2014</v>
      </c>
      <c r="K63">
        <v>3</v>
      </c>
      <c r="L63" t="s">
        <v>16</v>
      </c>
      <c r="M63">
        <f>SUM(Pharma_Sales_Data[[#This Row],[M01AB]:[R06]])</f>
        <v>84.834999999999994</v>
      </c>
      <c r="N63" s="2">
        <f>Pharma_Sales_Data[[#This Row],[Total Drug Sales]]*150</f>
        <v>12725.249999999998</v>
      </c>
      <c r="O63" s="2">
        <f>Pharma_Sales_Data[[#This Row],[Total Revenue]]*0.3</f>
        <v>3817.5749999999994</v>
      </c>
      <c r="P63" t="str">
        <f>IF(Pharma_Sales_Data[[#This Row],[Total Revenue]]&gt;20000,"High Value", IF(Pharma_Sales_Data[[#This Row],[Total Revenue]]&gt;=10000,"Medium Value","Low Value"))</f>
        <v>Medium Value</v>
      </c>
    </row>
    <row r="64" spans="1:16" x14ac:dyDescent="0.35">
      <c r="A64" s="1">
        <v>41703</v>
      </c>
      <c r="B64">
        <v>3.34</v>
      </c>
      <c r="C64">
        <v>1</v>
      </c>
      <c r="D64">
        <v>3</v>
      </c>
      <c r="E64">
        <v>25</v>
      </c>
      <c r="F64">
        <v>4</v>
      </c>
      <c r="G64">
        <v>0</v>
      </c>
      <c r="H64">
        <v>1</v>
      </c>
      <c r="I64">
        <v>0</v>
      </c>
      <c r="J64">
        <v>2014</v>
      </c>
      <c r="K64">
        <v>3</v>
      </c>
      <c r="L64" t="s">
        <v>17</v>
      </c>
      <c r="M64">
        <f>SUM(Pharma_Sales_Data[[#This Row],[M01AB]:[R06]])</f>
        <v>37.340000000000003</v>
      </c>
      <c r="N64" s="2">
        <f>Pharma_Sales_Data[[#This Row],[Total Drug Sales]]*150</f>
        <v>5601.0000000000009</v>
      </c>
      <c r="O64" s="2">
        <f>Pharma_Sales_Data[[#This Row],[Total Revenue]]*0.3</f>
        <v>1680.3000000000002</v>
      </c>
      <c r="P64" t="str">
        <f>IF(Pharma_Sales_Data[[#This Row],[Total Revenue]]&gt;20000,"High Value", IF(Pharma_Sales_Data[[#This Row],[Total Revenue]]&gt;=10000,"Medium Value","Low Value"))</f>
        <v>Low Value</v>
      </c>
    </row>
    <row r="65" spans="1:16" x14ac:dyDescent="0.35">
      <c r="A65" s="1">
        <v>41704</v>
      </c>
      <c r="B65">
        <v>3</v>
      </c>
      <c r="C65">
        <v>2</v>
      </c>
      <c r="D65">
        <v>5.5</v>
      </c>
      <c r="E65">
        <v>44.1</v>
      </c>
      <c r="F65">
        <v>17</v>
      </c>
      <c r="G65">
        <v>1</v>
      </c>
      <c r="H65">
        <v>5</v>
      </c>
      <c r="I65">
        <v>1</v>
      </c>
      <c r="J65">
        <v>2014</v>
      </c>
      <c r="K65">
        <v>3</v>
      </c>
      <c r="L65" t="s">
        <v>11</v>
      </c>
      <c r="M65">
        <f>SUM(Pharma_Sales_Data[[#This Row],[M01AB]:[R06]])</f>
        <v>78.599999999999994</v>
      </c>
      <c r="N65" s="2">
        <f>Pharma_Sales_Data[[#This Row],[Total Drug Sales]]*150</f>
        <v>11790</v>
      </c>
      <c r="O65" s="2">
        <f>Pharma_Sales_Data[[#This Row],[Total Revenue]]*0.3</f>
        <v>3537</v>
      </c>
      <c r="P65" t="str">
        <f>IF(Pharma_Sales_Data[[#This Row],[Total Revenue]]&gt;20000,"High Value", IF(Pharma_Sales_Data[[#This Row],[Total Revenue]]&gt;=10000,"Medium Value","Low Value"))</f>
        <v>Medium Value</v>
      </c>
    </row>
    <row r="66" spans="1:16" x14ac:dyDescent="0.35">
      <c r="A66" s="1">
        <v>41705</v>
      </c>
      <c r="B66">
        <v>4</v>
      </c>
      <c r="C66">
        <v>4.34</v>
      </c>
      <c r="D66">
        <v>9.5</v>
      </c>
      <c r="E66">
        <v>25</v>
      </c>
      <c r="F66">
        <v>3</v>
      </c>
      <c r="G66">
        <v>1</v>
      </c>
      <c r="H66">
        <v>0</v>
      </c>
      <c r="I66">
        <v>2</v>
      </c>
      <c r="J66">
        <v>2014</v>
      </c>
      <c r="K66">
        <v>3</v>
      </c>
      <c r="L66" t="s">
        <v>12</v>
      </c>
      <c r="M66">
        <f>SUM(Pharma_Sales_Data[[#This Row],[M01AB]:[R06]])</f>
        <v>48.84</v>
      </c>
      <c r="N66" s="2">
        <f>Pharma_Sales_Data[[#This Row],[Total Drug Sales]]*150</f>
        <v>7326.0000000000009</v>
      </c>
      <c r="O66" s="2">
        <f>Pharma_Sales_Data[[#This Row],[Total Revenue]]*0.3</f>
        <v>2197.8000000000002</v>
      </c>
      <c r="P66" t="str">
        <f>IF(Pharma_Sales_Data[[#This Row],[Total Revenue]]&gt;20000,"High Value", IF(Pharma_Sales_Data[[#This Row],[Total Revenue]]&gt;=10000,"Medium Value","Low Value"))</f>
        <v>Low Value</v>
      </c>
    </row>
    <row r="67" spans="1:16" x14ac:dyDescent="0.35">
      <c r="A67" s="1">
        <v>41706</v>
      </c>
      <c r="B67">
        <v>4.34</v>
      </c>
      <c r="C67">
        <v>3.07</v>
      </c>
      <c r="D67">
        <v>1</v>
      </c>
      <c r="E67">
        <v>27.6</v>
      </c>
      <c r="F67">
        <v>11</v>
      </c>
      <c r="G67">
        <v>0</v>
      </c>
      <c r="H67">
        <v>0</v>
      </c>
      <c r="I67">
        <v>0</v>
      </c>
      <c r="J67">
        <v>2014</v>
      </c>
      <c r="K67">
        <v>3</v>
      </c>
      <c r="L67" t="s">
        <v>13</v>
      </c>
      <c r="M67">
        <f>SUM(Pharma_Sales_Data[[#This Row],[M01AB]:[R06]])</f>
        <v>47.010000000000005</v>
      </c>
      <c r="N67" s="2">
        <f>Pharma_Sales_Data[[#This Row],[Total Drug Sales]]*150</f>
        <v>7051.5000000000009</v>
      </c>
      <c r="O67" s="2">
        <f>Pharma_Sales_Data[[#This Row],[Total Revenue]]*0.3</f>
        <v>2115.4500000000003</v>
      </c>
      <c r="P67" t="str">
        <f>IF(Pharma_Sales_Data[[#This Row],[Total Revenue]]&gt;20000,"High Value", IF(Pharma_Sales_Data[[#This Row],[Total Revenue]]&gt;=10000,"Medium Value","Low Value"))</f>
        <v>Low Value</v>
      </c>
    </row>
    <row r="68" spans="1:16" x14ac:dyDescent="0.35">
      <c r="A68" s="1">
        <v>41707</v>
      </c>
      <c r="B68">
        <v>1</v>
      </c>
      <c r="C68">
        <v>0</v>
      </c>
      <c r="D68">
        <v>4</v>
      </c>
      <c r="E68">
        <v>11.3</v>
      </c>
      <c r="F68">
        <v>3</v>
      </c>
      <c r="G68">
        <v>0</v>
      </c>
      <c r="H68">
        <v>5</v>
      </c>
      <c r="I68">
        <v>0</v>
      </c>
      <c r="J68">
        <v>2014</v>
      </c>
      <c r="K68">
        <v>3</v>
      </c>
      <c r="L68" t="s">
        <v>14</v>
      </c>
      <c r="M68">
        <f>SUM(Pharma_Sales_Data[[#This Row],[M01AB]:[R06]])</f>
        <v>24.3</v>
      </c>
      <c r="N68" s="2">
        <f>Pharma_Sales_Data[[#This Row],[Total Drug Sales]]*150</f>
        <v>3645</v>
      </c>
      <c r="O68" s="2">
        <f>Pharma_Sales_Data[[#This Row],[Total Revenue]]*0.3</f>
        <v>1093.5</v>
      </c>
      <c r="P68" t="str">
        <f>IF(Pharma_Sales_Data[[#This Row],[Total Revenue]]&gt;20000,"High Value", IF(Pharma_Sales_Data[[#This Row],[Total Revenue]]&gt;=10000,"Medium Value","Low Value"))</f>
        <v>Low Value</v>
      </c>
    </row>
    <row r="69" spans="1:16" x14ac:dyDescent="0.35">
      <c r="A69" s="1">
        <v>41708</v>
      </c>
      <c r="B69">
        <v>6.68</v>
      </c>
      <c r="C69">
        <v>5.35</v>
      </c>
      <c r="D69">
        <v>3.8</v>
      </c>
      <c r="E69">
        <v>47</v>
      </c>
      <c r="F69">
        <v>11</v>
      </c>
      <c r="G69">
        <v>0</v>
      </c>
      <c r="H69">
        <v>0</v>
      </c>
      <c r="I69">
        <v>2</v>
      </c>
      <c r="J69">
        <v>2014</v>
      </c>
      <c r="K69">
        <v>3</v>
      </c>
      <c r="L69" t="s">
        <v>15</v>
      </c>
      <c r="M69">
        <f>SUM(Pharma_Sales_Data[[#This Row],[M01AB]:[R06]])</f>
        <v>75.83</v>
      </c>
      <c r="N69" s="2">
        <f>Pharma_Sales_Data[[#This Row],[Total Drug Sales]]*150</f>
        <v>11374.5</v>
      </c>
      <c r="O69" s="2">
        <f>Pharma_Sales_Data[[#This Row],[Total Revenue]]*0.3</f>
        <v>3412.35</v>
      </c>
      <c r="P69" t="str">
        <f>IF(Pharma_Sales_Data[[#This Row],[Total Revenue]]&gt;20000,"High Value", IF(Pharma_Sales_Data[[#This Row],[Total Revenue]]&gt;=10000,"Medium Value","Low Value"))</f>
        <v>Medium Value</v>
      </c>
    </row>
    <row r="70" spans="1:16" x14ac:dyDescent="0.35">
      <c r="A70" s="1">
        <v>41709</v>
      </c>
      <c r="B70">
        <v>6</v>
      </c>
      <c r="C70">
        <v>5.7</v>
      </c>
      <c r="D70">
        <v>7</v>
      </c>
      <c r="E70">
        <v>30.4</v>
      </c>
      <c r="F70">
        <v>12</v>
      </c>
      <c r="G70">
        <v>1</v>
      </c>
      <c r="H70">
        <v>1</v>
      </c>
      <c r="I70">
        <v>5</v>
      </c>
      <c r="J70">
        <v>2014</v>
      </c>
      <c r="K70">
        <v>3</v>
      </c>
      <c r="L70" t="s">
        <v>16</v>
      </c>
      <c r="M70">
        <f>SUM(Pharma_Sales_Data[[#This Row],[M01AB]:[R06]])</f>
        <v>68.099999999999994</v>
      </c>
      <c r="N70" s="2">
        <f>Pharma_Sales_Data[[#This Row],[Total Drug Sales]]*150</f>
        <v>10215</v>
      </c>
      <c r="O70" s="2">
        <f>Pharma_Sales_Data[[#This Row],[Total Revenue]]*0.3</f>
        <v>3064.5</v>
      </c>
      <c r="P70" t="str">
        <f>IF(Pharma_Sales_Data[[#This Row],[Total Revenue]]&gt;20000,"High Value", IF(Pharma_Sales_Data[[#This Row],[Total Revenue]]&gt;=10000,"Medium Value","Low Value"))</f>
        <v>Medium Value</v>
      </c>
    </row>
    <row r="71" spans="1:16" x14ac:dyDescent="0.35">
      <c r="A71" s="1">
        <v>41710</v>
      </c>
      <c r="B71">
        <v>6.34</v>
      </c>
      <c r="C71">
        <v>2.68</v>
      </c>
      <c r="D71">
        <v>6.5</v>
      </c>
      <c r="E71">
        <v>19.600000000000001</v>
      </c>
      <c r="F71">
        <v>22</v>
      </c>
      <c r="G71">
        <v>3</v>
      </c>
      <c r="H71">
        <v>2</v>
      </c>
      <c r="I71">
        <v>2</v>
      </c>
      <c r="J71">
        <v>2014</v>
      </c>
      <c r="K71">
        <v>3</v>
      </c>
      <c r="L71" t="s">
        <v>17</v>
      </c>
      <c r="M71">
        <f>SUM(Pharma_Sales_Data[[#This Row],[M01AB]:[R06]])</f>
        <v>64.12</v>
      </c>
      <c r="N71" s="2">
        <f>Pharma_Sales_Data[[#This Row],[Total Drug Sales]]*150</f>
        <v>9618</v>
      </c>
      <c r="O71" s="2">
        <f>Pharma_Sales_Data[[#This Row],[Total Revenue]]*0.3</f>
        <v>2885.4</v>
      </c>
      <c r="P71" t="str">
        <f>IF(Pharma_Sales_Data[[#This Row],[Total Revenue]]&gt;20000,"High Value", IF(Pharma_Sales_Data[[#This Row],[Total Revenue]]&gt;=10000,"Medium Value","Low Value"))</f>
        <v>Low Value</v>
      </c>
    </row>
    <row r="72" spans="1:16" x14ac:dyDescent="0.35">
      <c r="A72" s="1">
        <v>41711</v>
      </c>
      <c r="B72">
        <v>2.31</v>
      </c>
      <c r="C72">
        <v>4.3600000000000003</v>
      </c>
      <c r="D72">
        <v>5.3</v>
      </c>
      <c r="E72">
        <v>15.5</v>
      </c>
      <c r="F72">
        <v>10</v>
      </c>
      <c r="G72">
        <v>0</v>
      </c>
      <c r="H72">
        <v>26</v>
      </c>
      <c r="I72">
        <v>2</v>
      </c>
      <c r="J72">
        <v>2014</v>
      </c>
      <c r="K72">
        <v>3</v>
      </c>
      <c r="L72" t="s">
        <v>11</v>
      </c>
      <c r="M72">
        <f>SUM(Pharma_Sales_Data[[#This Row],[M01AB]:[R06]])</f>
        <v>65.47</v>
      </c>
      <c r="N72" s="2">
        <f>Pharma_Sales_Data[[#This Row],[Total Drug Sales]]*150</f>
        <v>9820.5</v>
      </c>
      <c r="O72" s="2">
        <f>Pharma_Sales_Data[[#This Row],[Total Revenue]]*0.3</f>
        <v>2946.15</v>
      </c>
      <c r="P72" t="str">
        <f>IF(Pharma_Sales_Data[[#This Row],[Total Revenue]]&gt;20000,"High Value", IF(Pharma_Sales_Data[[#This Row],[Total Revenue]]&gt;=10000,"Medium Value","Low Value"))</f>
        <v>Low Value</v>
      </c>
    </row>
    <row r="73" spans="1:16" x14ac:dyDescent="0.35">
      <c r="A73" s="1">
        <v>41712</v>
      </c>
      <c r="B73">
        <v>4.34</v>
      </c>
      <c r="C73">
        <v>1.68</v>
      </c>
      <c r="D73">
        <v>1.2</v>
      </c>
      <c r="E73">
        <v>16</v>
      </c>
      <c r="F73">
        <v>11</v>
      </c>
      <c r="G73">
        <v>0</v>
      </c>
      <c r="H73">
        <v>1</v>
      </c>
      <c r="I73">
        <v>2</v>
      </c>
      <c r="J73">
        <v>2014</v>
      </c>
      <c r="K73">
        <v>3</v>
      </c>
      <c r="L73" t="s">
        <v>12</v>
      </c>
      <c r="M73">
        <f>SUM(Pharma_Sales_Data[[#This Row],[M01AB]:[R06]])</f>
        <v>37.22</v>
      </c>
      <c r="N73" s="2">
        <f>Pharma_Sales_Data[[#This Row],[Total Drug Sales]]*150</f>
        <v>5583</v>
      </c>
      <c r="O73" s="2">
        <f>Pharma_Sales_Data[[#This Row],[Total Revenue]]*0.3</f>
        <v>1674.8999999999999</v>
      </c>
      <c r="P73" t="str">
        <f>IF(Pharma_Sales_Data[[#This Row],[Total Revenue]]&gt;20000,"High Value", IF(Pharma_Sales_Data[[#This Row],[Total Revenue]]&gt;=10000,"Medium Value","Low Value"))</f>
        <v>Low Value</v>
      </c>
    </row>
    <row r="74" spans="1:16" x14ac:dyDescent="0.35">
      <c r="A74" s="1">
        <v>41713</v>
      </c>
      <c r="B74">
        <v>4</v>
      </c>
      <c r="C74">
        <v>2</v>
      </c>
      <c r="D74">
        <v>11</v>
      </c>
      <c r="E74">
        <v>23.3</v>
      </c>
      <c r="F74">
        <v>18</v>
      </c>
      <c r="G74">
        <v>1</v>
      </c>
      <c r="H74">
        <v>6</v>
      </c>
      <c r="I74">
        <v>2</v>
      </c>
      <c r="J74">
        <v>2014</v>
      </c>
      <c r="K74">
        <v>3</v>
      </c>
      <c r="L74" t="s">
        <v>13</v>
      </c>
      <c r="M74">
        <f>SUM(Pharma_Sales_Data[[#This Row],[M01AB]:[R06]])</f>
        <v>67.3</v>
      </c>
      <c r="N74" s="2">
        <f>Pharma_Sales_Data[[#This Row],[Total Drug Sales]]*150</f>
        <v>10095</v>
      </c>
      <c r="O74" s="2">
        <f>Pharma_Sales_Data[[#This Row],[Total Revenue]]*0.3</f>
        <v>3028.5</v>
      </c>
      <c r="P74" t="str">
        <f>IF(Pharma_Sales_Data[[#This Row],[Total Revenue]]&gt;20000,"High Value", IF(Pharma_Sales_Data[[#This Row],[Total Revenue]]&gt;=10000,"Medium Value","Low Value"))</f>
        <v>Medium Value</v>
      </c>
    </row>
    <row r="75" spans="1:16" x14ac:dyDescent="0.35">
      <c r="A75" s="1">
        <v>41714</v>
      </c>
      <c r="B75">
        <v>2.68</v>
      </c>
      <c r="C75">
        <v>2</v>
      </c>
      <c r="D75">
        <v>1.4</v>
      </c>
      <c r="E75">
        <v>13</v>
      </c>
      <c r="F75">
        <v>6</v>
      </c>
      <c r="G75">
        <v>0</v>
      </c>
      <c r="H75">
        <v>0</v>
      </c>
      <c r="I75">
        <v>4</v>
      </c>
      <c r="J75">
        <v>2014</v>
      </c>
      <c r="K75">
        <v>3</v>
      </c>
      <c r="L75" t="s">
        <v>14</v>
      </c>
      <c r="M75">
        <f>SUM(Pharma_Sales_Data[[#This Row],[M01AB]:[R06]])</f>
        <v>29.08</v>
      </c>
      <c r="N75" s="2">
        <f>Pharma_Sales_Data[[#This Row],[Total Drug Sales]]*150</f>
        <v>4362</v>
      </c>
      <c r="O75" s="2">
        <f>Pharma_Sales_Data[[#This Row],[Total Revenue]]*0.3</f>
        <v>1308.5999999999999</v>
      </c>
      <c r="P75" t="str">
        <f>IF(Pharma_Sales_Data[[#This Row],[Total Revenue]]&gt;20000,"High Value", IF(Pharma_Sales_Data[[#This Row],[Total Revenue]]&gt;=10000,"Medium Value","Low Value"))</f>
        <v>Low Value</v>
      </c>
    </row>
    <row r="76" spans="1:16" x14ac:dyDescent="0.35">
      <c r="A76" s="1">
        <v>41715</v>
      </c>
      <c r="B76">
        <v>8.68</v>
      </c>
      <c r="C76">
        <v>3.34</v>
      </c>
      <c r="D76">
        <v>7</v>
      </c>
      <c r="E76">
        <v>37</v>
      </c>
      <c r="F76">
        <v>6</v>
      </c>
      <c r="G76">
        <v>1</v>
      </c>
      <c r="H76">
        <v>0</v>
      </c>
      <c r="I76">
        <v>1</v>
      </c>
      <c r="J76">
        <v>2014</v>
      </c>
      <c r="K76">
        <v>3</v>
      </c>
      <c r="L76" t="s">
        <v>15</v>
      </c>
      <c r="M76">
        <f>SUM(Pharma_Sales_Data[[#This Row],[M01AB]:[R06]])</f>
        <v>64.02</v>
      </c>
      <c r="N76" s="2">
        <f>Pharma_Sales_Data[[#This Row],[Total Drug Sales]]*150</f>
        <v>9603</v>
      </c>
      <c r="O76" s="2">
        <f>Pharma_Sales_Data[[#This Row],[Total Revenue]]*0.3</f>
        <v>2880.9</v>
      </c>
      <c r="P76" t="str">
        <f>IF(Pharma_Sales_Data[[#This Row],[Total Revenue]]&gt;20000,"High Value", IF(Pharma_Sales_Data[[#This Row],[Total Revenue]]&gt;=10000,"Medium Value","Low Value"))</f>
        <v>Low Value</v>
      </c>
    </row>
    <row r="77" spans="1:16" x14ac:dyDescent="0.35">
      <c r="A77" s="1">
        <v>41716</v>
      </c>
      <c r="B77">
        <v>8</v>
      </c>
      <c r="C77">
        <v>4</v>
      </c>
      <c r="D77">
        <v>5</v>
      </c>
      <c r="E77">
        <v>20.100000000000001</v>
      </c>
      <c r="F77">
        <v>9</v>
      </c>
      <c r="G77">
        <v>0</v>
      </c>
      <c r="H77">
        <v>0</v>
      </c>
      <c r="I77">
        <v>4</v>
      </c>
      <c r="J77">
        <v>2014</v>
      </c>
      <c r="K77">
        <v>3</v>
      </c>
      <c r="L77" t="s">
        <v>16</v>
      </c>
      <c r="M77">
        <f>SUM(Pharma_Sales_Data[[#This Row],[M01AB]:[R06]])</f>
        <v>50.1</v>
      </c>
      <c r="N77" s="2">
        <f>Pharma_Sales_Data[[#This Row],[Total Drug Sales]]*150</f>
        <v>7515</v>
      </c>
      <c r="O77" s="2">
        <f>Pharma_Sales_Data[[#This Row],[Total Revenue]]*0.3</f>
        <v>2254.5</v>
      </c>
      <c r="P77" t="str">
        <f>IF(Pharma_Sales_Data[[#This Row],[Total Revenue]]&gt;20000,"High Value", IF(Pharma_Sales_Data[[#This Row],[Total Revenue]]&gt;=10000,"Medium Value","Low Value"))</f>
        <v>Low Value</v>
      </c>
    </row>
    <row r="78" spans="1:16" x14ac:dyDescent="0.35">
      <c r="A78" s="1">
        <v>41717</v>
      </c>
      <c r="B78">
        <v>4</v>
      </c>
      <c r="C78">
        <v>3.02</v>
      </c>
      <c r="D78">
        <v>4</v>
      </c>
      <c r="E78">
        <v>21.8</v>
      </c>
      <c r="F78">
        <v>2</v>
      </c>
      <c r="G78">
        <v>0</v>
      </c>
      <c r="H78">
        <v>0</v>
      </c>
      <c r="I78">
        <v>2</v>
      </c>
      <c r="J78">
        <v>2014</v>
      </c>
      <c r="K78">
        <v>3</v>
      </c>
      <c r="L78" t="s">
        <v>17</v>
      </c>
      <c r="M78">
        <f>SUM(Pharma_Sales_Data[[#This Row],[M01AB]:[R06]])</f>
        <v>36.82</v>
      </c>
      <c r="N78" s="2">
        <f>Pharma_Sales_Data[[#This Row],[Total Drug Sales]]*150</f>
        <v>5523</v>
      </c>
      <c r="O78" s="2">
        <f>Pharma_Sales_Data[[#This Row],[Total Revenue]]*0.3</f>
        <v>1656.8999999999999</v>
      </c>
      <c r="P78" t="str">
        <f>IF(Pharma_Sales_Data[[#This Row],[Total Revenue]]&gt;20000,"High Value", IF(Pharma_Sales_Data[[#This Row],[Total Revenue]]&gt;=10000,"Medium Value","Low Value"))</f>
        <v>Low Value</v>
      </c>
    </row>
    <row r="79" spans="1:16" x14ac:dyDescent="0.35">
      <c r="A79" s="1">
        <v>41718</v>
      </c>
      <c r="B79">
        <v>3</v>
      </c>
      <c r="C79">
        <v>5.34</v>
      </c>
      <c r="D79">
        <v>1.6</v>
      </c>
      <c r="E79">
        <v>38.200000000000003</v>
      </c>
      <c r="F79">
        <v>5</v>
      </c>
      <c r="G79">
        <v>0</v>
      </c>
      <c r="H79">
        <v>7</v>
      </c>
      <c r="I79">
        <v>4.2</v>
      </c>
      <c r="J79">
        <v>2014</v>
      </c>
      <c r="K79">
        <v>3</v>
      </c>
      <c r="L79" t="s">
        <v>11</v>
      </c>
      <c r="M79">
        <f>SUM(Pharma_Sales_Data[[#This Row],[M01AB]:[R06]])</f>
        <v>64.34</v>
      </c>
      <c r="N79" s="2">
        <f>Pharma_Sales_Data[[#This Row],[Total Drug Sales]]*150</f>
        <v>9651</v>
      </c>
      <c r="O79" s="2">
        <f>Pharma_Sales_Data[[#This Row],[Total Revenue]]*0.3</f>
        <v>2895.2999999999997</v>
      </c>
      <c r="P79" t="str">
        <f>IF(Pharma_Sales_Data[[#This Row],[Total Revenue]]&gt;20000,"High Value", IF(Pharma_Sales_Data[[#This Row],[Total Revenue]]&gt;=10000,"Medium Value","Low Value"))</f>
        <v>Low Value</v>
      </c>
    </row>
    <row r="80" spans="1:16" x14ac:dyDescent="0.35">
      <c r="A80" s="1">
        <v>41719</v>
      </c>
      <c r="B80">
        <v>6</v>
      </c>
      <c r="C80">
        <v>3.68</v>
      </c>
      <c r="D80">
        <v>4.5</v>
      </c>
      <c r="E80">
        <v>40</v>
      </c>
      <c r="F80">
        <v>4</v>
      </c>
      <c r="G80">
        <v>0</v>
      </c>
      <c r="H80">
        <v>2</v>
      </c>
      <c r="I80">
        <v>1</v>
      </c>
      <c r="J80">
        <v>2014</v>
      </c>
      <c r="K80">
        <v>3</v>
      </c>
      <c r="L80" t="s">
        <v>12</v>
      </c>
      <c r="M80">
        <f>SUM(Pharma_Sales_Data[[#This Row],[M01AB]:[R06]])</f>
        <v>61.18</v>
      </c>
      <c r="N80" s="2">
        <f>Pharma_Sales_Data[[#This Row],[Total Drug Sales]]*150</f>
        <v>9177</v>
      </c>
      <c r="O80" s="2">
        <f>Pharma_Sales_Data[[#This Row],[Total Revenue]]*0.3</f>
        <v>2753.1</v>
      </c>
      <c r="P80" t="str">
        <f>IF(Pharma_Sales_Data[[#This Row],[Total Revenue]]&gt;20000,"High Value", IF(Pharma_Sales_Data[[#This Row],[Total Revenue]]&gt;=10000,"Medium Value","Low Value"))</f>
        <v>Low Value</v>
      </c>
    </row>
    <row r="81" spans="1:16" x14ac:dyDescent="0.35">
      <c r="A81" s="1">
        <v>41720</v>
      </c>
      <c r="B81">
        <v>3.34</v>
      </c>
      <c r="C81">
        <v>2.34</v>
      </c>
      <c r="D81">
        <v>0</v>
      </c>
      <c r="E81">
        <v>26.3</v>
      </c>
      <c r="F81">
        <v>10</v>
      </c>
      <c r="G81">
        <v>2</v>
      </c>
      <c r="H81">
        <v>18</v>
      </c>
      <c r="I81">
        <v>8.4</v>
      </c>
      <c r="J81">
        <v>2014</v>
      </c>
      <c r="K81">
        <v>3</v>
      </c>
      <c r="L81" t="s">
        <v>13</v>
      </c>
      <c r="M81">
        <f>SUM(Pharma_Sales_Data[[#This Row],[M01AB]:[R06]])</f>
        <v>70.38000000000001</v>
      </c>
      <c r="N81" s="2">
        <f>Pharma_Sales_Data[[#This Row],[Total Drug Sales]]*150</f>
        <v>10557.000000000002</v>
      </c>
      <c r="O81" s="2">
        <f>Pharma_Sales_Data[[#This Row],[Total Revenue]]*0.3</f>
        <v>3167.1000000000004</v>
      </c>
      <c r="P81" t="str">
        <f>IF(Pharma_Sales_Data[[#This Row],[Total Revenue]]&gt;20000,"High Value", IF(Pharma_Sales_Data[[#This Row],[Total Revenue]]&gt;=10000,"Medium Value","Low Value"))</f>
        <v>Medium Value</v>
      </c>
    </row>
    <row r="82" spans="1:16" x14ac:dyDescent="0.35">
      <c r="A82" s="1">
        <v>41721</v>
      </c>
      <c r="B82">
        <v>6.34</v>
      </c>
      <c r="C82">
        <v>2</v>
      </c>
      <c r="D82">
        <v>4</v>
      </c>
      <c r="E82">
        <v>19.399999999999999</v>
      </c>
      <c r="F82">
        <v>0</v>
      </c>
      <c r="G82">
        <v>1</v>
      </c>
      <c r="H82">
        <v>0</v>
      </c>
      <c r="I82">
        <v>3</v>
      </c>
      <c r="J82">
        <v>2014</v>
      </c>
      <c r="K82">
        <v>3</v>
      </c>
      <c r="L82" t="s">
        <v>14</v>
      </c>
      <c r="M82">
        <f>SUM(Pharma_Sales_Data[[#This Row],[M01AB]:[R06]])</f>
        <v>35.739999999999995</v>
      </c>
      <c r="N82" s="2">
        <f>Pharma_Sales_Data[[#This Row],[Total Drug Sales]]*150</f>
        <v>5360.9999999999991</v>
      </c>
      <c r="O82" s="2">
        <f>Pharma_Sales_Data[[#This Row],[Total Revenue]]*0.3</f>
        <v>1608.2999999999997</v>
      </c>
      <c r="P82" t="str">
        <f>IF(Pharma_Sales_Data[[#This Row],[Total Revenue]]&gt;20000,"High Value", IF(Pharma_Sales_Data[[#This Row],[Total Revenue]]&gt;=10000,"Medium Value","Low Value"))</f>
        <v>Low Value</v>
      </c>
    </row>
    <row r="83" spans="1:16" x14ac:dyDescent="0.35">
      <c r="A83" s="1">
        <v>41722</v>
      </c>
      <c r="B83">
        <v>5.68</v>
      </c>
      <c r="C83">
        <v>1</v>
      </c>
      <c r="D83">
        <v>4</v>
      </c>
      <c r="E83">
        <v>23.6</v>
      </c>
      <c r="F83">
        <v>7</v>
      </c>
      <c r="G83">
        <v>0</v>
      </c>
      <c r="H83">
        <v>6</v>
      </c>
      <c r="I83">
        <v>3.5</v>
      </c>
      <c r="J83">
        <v>2014</v>
      </c>
      <c r="K83">
        <v>3</v>
      </c>
      <c r="L83" t="s">
        <v>15</v>
      </c>
      <c r="M83">
        <f>SUM(Pharma_Sales_Data[[#This Row],[M01AB]:[R06]])</f>
        <v>50.78</v>
      </c>
      <c r="N83" s="2">
        <f>Pharma_Sales_Data[[#This Row],[Total Drug Sales]]*150</f>
        <v>7617</v>
      </c>
      <c r="O83" s="2">
        <f>Pharma_Sales_Data[[#This Row],[Total Revenue]]*0.3</f>
        <v>2285.1</v>
      </c>
      <c r="P83" t="str">
        <f>IF(Pharma_Sales_Data[[#This Row],[Total Revenue]]&gt;20000,"High Value", IF(Pharma_Sales_Data[[#This Row],[Total Revenue]]&gt;=10000,"Medium Value","Low Value"))</f>
        <v>Low Value</v>
      </c>
    </row>
    <row r="84" spans="1:16" x14ac:dyDescent="0.35">
      <c r="A84" s="1">
        <v>41723</v>
      </c>
      <c r="B84">
        <v>4</v>
      </c>
      <c r="C84">
        <v>1.34</v>
      </c>
      <c r="D84">
        <v>9</v>
      </c>
      <c r="E84">
        <v>38.6</v>
      </c>
      <c r="F84">
        <v>7</v>
      </c>
      <c r="G84">
        <v>0</v>
      </c>
      <c r="H84">
        <v>1</v>
      </c>
      <c r="I84">
        <v>1</v>
      </c>
      <c r="J84">
        <v>2014</v>
      </c>
      <c r="K84">
        <v>3</v>
      </c>
      <c r="L84" t="s">
        <v>16</v>
      </c>
      <c r="M84">
        <f>SUM(Pharma_Sales_Data[[#This Row],[M01AB]:[R06]])</f>
        <v>61.94</v>
      </c>
      <c r="N84" s="2">
        <f>Pharma_Sales_Data[[#This Row],[Total Drug Sales]]*150</f>
        <v>9291</v>
      </c>
      <c r="O84" s="2">
        <f>Pharma_Sales_Data[[#This Row],[Total Revenue]]*0.3</f>
        <v>2787.2999999999997</v>
      </c>
      <c r="P84" t="str">
        <f>IF(Pharma_Sales_Data[[#This Row],[Total Revenue]]&gt;20000,"High Value", IF(Pharma_Sales_Data[[#This Row],[Total Revenue]]&gt;=10000,"Medium Value","Low Value"))</f>
        <v>Low Value</v>
      </c>
    </row>
    <row r="85" spans="1:16" x14ac:dyDescent="0.35">
      <c r="A85" s="1">
        <v>41724</v>
      </c>
      <c r="B85">
        <v>2.34</v>
      </c>
      <c r="C85">
        <v>3.99</v>
      </c>
      <c r="D85">
        <v>9</v>
      </c>
      <c r="E85">
        <v>6.7</v>
      </c>
      <c r="F85">
        <v>7</v>
      </c>
      <c r="G85">
        <v>3</v>
      </c>
      <c r="H85">
        <v>3</v>
      </c>
      <c r="I85">
        <v>0</v>
      </c>
      <c r="J85">
        <v>2014</v>
      </c>
      <c r="K85">
        <v>3</v>
      </c>
      <c r="L85" t="s">
        <v>17</v>
      </c>
      <c r="M85">
        <f>SUM(Pharma_Sales_Data[[#This Row],[M01AB]:[R06]])</f>
        <v>35.03</v>
      </c>
      <c r="N85" s="2">
        <f>Pharma_Sales_Data[[#This Row],[Total Drug Sales]]*150</f>
        <v>5254.5</v>
      </c>
      <c r="O85" s="2">
        <f>Pharma_Sales_Data[[#This Row],[Total Revenue]]*0.3</f>
        <v>1576.35</v>
      </c>
      <c r="P85" t="str">
        <f>IF(Pharma_Sales_Data[[#This Row],[Total Revenue]]&gt;20000,"High Value", IF(Pharma_Sales_Data[[#This Row],[Total Revenue]]&gt;=10000,"Medium Value","Low Value"))</f>
        <v>Low Value</v>
      </c>
    </row>
    <row r="86" spans="1:16" x14ac:dyDescent="0.35">
      <c r="A86" s="1">
        <v>41725</v>
      </c>
      <c r="B86">
        <v>4</v>
      </c>
      <c r="C86">
        <v>0.33</v>
      </c>
      <c r="D86">
        <v>2</v>
      </c>
      <c r="E86">
        <v>20.7</v>
      </c>
      <c r="F86">
        <v>6</v>
      </c>
      <c r="G86">
        <v>1</v>
      </c>
      <c r="H86">
        <v>1</v>
      </c>
      <c r="I86">
        <v>5</v>
      </c>
      <c r="J86">
        <v>2014</v>
      </c>
      <c r="K86">
        <v>3</v>
      </c>
      <c r="L86" t="s">
        <v>11</v>
      </c>
      <c r="M86">
        <f>SUM(Pharma_Sales_Data[[#This Row],[M01AB]:[R06]])</f>
        <v>40.03</v>
      </c>
      <c r="N86" s="2">
        <f>Pharma_Sales_Data[[#This Row],[Total Drug Sales]]*150</f>
        <v>6004.5</v>
      </c>
      <c r="O86" s="2">
        <f>Pharma_Sales_Data[[#This Row],[Total Revenue]]*0.3</f>
        <v>1801.35</v>
      </c>
      <c r="P86" t="str">
        <f>IF(Pharma_Sales_Data[[#This Row],[Total Revenue]]&gt;20000,"High Value", IF(Pharma_Sales_Data[[#This Row],[Total Revenue]]&gt;=10000,"Medium Value","Low Value"))</f>
        <v>Low Value</v>
      </c>
    </row>
    <row r="87" spans="1:16" x14ac:dyDescent="0.35">
      <c r="A87" s="1">
        <v>41726</v>
      </c>
      <c r="B87">
        <v>2.67</v>
      </c>
      <c r="C87">
        <v>2</v>
      </c>
      <c r="D87">
        <v>8</v>
      </c>
      <c r="E87">
        <v>11</v>
      </c>
      <c r="F87">
        <v>3</v>
      </c>
      <c r="G87">
        <v>0</v>
      </c>
      <c r="H87">
        <v>9</v>
      </c>
      <c r="I87">
        <v>5</v>
      </c>
      <c r="J87">
        <v>2014</v>
      </c>
      <c r="K87">
        <v>3</v>
      </c>
      <c r="L87" t="s">
        <v>12</v>
      </c>
      <c r="M87">
        <f>SUM(Pharma_Sales_Data[[#This Row],[M01AB]:[R06]])</f>
        <v>40.67</v>
      </c>
      <c r="N87" s="2">
        <f>Pharma_Sales_Data[[#This Row],[Total Drug Sales]]*150</f>
        <v>6100.5</v>
      </c>
      <c r="O87" s="2">
        <f>Pharma_Sales_Data[[#This Row],[Total Revenue]]*0.3</f>
        <v>1830.1499999999999</v>
      </c>
      <c r="P87" t="str">
        <f>IF(Pharma_Sales_Data[[#This Row],[Total Revenue]]&gt;20000,"High Value", IF(Pharma_Sales_Data[[#This Row],[Total Revenue]]&gt;=10000,"Medium Value","Low Value"))</f>
        <v>Low Value</v>
      </c>
    </row>
    <row r="88" spans="1:16" x14ac:dyDescent="0.35">
      <c r="A88" s="1">
        <v>41727</v>
      </c>
      <c r="B88">
        <v>4</v>
      </c>
      <c r="C88">
        <v>6.33</v>
      </c>
      <c r="D88">
        <v>4.2</v>
      </c>
      <c r="E88">
        <v>24</v>
      </c>
      <c r="F88">
        <v>8</v>
      </c>
      <c r="G88">
        <v>2</v>
      </c>
      <c r="H88">
        <v>9</v>
      </c>
      <c r="I88">
        <v>3</v>
      </c>
      <c r="J88">
        <v>2014</v>
      </c>
      <c r="K88">
        <v>3</v>
      </c>
      <c r="L88" t="s">
        <v>13</v>
      </c>
      <c r="M88">
        <f>SUM(Pharma_Sales_Data[[#This Row],[M01AB]:[R06]])</f>
        <v>60.53</v>
      </c>
      <c r="N88" s="2">
        <f>Pharma_Sales_Data[[#This Row],[Total Drug Sales]]*150</f>
        <v>9079.5</v>
      </c>
      <c r="O88" s="2">
        <f>Pharma_Sales_Data[[#This Row],[Total Revenue]]*0.3</f>
        <v>2723.85</v>
      </c>
      <c r="P88" t="str">
        <f>IF(Pharma_Sales_Data[[#This Row],[Total Revenue]]&gt;20000,"High Value", IF(Pharma_Sales_Data[[#This Row],[Total Revenue]]&gt;=10000,"Medium Value","Low Value"))</f>
        <v>Low Value</v>
      </c>
    </row>
    <row r="89" spans="1:16" x14ac:dyDescent="0.35">
      <c r="A89" s="1">
        <v>41728</v>
      </c>
      <c r="B89">
        <v>3</v>
      </c>
      <c r="C89">
        <v>2.34</v>
      </c>
      <c r="D89">
        <v>0</v>
      </c>
      <c r="E89">
        <v>12</v>
      </c>
      <c r="F89">
        <v>4</v>
      </c>
      <c r="G89">
        <v>0</v>
      </c>
      <c r="H89">
        <v>0</v>
      </c>
      <c r="I89">
        <v>7</v>
      </c>
      <c r="J89">
        <v>2014</v>
      </c>
      <c r="K89">
        <v>3</v>
      </c>
      <c r="L89" t="s">
        <v>14</v>
      </c>
      <c r="M89">
        <f>SUM(Pharma_Sales_Data[[#This Row],[M01AB]:[R06]])</f>
        <v>28.34</v>
      </c>
      <c r="N89" s="2">
        <f>Pharma_Sales_Data[[#This Row],[Total Drug Sales]]*150</f>
        <v>4251</v>
      </c>
      <c r="O89" s="2">
        <f>Pharma_Sales_Data[[#This Row],[Total Revenue]]*0.3</f>
        <v>1275.3</v>
      </c>
      <c r="P89" t="str">
        <f>IF(Pharma_Sales_Data[[#This Row],[Total Revenue]]&gt;20000,"High Value", IF(Pharma_Sales_Data[[#This Row],[Total Revenue]]&gt;=10000,"Medium Value","Low Value"))</f>
        <v>Low Value</v>
      </c>
    </row>
    <row r="90" spans="1:16" x14ac:dyDescent="0.35">
      <c r="A90" s="1">
        <v>41729</v>
      </c>
      <c r="B90">
        <v>5.34</v>
      </c>
      <c r="C90">
        <v>2.34</v>
      </c>
      <c r="D90">
        <v>4</v>
      </c>
      <c r="E90">
        <v>15.4</v>
      </c>
      <c r="F90">
        <v>6</v>
      </c>
      <c r="G90">
        <v>1</v>
      </c>
      <c r="H90">
        <v>4</v>
      </c>
      <c r="I90">
        <v>6</v>
      </c>
      <c r="J90">
        <v>2014</v>
      </c>
      <c r="K90">
        <v>3</v>
      </c>
      <c r="L90" t="s">
        <v>15</v>
      </c>
      <c r="M90">
        <f>SUM(Pharma_Sales_Data[[#This Row],[M01AB]:[R06]])</f>
        <v>44.08</v>
      </c>
      <c r="N90" s="2">
        <f>Pharma_Sales_Data[[#This Row],[Total Drug Sales]]*150</f>
        <v>6612</v>
      </c>
      <c r="O90" s="2">
        <f>Pharma_Sales_Data[[#This Row],[Total Revenue]]*0.3</f>
        <v>1983.6</v>
      </c>
      <c r="P90" t="str">
        <f>IF(Pharma_Sales_Data[[#This Row],[Total Revenue]]&gt;20000,"High Value", IF(Pharma_Sales_Data[[#This Row],[Total Revenue]]&gt;=10000,"Medium Value","Low Value"))</f>
        <v>Low Value</v>
      </c>
    </row>
    <row r="91" spans="1:16" x14ac:dyDescent="0.35">
      <c r="A91" s="1">
        <v>41730</v>
      </c>
      <c r="B91">
        <v>4.34</v>
      </c>
      <c r="C91">
        <v>1.34</v>
      </c>
      <c r="D91">
        <v>6.5</v>
      </c>
      <c r="E91">
        <v>27.5</v>
      </c>
      <c r="F91">
        <v>5</v>
      </c>
      <c r="G91">
        <v>3</v>
      </c>
      <c r="H91">
        <v>3</v>
      </c>
      <c r="I91">
        <v>1</v>
      </c>
      <c r="J91">
        <v>2014</v>
      </c>
      <c r="K91">
        <v>4</v>
      </c>
      <c r="L91" t="s">
        <v>16</v>
      </c>
      <c r="M91">
        <f>SUM(Pharma_Sales_Data[[#This Row],[M01AB]:[R06]])</f>
        <v>51.68</v>
      </c>
      <c r="N91" s="2">
        <f>Pharma_Sales_Data[[#This Row],[Total Drug Sales]]*150</f>
        <v>7752</v>
      </c>
      <c r="O91" s="2">
        <f>Pharma_Sales_Data[[#This Row],[Total Revenue]]*0.3</f>
        <v>2325.6</v>
      </c>
      <c r="P91" t="str">
        <f>IF(Pharma_Sales_Data[[#This Row],[Total Revenue]]&gt;20000,"High Value", IF(Pharma_Sales_Data[[#This Row],[Total Revenue]]&gt;=10000,"Medium Value","Low Value"))</f>
        <v>Low Value</v>
      </c>
    </row>
    <row r="92" spans="1:16" x14ac:dyDescent="0.35">
      <c r="A92" s="1">
        <v>41731</v>
      </c>
      <c r="B92">
        <v>2</v>
      </c>
      <c r="C92">
        <v>4.68</v>
      </c>
      <c r="D92">
        <v>8.9</v>
      </c>
      <c r="E92">
        <v>23</v>
      </c>
      <c r="F92">
        <v>1</v>
      </c>
      <c r="G92">
        <v>0</v>
      </c>
      <c r="H92">
        <v>7</v>
      </c>
      <c r="I92">
        <v>3</v>
      </c>
      <c r="J92">
        <v>2014</v>
      </c>
      <c r="K92">
        <v>4</v>
      </c>
      <c r="L92" t="s">
        <v>17</v>
      </c>
      <c r="M92">
        <f>SUM(Pharma_Sales_Data[[#This Row],[M01AB]:[R06]])</f>
        <v>49.58</v>
      </c>
      <c r="N92" s="2">
        <f>Pharma_Sales_Data[[#This Row],[Total Drug Sales]]*150</f>
        <v>7437</v>
      </c>
      <c r="O92" s="2">
        <f>Pharma_Sales_Data[[#This Row],[Total Revenue]]*0.3</f>
        <v>2231.1</v>
      </c>
      <c r="P92" t="str">
        <f>IF(Pharma_Sales_Data[[#This Row],[Total Revenue]]&gt;20000,"High Value", IF(Pharma_Sales_Data[[#This Row],[Total Revenue]]&gt;=10000,"Medium Value","Low Value"))</f>
        <v>Low Value</v>
      </c>
    </row>
    <row r="93" spans="1:16" x14ac:dyDescent="0.35">
      <c r="A93" s="1">
        <v>41732</v>
      </c>
      <c r="B93">
        <v>1</v>
      </c>
      <c r="C93">
        <v>1.34</v>
      </c>
      <c r="D93">
        <v>3</v>
      </c>
      <c r="E93">
        <v>19.2</v>
      </c>
      <c r="F93">
        <v>4</v>
      </c>
      <c r="G93">
        <v>0</v>
      </c>
      <c r="H93">
        <v>0</v>
      </c>
      <c r="I93">
        <v>4</v>
      </c>
      <c r="J93">
        <v>2014</v>
      </c>
      <c r="K93">
        <v>4</v>
      </c>
      <c r="L93" t="s">
        <v>11</v>
      </c>
      <c r="M93">
        <f>SUM(Pharma_Sales_Data[[#This Row],[M01AB]:[R06]])</f>
        <v>32.54</v>
      </c>
      <c r="N93" s="2">
        <f>Pharma_Sales_Data[[#This Row],[Total Drug Sales]]*150</f>
        <v>4881</v>
      </c>
      <c r="O93" s="2">
        <f>Pharma_Sales_Data[[#This Row],[Total Revenue]]*0.3</f>
        <v>1464.3</v>
      </c>
      <c r="P93" t="str">
        <f>IF(Pharma_Sales_Data[[#This Row],[Total Revenue]]&gt;20000,"High Value", IF(Pharma_Sales_Data[[#This Row],[Total Revenue]]&gt;=10000,"Medium Value","Low Value"))</f>
        <v>Low Value</v>
      </c>
    </row>
    <row r="94" spans="1:16" x14ac:dyDescent="0.35">
      <c r="A94" s="1">
        <v>41733</v>
      </c>
      <c r="B94">
        <v>3</v>
      </c>
      <c r="C94">
        <v>3.67</v>
      </c>
      <c r="D94">
        <v>3</v>
      </c>
      <c r="E94">
        <v>24</v>
      </c>
      <c r="F94">
        <v>9</v>
      </c>
      <c r="G94">
        <v>3</v>
      </c>
      <c r="H94">
        <v>8</v>
      </c>
      <c r="I94">
        <v>2</v>
      </c>
      <c r="J94">
        <v>2014</v>
      </c>
      <c r="K94">
        <v>4</v>
      </c>
      <c r="L94" t="s">
        <v>12</v>
      </c>
      <c r="M94">
        <f>SUM(Pharma_Sales_Data[[#This Row],[M01AB]:[R06]])</f>
        <v>55.67</v>
      </c>
      <c r="N94" s="2">
        <f>Pharma_Sales_Data[[#This Row],[Total Drug Sales]]*150</f>
        <v>8350.5</v>
      </c>
      <c r="O94" s="2">
        <f>Pharma_Sales_Data[[#This Row],[Total Revenue]]*0.3</f>
        <v>2505.15</v>
      </c>
      <c r="P94" t="str">
        <f>IF(Pharma_Sales_Data[[#This Row],[Total Revenue]]&gt;20000,"High Value", IF(Pharma_Sales_Data[[#This Row],[Total Revenue]]&gt;=10000,"Medium Value","Low Value"))</f>
        <v>Low Value</v>
      </c>
    </row>
    <row r="95" spans="1:16" x14ac:dyDescent="0.35">
      <c r="A95" s="1">
        <v>41734</v>
      </c>
      <c r="B95">
        <v>2</v>
      </c>
      <c r="C95">
        <v>7.68</v>
      </c>
      <c r="D95">
        <v>10</v>
      </c>
      <c r="E95">
        <v>25.6</v>
      </c>
      <c r="F95">
        <v>5</v>
      </c>
      <c r="G95">
        <v>0</v>
      </c>
      <c r="H95">
        <v>5</v>
      </c>
      <c r="I95">
        <v>3</v>
      </c>
      <c r="J95">
        <v>2014</v>
      </c>
      <c r="K95">
        <v>4</v>
      </c>
      <c r="L95" t="s">
        <v>13</v>
      </c>
      <c r="M95">
        <f>SUM(Pharma_Sales_Data[[#This Row],[M01AB]:[R06]])</f>
        <v>58.28</v>
      </c>
      <c r="N95" s="2">
        <f>Pharma_Sales_Data[[#This Row],[Total Drug Sales]]*150</f>
        <v>8742</v>
      </c>
      <c r="O95" s="2">
        <f>Pharma_Sales_Data[[#This Row],[Total Revenue]]*0.3</f>
        <v>2622.6</v>
      </c>
      <c r="P95" t="str">
        <f>IF(Pharma_Sales_Data[[#This Row],[Total Revenue]]&gt;20000,"High Value", IF(Pharma_Sales_Data[[#This Row],[Total Revenue]]&gt;=10000,"Medium Value","Low Value"))</f>
        <v>Low Value</v>
      </c>
    </row>
    <row r="96" spans="1:16" x14ac:dyDescent="0.35">
      <c r="A96" s="1">
        <v>41735</v>
      </c>
      <c r="B96">
        <v>2</v>
      </c>
      <c r="C96">
        <v>1</v>
      </c>
      <c r="D96">
        <v>1</v>
      </c>
      <c r="E96">
        <v>19</v>
      </c>
      <c r="F96">
        <v>1</v>
      </c>
      <c r="G96">
        <v>0</v>
      </c>
      <c r="H96">
        <v>0</v>
      </c>
      <c r="I96">
        <v>1</v>
      </c>
      <c r="J96">
        <v>2014</v>
      </c>
      <c r="K96">
        <v>4</v>
      </c>
      <c r="L96" t="s">
        <v>14</v>
      </c>
      <c r="M96">
        <f>SUM(Pharma_Sales_Data[[#This Row],[M01AB]:[R06]])</f>
        <v>25</v>
      </c>
      <c r="N96" s="2">
        <f>Pharma_Sales_Data[[#This Row],[Total Drug Sales]]*150</f>
        <v>3750</v>
      </c>
      <c r="O96" s="2">
        <f>Pharma_Sales_Data[[#This Row],[Total Revenue]]*0.3</f>
        <v>1125</v>
      </c>
      <c r="P96" t="str">
        <f>IF(Pharma_Sales_Data[[#This Row],[Total Revenue]]&gt;20000,"High Value", IF(Pharma_Sales_Data[[#This Row],[Total Revenue]]&gt;=10000,"Medium Value","Low Value"))</f>
        <v>Low Value</v>
      </c>
    </row>
    <row r="97" spans="1:16" x14ac:dyDescent="0.35">
      <c r="A97" s="1">
        <v>41736</v>
      </c>
      <c r="B97">
        <v>6.34</v>
      </c>
      <c r="C97">
        <v>6</v>
      </c>
      <c r="D97">
        <v>6.5</v>
      </c>
      <c r="E97">
        <v>31.5</v>
      </c>
      <c r="F97">
        <v>4</v>
      </c>
      <c r="G97">
        <v>0</v>
      </c>
      <c r="H97">
        <v>0</v>
      </c>
      <c r="I97">
        <v>1</v>
      </c>
      <c r="J97">
        <v>2014</v>
      </c>
      <c r="K97">
        <v>4</v>
      </c>
      <c r="L97" t="s">
        <v>15</v>
      </c>
      <c r="M97">
        <f>SUM(Pharma_Sales_Data[[#This Row],[M01AB]:[R06]])</f>
        <v>55.34</v>
      </c>
      <c r="N97" s="2">
        <f>Pharma_Sales_Data[[#This Row],[Total Drug Sales]]*150</f>
        <v>8301</v>
      </c>
      <c r="O97" s="2">
        <f>Pharma_Sales_Data[[#This Row],[Total Revenue]]*0.3</f>
        <v>2490.2999999999997</v>
      </c>
      <c r="P97" t="str">
        <f>IF(Pharma_Sales_Data[[#This Row],[Total Revenue]]&gt;20000,"High Value", IF(Pharma_Sales_Data[[#This Row],[Total Revenue]]&gt;=10000,"Medium Value","Low Value"))</f>
        <v>Low Value</v>
      </c>
    </row>
    <row r="98" spans="1:16" x14ac:dyDescent="0.35">
      <c r="A98" s="1">
        <v>41737</v>
      </c>
      <c r="B98">
        <v>4.34</v>
      </c>
      <c r="C98">
        <v>2.34</v>
      </c>
      <c r="D98">
        <v>1.7</v>
      </c>
      <c r="E98">
        <v>19</v>
      </c>
      <c r="F98">
        <v>6</v>
      </c>
      <c r="G98">
        <v>1</v>
      </c>
      <c r="H98">
        <v>0</v>
      </c>
      <c r="I98">
        <v>4.7</v>
      </c>
      <c r="J98">
        <v>2014</v>
      </c>
      <c r="K98">
        <v>4</v>
      </c>
      <c r="L98" t="s">
        <v>16</v>
      </c>
      <c r="M98">
        <f>SUM(Pharma_Sales_Data[[#This Row],[M01AB]:[R06]])</f>
        <v>39.08</v>
      </c>
      <c r="N98" s="2">
        <f>Pharma_Sales_Data[[#This Row],[Total Drug Sales]]*150</f>
        <v>5862</v>
      </c>
      <c r="O98" s="2">
        <f>Pharma_Sales_Data[[#This Row],[Total Revenue]]*0.3</f>
        <v>1758.6</v>
      </c>
      <c r="P98" t="str">
        <f>IF(Pharma_Sales_Data[[#This Row],[Total Revenue]]&gt;20000,"High Value", IF(Pharma_Sales_Data[[#This Row],[Total Revenue]]&gt;=10000,"Medium Value","Low Value"))</f>
        <v>Low Value</v>
      </c>
    </row>
    <row r="99" spans="1:16" x14ac:dyDescent="0.35">
      <c r="A99" s="1">
        <v>41738</v>
      </c>
      <c r="B99">
        <v>6</v>
      </c>
      <c r="C99">
        <v>1.02</v>
      </c>
      <c r="D99">
        <v>1</v>
      </c>
      <c r="E99">
        <v>18</v>
      </c>
      <c r="F99">
        <v>2</v>
      </c>
      <c r="G99">
        <v>1</v>
      </c>
      <c r="H99">
        <v>2</v>
      </c>
      <c r="I99">
        <v>2.6</v>
      </c>
      <c r="J99">
        <v>2014</v>
      </c>
      <c r="K99">
        <v>4</v>
      </c>
      <c r="L99" t="s">
        <v>17</v>
      </c>
      <c r="M99">
        <f>SUM(Pharma_Sales_Data[[#This Row],[M01AB]:[R06]])</f>
        <v>33.619999999999997</v>
      </c>
      <c r="N99" s="2">
        <f>Pharma_Sales_Data[[#This Row],[Total Drug Sales]]*150</f>
        <v>5043</v>
      </c>
      <c r="O99" s="2">
        <f>Pharma_Sales_Data[[#This Row],[Total Revenue]]*0.3</f>
        <v>1512.8999999999999</v>
      </c>
      <c r="P99" t="str">
        <f>IF(Pharma_Sales_Data[[#This Row],[Total Revenue]]&gt;20000,"High Value", IF(Pharma_Sales_Data[[#This Row],[Total Revenue]]&gt;=10000,"Medium Value","Low Value"))</f>
        <v>Low Value</v>
      </c>
    </row>
    <row r="100" spans="1:16" x14ac:dyDescent="0.35">
      <c r="A100" s="1">
        <v>41739</v>
      </c>
      <c r="B100">
        <v>3.33</v>
      </c>
      <c r="C100">
        <v>1.68</v>
      </c>
      <c r="D100">
        <v>1</v>
      </c>
      <c r="E100">
        <v>18</v>
      </c>
      <c r="F100">
        <v>10</v>
      </c>
      <c r="G100">
        <v>0</v>
      </c>
      <c r="H100">
        <v>4</v>
      </c>
      <c r="I100">
        <v>4</v>
      </c>
      <c r="J100">
        <v>2014</v>
      </c>
      <c r="K100">
        <v>4</v>
      </c>
      <c r="L100" t="s">
        <v>11</v>
      </c>
      <c r="M100">
        <f>SUM(Pharma_Sales_Data[[#This Row],[M01AB]:[R06]])</f>
        <v>42.01</v>
      </c>
      <c r="N100" s="2">
        <f>Pharma_Sales_Data[[#This Row],[Total Drug Sales]]*150</f>
        <v>6301.5</v>
      </c>
      <c r="O100" s="2">
        <f>Pharma_Sales_Data[[#This Row],[Total Revenue]]*0.3</f>
        <v>1890.4499999999998</v>
      </c>
      <c r="P100" t="str">
        <f>IF(Pharma_Sales_Data[[#This Row],[Total Revenue]]&gt;20000,"High Value", IF(Pharma_Sales_Data[[#This Row],[Total Revenue]]&gt;=10000,"Medium Value","Low Value"))</f>
        <v>Low Value</v>
      </c>
    </row>
    <row r="101" spans="1:16" x14ac:dyDescent="0.35">
      <c r="A101" s="1">
        <v>41740</v>
      </c>
      <c r="B101">
        <v>6</v>
      </c>
      <c r="C101">
        <v>4</v>
      </c>
      <c r="D101">
        <v>3</v>
      </c>
      <c r="E101">
        <v>25</v>
      </c>
      <c r="F101">
        <v>2</v>
      </c>
      <c r="G101">
        <v>2</v>
      </c>
      <c r="H101">
        <v>0</v>
      </c>
      <c r="I101">
        <v>2</v>
      </c>
      <c r="J101">
        <v>2014</v>
      </c>
      <c r="K101">
        <v>4</v>
      </c>
      <c r="L101" t="s">
        <v>12</v>
      </c>
      <c r="M101">
        <f>SUM(Pharma_Sales_Data[[#This Row],[M01AB]:[R06]])</f>
        <v>44</v>
      </c>
      <c r="N101" s="2">
        <f>Pharma_Sales_Data[[#This Row],[Total Drug Sales]]*150</f>
        <v>6600</v>
      </c>
      <c r="O101" s="2">
        <f>Pharma_Sales_Data[[#This Row],[Total Revenue]]*0.3</f>
        <v>1980</v>
      </c>
      <c r="P101" t="str">
        <f>IF(Pharma_Sales_Data[[#This Row],[Total Revenue]]&gt;20000,"High Value", IF(Pharma_Sales_Data[[#This Row],[Total Revenue]]&gt;=10000,"Medium Value","Low Value"))</f>
        <v>Low Value</v>
      </c>
    </row>
    <row r="102" spans="1:16" x14ac:dyDescent="0.35">
      <c r="A102" s="1">
        <v>41741</v>
      </c>
      <c r="B102">
        <v>7.02</v>
      </c>
      <c r="C102">
        <v>3.34</v>
      </c>
      <c r="D102">
        <v>6</v>
      </c>
      <c r="E102">
        <v>23.5</v>
      </c>
      <c r="F102">
        <v>19</v>
      </c>
      <c r="G102">
        <v>0</v>
      </c>
      <c r="H102">
        <v>11</v>
      </c>
      <c r="I102">
        <v>4</v>
      </c>
      <c r="J102">
        <v>2014</v>
      </c>
      <c r="K102">
        <v>4</v>
      </c>
      <c r="L102" t="s">
        <v>13</v>
      </c>
      <c r="M102">
        <f>SUM(Pharma_Sales_Data[[#This Row],[M01AB]:[R06]])</f>
        <v>73.86</v>
      </c>
      <c r="N102" s="2">
        <f>Pharma_Sales_Data[[#This Row],[Total Drug Sales]]*150</f>
        <v>11079</v>
      </c>
      <c r="O102" s="2">
        <f>Pharma_Sales_Data[[#This Row],[Total Revenue]]*0.3</f>
        <v>3323.7</v>
      </c>
      <c r="P102" t="str">
        <f>IF(Pharma_Sales_Data[[#This Row],[Total Revenue]]&gt;20000,"High Value", IF(Pharma_Sales_Data[[#This Row],[Total Revenue]]&gt;=10000,"Medium Value","Low Value"))</f>
        <v>Medium Value</v>
      </c>
    </row>
    <row r="103" spans="1:16" x14ac:dyDescent="0.35">
      <c r="A103" s="1">
        <v>41742</v>
      </c>
      <c r="B103">
        <v>3</v>
      </c>
      <c r="C103">
        <v>2</v>
      </c>
      <c r="D103">
        <v>2</v>
      </c>
      <c r="E103">
        <v>6</v>
      </c>
      <c r="F103">
        <v>3</v>
      </c>
      <c r="G103">
        <v>0</v>
      </c>
      <c r="H103">
        <v>5</v>
      </c>
      <c r="I103">
        <v>2</v>
      </c>
      <c r="J103">
        <v>2014</v>
      </c>
      <c r="K103">
        <v>4</v>
      </c>
      <c r="L103" t="s">
        <v>14</v>
      </c>
      <c r="M103">
        <f>SUM(Pharma_Sales_Data[[#This Row],[M01AB]:[R06]])</f>
        <v>23</v>
      </c>
      <c r="N103" s="2">
        <f>Pharma_Sales_Data[[#This Row],[Total Drug Sales]]*150</f>
        <v>3450</v>
      </c>
      <c r="O103" s="2">
        <f>Pharma_Sales_Data[[#This Row],[Total Revenue]]*0.3</f>
        <v>1035</v>
      </c>
      <c r="P103" t="str">
        <f>IF(Pharma_Sales_Data[[#This Row],[Total Revenue]]&gt;20000,"High Value", IF(Pharma_Sales_Data[[#This Row],[Total Revenue]]&gt;=10000,"Medium Value","Low Value"))</f>
        <v>Low Value</v>
      </c>
    </row>
    <row r="104" spans="1:16" x14ac:dyDescent="0.35">
      <c r="A104" s="1">
        <v>41743</v>
      </c>
      <c r="B104">
        <v>1.34</v>
      </c>
      <c r="C104">
        <v>4.68</v>
      </c>
      <c r="D104">
        <v>5.35</v>
      </c>
      <c r="E104">
        <v>28.28</v>
      </c>
      <c r="F104">
        <v>10</v>
      </c>
      <c r="G104">
        <v>0</v>
      </c>
      <c r="H104">
        <v>5</v>
      </c>
      <c r="I104">
        <v>5</v>
      </c>
      <c r="J104">
        <v>2014</v>
      </c>
      <c r="K104">
        <v>4</v>
      </c>
      <c r="L104" t="s">
        <v>15</v>
      </c>
      <c r="M104">
        <f>SUM(Pharma_Sales_Data[[#This Row],[M01AB]:[R06]])</f>
        <v>59.65</v>
      </c>
      <c r="N104" s="2">
        <f>Pharma_Sales_Data[[#This Row],[Total Drug Sales]]*150</f>
        <v>8947.5</v>
      </c>
      <c r="O104" s="2">
        <f>Pharma_Sales_Data[[#This Row],[Total Revenue]]*0.3</f>
        <v>2684.25</v>
      </c>
      <c r="P104" t="str">
        <f>IF(Pharma_Sales_Data[[#This Row],[Total Revenue]]&gt;20000,"High Value", IF(Pharma_Sales_Data[[#This Row],[Total Revenue]]&gt;=10000,"Medium Value","Low Value"))</f>
        <v>Low Value</v>
      </c>
    </row>
    <row r="105" spans="1:16" x14ac:dyDescent="0.35">
      <c r="A105" s="1">
        <v>41744</v>
      </c>
      <c r="B105">
        <v>4.34</v>
      </c>
      <c r="C105">
        <v>3</v>
      </c>
      <c r="D105">
        <v>6.4</v>
      </c>
      <c r="E105">
        <v>18.7</v>
      </c>
      <c r="F105">
        <v>12</v>
      </c>
      <c r="G105">
        <v>0</v>
      </c>
      <c r="H105">
        <v>10</v>
      </c>
      <c r="I105">
        <v>1</v>
      </c>
      <c r="J105">
        <v>2014</v>
      </c>
      <c r="K105">
        <v>4</v>
      </c>
      <c r="L105" t="s">
        <v>16</v>
      </c>
      <c r="M105">
        <f>SUM(Pharma_Sales_Data[[#This Row],[M01AB]:[R06]])</f>
        <v>55.44</v>
      </c>
      <c r="N105" s="2">
        <f>Pharma_Sales_Data[[#This Row],[Total Drug Sales]]*150</f>
        <v>8316</v>
      </c>
      <c r="O105" s="2">
        <f>Pharma_Sales_Data[[#This Row],[Total Revenue]]*0.3</f>
        <v>2494.7999999999997</v>
      </c>
      <c r="P105" t="str">
        <f>IF(Pharma_Sales_Data[[#This Row],[Total Revenue]]&gt;20000,"High Value", IF(Pharma_Sales_Data[[#This Row],[Total Revenue]]&gt;=10000,"Medium Value","Low Value"))</f>
        <v>Low Value</v>
      </c>
    </row>
    <row r="106" spans="1:16" x14ac:dyDescent="0.35">
      <c r="A106" s="1">
        <v>41745</v>
      </c>
      <c r="B106">
        <v>2</v>
      </c>
      <c r="C106">
        <v>1.01</v>
      </c>
      <c r="D106">
        <v>4.2</v>
      </c>
      <c r="E106">
        <v>25.62</v>
      </c>
      <c r="F106">
        <v>1</v>
      </c>
      <c r="G106">
        <v>0</v>
      </c>
      <c r="H106">
        <v>6</v>
      </c>
      <c r="I106">
        <v>4</v>
      </c>
      <c r="J106">
        <v>2014</v>
      </c>
      <c r="K106">
        <v>4</v>
      </c>
      <c r="L106" t="s">
        <v>17</v>
      </c>
      <c r="M106">
        <f>SUM(Pharma_Sales_Data[[#This Row],[M01AB]:[R06]])</f>
        <v>43.83</v>
      </c>
      <c r="N106" s="2">
        <f>Pharma_Sales_Data[[#This Row],[Total Drug Sales]]*150</f>
        <v>6574.5</v>
      </c>
      <c r="O106" s="2">
        <f>Pharma_Sales_Data[[#This Row],[Total Revenue]]*0.3</f>
        <v>1972.35</v>
      </c>
      <c r="P106" t="str">
        <f>IF(Pharma_Sales_Data[[#This Row],[Total Revenue]]&gt;20000,"High Value", IF(Pharma_Sales_Data[[#This Row],[Total Revenue]]&gt;=10000,"Medium Value","Low Value"))</f>
        <v>Low Value</v>
      </c>
    </row>
    <row r="107" spans="1:16" x14ac:dyDescent="0.35">
      <c r="A107" s="1">
        <v>41746</v>
      </c>
      <c r="B107">
        <v>5.34</v>
      </c>
      <c r="C107">
        <v>0.34</v>
      </c>
      <c r="D107">
        <v>7.2</v>
      </c>
      <c r="E107">
        <v>16</v>
      </c>
      <c r="F107">
        <v>19</v>
      </c>
      <c r="G107">
        <v>0</v>
      </c>
      <c r="H107">
        <v>0</v>
      </c>
      <c r="I107">
        <v>0</v>
      </c>
      <c r="J107">
        <v>2014</v>
      </c>
      <c r="K107">
        <v>4</v>
      </c>
      <c r="L107" t="s">
        <v>11</v>
      </c>
      <c r="M107">
        <f>SUM(Pharma_Sales_Data[[#This Row],[M01AB]:[R06]])</f>
        <v>47.879999999999995</v>
      </c>
      <c r="N107" s="2">
        <f>Pharma_Sales_Data[[#This Row],[Total Drug Sales]]*150</f>
        <v>7181.9999999999991</v>
      </c>
      <c r="O107" s="2">
        <f>Pharma_Sales_Data[[#This Row],[Total Revenue]]*0.3</f>
        <v>2154.5999999999995</v>
      </c>
      <c r="P107" t="str">
        <f>IF(Pharma_Sales_Data[[#This Row],[Total Revenue]]&gt;20000,"High Value", IF(Pharma_Sales_Data[[#This Row],[Total Revenue]]&gt;=10000,"Medium Value","Low Value"))</f>
        <v>Low Value</v>
      </c>
    </row>
    <row r="108" spans="1:16" x14ac:dyDescent="0.35">
      <c r="A108" s="1">
        <v>41747</v>
      </c>
      <c r="B108">
        <v>7</v>
      </c>
      <c r="C108">
        <v>7</v>
      </c>
      <c r="D108">
        <v>8</v>
      </c>
      <c r="E108">
        <v>23.3</v>
      </c>
      <c r="F108">
        <v>10</v>
      </c>
      <c r="G108">
        <v>1</v>
      </c>
      <c r="H108">
        <v>0</v>
      </c>
      <c r="I108">
        <v>5</v>
      </c>
      <c r="J108">
        <v>2014</v>
      </c>
      <c r="K108">
        <v>4</v>
      </c>
      <c r="L108" t="s">
        <v>12</v>
      </c>
      <c r="M108">
        <f>SUM(Pharma_Sales_Data[[#This Row],[M01AB]:[R06]])</f>
        <v>61.3</v>
      </c>
      <c r="N108" s="2">
        <f>Pharma_Sales_Data[[#This Row],[Total Drug Sales]]*150</f>
        <v>9195</v>
      </c>
      <c r="O108" s="2">
        <f>Pharma_Sales_Data[[#This Row],[Total Revenue]]*0.3</f>
        <v>2758.5</v>
      </c>
      <c r="P108" t="str">
        <f>IF(Pharma_Sales_Data[[#This Row],[Total Revenue]]&gt;20000,"High Value", IF(Pharma_Sales_Data[[#This Row],[Total Revenue]]&gt;=10000,"Medium Value","Low Value"))</f>
        <v>Low Value</v>
      </c>
    </row>
    <row r="109" spans="1:16" x14ac:dyDescent="0.35">
      <c r="A109" s="1">
        <v>41748</v>
      </c>
      <c r="B109">
        <v>7.34</v>
      </c>
      <c r="C109">
        <v>3.35</v>
      </c>
      <c r="D109">
        <v>4</v>
      </c>
      <c r="E109">
        <v>22.3</v>
      </c>
      <c r="F109">
        <v>7</v>
      </c>
      <c r="G109">
        <v>0</v>
      </c>
      <c r="H109">
        <v>3</v>
      </c>
      <c r="I109">
        <v>5</v>
      </c>
      <c r="J109">
        <v>2014</v>
      </c>
      <c r="K109">
        <v>4</v>
      </c>
      <c r="L109" t="s">
        <v>13</v>
      </c>
      <c r="M109">
        <f>SUM(Pharma_Sales_Data[[#This Row],[M01AB]:[R06]])</f>
        <v>51.99</v>
      </c>
      <c r="N109" s="2">
        <f>Pharma_Sales_Data[[#This Row],[Total Drug Sales]]*150</f>
        <v>7798.5</v>
      </c>
      <c r="O109" s="2">
        <f>Pharma_Sales_Data[[#This Row],[Total Revenue]]*0.3</f>
        <v>2339.5499999999997</v>
      </c>
      <c r="P109" t="str">
        <f>IF(Pharma_Sales_Data[[#This Row],[Total Revenue]]&gt;20000,"High Value", IF(Pharma_Sales_Data[[#This Row],[Total Revenue]]&gt;=10000,"Medium Value","Low Value"))</f>
        <v>Low Value</v>
      </c>
    </row>
    <row r="110" spans="1:16" x14ac:dyDescent="0.35">
      <c r="A110" s="1">
        <v>41749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2014</v>
      </c>
      <c r="K110">
        <v>4</v>
      </c>
      <c r="L110" t="s">
        <v>14</v>
      </c>
      <c r="M110">
        <f>SUM(Pharma_Sales_Data[[#This Row],[M01AB]:[R06]])</f>
        <v>0</v>
      </c>
      <c r="N110" s="2">
        <f>Pharma_Sales_Data[[#This Row],[Total Drug Sales]]*150</f>
        <v>0</v>
      </c>
      <c r="O110" s="2">
        <f>Pharma_Sales_Data[[#This Row],[Total Revenue]]*0.3</f>
        <v>0</v>
      </c>
      <c r="P110" t="str">
        <f>IF(Pharma_Sales_Data[[#This Row],[Total Revenue]]&gt;20000,"High Value", IF(Pharma_Sales_Data[[#This Row],[Total Revenue]]&gt;=10000,"Medium Value","Low Value"))</f>
        <v>Low Value</v>
      </c>
    </row>
    <row r="111" spans="1:16" x14ac:dyDescent="0.35">
      <c r="A111" s="1">
        <v>41750</v>
      </c>
      <c r="B111">
        <v>1.34</v>
      </c>
      <c r="C111">
        <v>1.68</v>
      </c>
      <c r="D111">
        <v>2.1</v>
      </c>
      <c r="E111">
        <v>13.5</v>
      </c>
      <c r="F111">
        <v>8</v>
      </c>
      <c r="G111">
        <v>0</v>
      </c>
      <c r="H111">
        <v>0</v>
      </c>
      <c r="I111">
        <v>1</v>
      </c>
      <c r="J111">
        <v>2014</v>
      </c>
      <c r="K111">
        <v>4</v>
      </c>
      <c r="L111" t="s">
        <v>15</v>
      </c>
      <c r="M111">
        <f>SUM(Pharma_Sales_Data[[#This Row],[M01AB]:[R06]])</f>
        <v>27.62</v>
      </c>
      <c r="N111" s="2">
        <f>Pharma_Sales_Data[[#This Row],[Total Drug Sales]]*150</f>
        <v>4143</v>
      </c>
      <c r="O111" s="2">
        <f>Pharma_Sales_Data[[#This Row],[Total Revenue]]*0.3</f>
        <v>1242.8999999999999</v>
      </c>
      <c r="P111" t="str">
        <f>IF(Pharma_Sales_Data[[#This Row],[Total Revenue]]&gt;20000,"High Value", IF(Pharma_Sales_Data[[#This Row],[Total Revenue]]&gt;=10000,"Medium Value","Low Value"))</f>
        <v>Low Value</v>
      </c>
    </row>
    <row r="112" spans="1:16" x14ac:dyDescent="0.35">
      <c r="A112" s="1">
        <v>41751</v>
      </c>
      <c r="B112">
        <v>5.34</v>
      </c>
      <c r="C112">
        <v>7.165</v>
      </c>
      <c r="D112">
        <v>3.3</v>
      </c>
      <c r="E112">
        <v>32</v>
      </c>
      <c r="F112">
        <v>8</v>
      </c>
      <c r="G112">
        <v>1</v>
      </c>
      <c r="H112">
        <v>0</v>
      </c>
      <c r="I112">
        <v>1</v>
      </c>
      <c r="J112">
        <v>2014</v>
      </c>
      <c r="K112">
        <v>4</v>
      </c>
      <c r="L112" t="s">
        <v>16</v>
      </c>
      <c r="M112">
        <f>SUM(Pharma_Sales_Data[[#This Row],[M01AB]:[R06]])</f>
        <v>57.805</v>
      </c>
      <c r="N112" s="2">
        <f>Pharma_Sales_Data[[#This Row],[Total Drug Sales]]*150</f>
        <v>8670.75</v>
      </c>
      <c r="O112" s="2">
        <f>Pharma_Sales_Data[[#This Row],[Total Revenue]]*0.3</f>
        <v>2601.2249999999999</v>
      </c>
      <c r="P112" t="str">
        <f>IF(Pharma_Sales_Data[[#This Row],[Total Revenue]]&gt;20000,"High Value", IF(Pharma_Sales_Data[[#This Row],[Total Revenue]]&gt;=10000,"Medium Value","Low Value"))</f>
        <v>Low Value</v>
      </c>
    </row>
    <row r="113" spans="1:16" x14ac:dyDescent="0.35">
      <c r="A113" s="1">
        <v>41752</v>
      </c>
      <c r="B113">
        <v>6.34</v>
      </c>
      <c r="C113">
        <v>2.34</v>
      </c>
      <c r="D113">
        <v>3</v>
      </c>
      <c r="E113">
        <v>24.9</v>
      </c>
      <c r="F113">
        <v>8</v>
      </c>
      <c r="G113">
        <v>1</v>
      </c>
      <c r="H113">
        <v>2</v>
      </c>
      <c r="I113">
        <v>1</v>
      </c>
      <c r="J113">
        <v>2014</v>
      </c>
      <c r="K113">
        <v>4</v>
      </c>
      <c r="L113" t="s">
        <v>17</v>
      </c>
      <c r="M113">
        <f>SUM(Pharma_Sales_Data[[#This Row],[M01AB]:[R06]])</f>
        <v>48.58</v>
      </c>
      <c r="N113" s="2">
        <f>Pharma_Sales_Data[[#This Row],[Total Drug Sales]]*150</f>
        <v>7287</v>
      </c>
      <c r="O113" s="2">
        <f>Pharma_Sales_Data[[#This Row],[Total Revenue]]*0.3</f>
        <v>2186.1</v>
      </c>
      <c r="P113" t="str">
        <f>IF(Pharma_Sales_Data[[#This Row],[Total Revenue]]&gt;20000,"High Value", IF(Pharma_Sales_Data[[#This Row],[Total Revenue]]&gt;=10000,"Medium Value","Low Value"))</f>
        <v>Low Value</v>
      </c>
    </row>
    <row r="114" spans="1:16" x14ac:dyDescent="0.35">
      <c r="A114" s="1">
        <v>41753</v>
      </c>
      <c r="B114">
        <v>2</v>
      </c>
      <c r="C114">
        <v>2</v>
      </c>
      <c r="D114">
        <v>1.1000000000000001</v>
      </c>
      <c r="E114">
        <v>26</v>
      </c>
      <c r="F114">
        <v>6</v>
      </c>
      <c r="G114">
        <v>0</v>
      </c>
      <c r="H114">
        <v>6</v>
      </c>
      <c r="I114">
        <v>2</v>
      </c>
      <c r="J114">
        <v>2014</v>
      </c>
      <c r="K114">
        <v>4</v>
      </c>
      <c r="L114" t="s">
        <v>11</v>
      </c>
      <c r="M114">
        <f>SUM(Pharma_Sales_Data[[#This Row],[M01AB]:[R06]])</f>
        <v>45.1</v>
      </c>
      <c r="N114" s="2">
        <f>Pharma_Sales_Data[[#This Row],[Total Drug Sales]]*150</f>
        <v>6765</v>
      </c>
      <c r="O114" s="2">
        <f>Pharma_Sales_Data[[#This Row],[Total Revenue]]*0.3</f>
        <v>2029.5</v>
      </c>
      <c r="P114" t="str">
        <f>IF(Pharma_Sales_Data[[#This Row],[Total Revenue]]&gt;20000,"High Value", IF(Pharma_Sales_Data[[#This Row],[Total Revenue]]&gt;=10000,"Medium Value","Low Value"))</f>
        <v>Low Value</v>
      </c>
    </row>
    <row r="115" spans="1:16" x14ac:dyDescent="0.35">
      <c r="A115" s="1">
        <v>41754</v>
      </c>
      <c r="B115">
        <v>3</v>
      </c>
      <c r="C115">
        <v>2.02</v>
      </c>
      <c r="D115">
        <v>5</v>
      </c>
      <c r="E115">
        <v>24.9</v>
      </c>
      <c r="F115">
        <v>10</v>
      </c>
      <c r="G115">
        <v>1</v>
      </c>
      <c r="H115">
        <v>1</v>
      </c>
      <c r="I115">
        <v>3</v>
      </c>
      <c r="J115">
        <v>2014</v>
      </c>
      <c r="K115">
        <v>4</v>
      </c>
      <c r="L115" t="s">
        <v>12</v>
      </c>
      <c r="M115">
        <f>SUM(Pharma_Sales_Data[[#This Row],[M01AB]:[R06]])</f>
        <v>49.92</v>
      </c>
      <c r="N115" s="2">
        <f>Pharma_Sales_Data[[#This Row],[Total Drug Sales]]*150</f>
        <v>7488</v>
      </c>
      <c r="O115" s="2">
        <f>Pharma_Sales_Data[[#This Row],[Total Revenue]]*0.3</f>
        <v>2246.4</v>
      </c>
      <c r="P115" t="str">
        <f>IF(Pharma_Sales_Data[[#This Row],[Total Revenue]]&gt;20000,"High Value", IF(Pharma_Sales_Data[[#This Row],[Total Revenue]]&gt;=10000,"Medium Value","Low Value"))</f>
        <v>Low Value</v>
      </c>
    </row>
    <row r="116" spans="1:16" x14ac:dyDescent="0.35">
      <c r="A116" s="1">
        <v>41755</v>
      </c>
      <c r="B116">
        <v>4.34</v>
      </c>
      <c r="C116">
        <v>2.67</v>
      </c>
      <c r="D116">
        <v>5.5</v>
      </c>
      <c r="E116">
        <v>35</v>
      </c>
      <c r="F116">
        <v>12</v>
      </c>
      <c r="G116">
        <v>1</v>
      </c>
      <c r="H116">
        <v>6</v>
      </c>
      <c r="I116">
        <v>4</v>
      </c>
      <c r="J116">
        <v>2014</v>
      </c>
      <c r="K116">
        <v>4</v>
      </c>
      <c r="L116" t="s">
        <v>13</v>
      </c>
      <c r="M116">
        <f>SUM(Pharma_Sales_Data[[#This Row],[M01AB]:[R06]])</f>
        <v>70.509999999999991</v>
      </c>
      <c r="N116" s="2">
        <f>Pharma_Sales_Data[[#This Row],[Total Drug Sales]]*150</f>
        <v>10576.499999999998</v>
      </c>
      <c r="O116" s="2">
        <f>Pharma_Sales_Data[[#This Row],[Total Revenue]]*0.3</f>
        <v>3172.9499999999994</v>
      </c>
      <c r="P116" t="str">
        <f>IF(Pharma_Sales_Data[[#This Row],[Total Revenue]]&gt;20000,"High Value", IF(Pharma_Sales_Data[[#This Row],[Total Revenue]]&gt;=10000,"Medium Value","Low Value"))</f>
        <v>Medium Value</v>
      </c>
    </row>
    <row r="117" spans="1:16" x14ac:dyDescent="0.35">
      <c r="A117" s="1">
        <v>41756</v>
      </c>
      <c r="B117">
        <v>4</v>
      </c>
      <c r="C117">
        <v>2.34</v>
      </c>
      <c r="D117">
        <v>2</v>
      </c>
      <c r="E117">
        <v>26.2</v>
      </c>
      <c r="F117">
        <v>2</v>
      </c>
      <c r="G117">
        <v>0</v>
      </c>
      <c r="H117">
        <v>1</v>
      </c>
      <c r="I117">
        <v>1</v>
      </c>
      <c r="J117">
        <v>2014</v>
      </c>
      <c r="K117">
        <v>4</v>
      </c>
      <c r="L117" t="s">
        <v>14</v>
      </c>
      <c r="M117">
        <f>SUM(Pharma_Sales_Data[[#This Row],[M01AB]:[R06]])</f>
        <v>38.54</v>
      </c>
      <c r="N117" s="2">
        <f>Pharma_Sales_Data[[#This Row],[Total Drug Sales]]*150</f>
        <v>5781</v>
      </c>
      <c r="O117" s="2">
        <f>Pharma_Sales_Data[[#This Row],[Total Revenue]]*0.3</f>
        <v>1734.3</v>
      </c>
      <c r="P117" t="str">
        <f>IF(Pharma_Sales_Data[[#This Row],[Total Revenue]]&gt;20000,"High Value", IF(Pharma_Sales_Data[[#This Row],[Total Revenue]]&gt;=10000,"Medium Value","Low Value"))</f>
        <v>Low Value</v>
      </c>
    </row>
    <row r="118" spans="1:16" x14ac:dyDescent="0.35">
      <c r="A118" s="1">
        <v>41757</v>
      </c>
      <c r="B118">
        <v>1.34</v>
      </c>
      <c r="C118">
        <v>3.09</v>
      </c>
      <c r="D118">
        <v>3</v>
      </c>
      <c r="E118">
        <v>29.1</v>
      </c>
      <c r="F118">
        <v>8</v>
      </c>
      <c r="G118">
        <v>2</v>
      </c>
      <c r="H118">
        <v>0</v>
      </c>
      <c r="I118">
        <v>2</v>
      </c>
      <c r="J118">
        <v>2014</v>
      </c>
      <c r="K118">
        <v>4</v>
      </c>
      <c r="L118" t="s">
        <v>15</v>
      </c>
      <c r="M118">
        <f>SUM(Pharma_Sales_Data[[#This Row],[M01AB]:[R06]])</f>
        <v>48.53</v>
      </c>
      <c r="N118" s="2">
        <f>Pharma_Sales_Data[[#This Row],[Total Drug Sales]]*150</f>
        <v>7279.5</v>
      </c>
      <c r="O118" s="2">
        <f>Pharma_Sales_Data[[#This Row],[Total Revenue]]*0.3</f>
        <v>2183.85</v>
      </c>
      <c r="P118" t="str">
        <f>IF(Pharma_Sales_Data[[#This Row],[Total Revenue]]&gt;20000,"High Value", IF(Pharma_Sales_Data[[#This Row],[Total Revenue]]&gt;=10000,"Medium Value","Low Value"))</f>
        <v>Low Value</v>
      </c>
    </row>
    <row r="119" spans="1:16" x14ac:dyDescent="0.35">
      <c r="A119" s="1">
        <v>41758</v>
      </c>
      <c r="B119">
        <v>3.33</v>
      </c>
      <c r="C119">
        <v>4.0199999999999996</v>
      </c>
      <c r="D119">
        <v>4.4000000000000004</v>
      </c>
      <c r="E119">
        <v>30.3</v>
      </c>
      <c r="F119">
        <v>6</v>
      </c>
      <c r="G119">
        <v>1</v>
      </c>
      <c r="H119">
        <v>5</v>
      </c>
      <c r="I119">
        <v>0.4</v>
      </c>
      <c r="J119">
        <v>2014</v>
      </c>
      <c r="K119">
        <v>4</v>
      </c>
      <c r="L119" t="s">
        <v>16</v>
      </c>
      <c r="M119">
        <f>SUM(Pharma_Sales_Data[[#This Row],[M01AB]:[R06]])</f>
        <v>54.449999999999996</v>
      </c>
      <c r="N119" s="2">
        <f>Pharma_Sales_Data[[#This Row],[Total Drug Sales]]*150</f>
        <v>8167.4999999999991</v>
      </c>
      <c r="O119" s="2">
        <f>Pharma_Sales_Data[[#This Row],[Total Revenue]]*0.3</f>
        <v>2450.2499999999995</v>
      </c>
      <c r="P119" t="str">
        <f>IF(Pharma_Sales_Data[[#This Row],[Total Revenue]]&gt;20000,"High Value", IF(Pharma_Sales_Data[[#This Row],[Total Revenue]]&gt;=10000,"Medium Value","Low Value"))</f>
        <v>Low Value</v>
      </c>
    </row>
    <row r="120" spans="1:16" x14ac:dyDescent="0.35">
      <c r="A120" s="1">
        <v>41759</v>
      </c>
      <c r="B120">
        <v>4.34</v>
      </c>
      <c r="C120">
        <v>2.68</v>
      </c>
      <c r="D120">
        <v>7</v>
      </c>
      <c r="E120">
        <v>43.1</v>
      </c>
      <c r="F120">
        <v>11</v>
      </c>
      <c r="G120">
        <v>0</v>
      </c>
      <c r="H120">
        <v>7</v>
      </c>
      <c r="I120">
        <v>4</v>
      </c>
      <c r="J120">
        <v>2014</v>
      </c>
      <c r="K120">
        <v>4</v>
      </c>
      <c r="L120" t="s">
        <v>17</v>
      </c>
      <c r="M120">
        <f>SUM(Pharma_Sales_Data[[#This Row],[M01AB]:[R06]])</f>
        <v>79.12</v>
      </c>
      <c r="N120" s="2">
        <f>Pharma_Sales_Data[[#This Row],[Total Drug Sales]]*150</f>
        <v>11868</v>
      </c>
      <c r="O120" s="2">
        <f>Pharma_Sales_Data[[#This Row],[Total Revenue]]*0.3</f>
        <v>3560.4</v>
      </c>
      <c r="P120" t="str">
        <f>IF(Pharma_Sales_Data[[#This Row],[Total Revenue]]&gt;20000,"High Value", IF(Pharma_Sales_Data[[#This Row],[Total Revenue]]&gt;=10000,"Medium Value","Low Value"))</f>
        <v>Medium Value</v>
      </c>
    </row>
    <row r="121" spans="1:16" x14ac:dyDescent="0.35">
      <c r="A121" s="1">
        <v>41760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2014</v>
      </c>
      <c r="K121">
        <v>5</v>
      </c>
      <c r="L121" t="s">
        <v>11</v>
      </c>
      <c r="M121">
        <f>SUM(Pharma_Sales_Data[[#This Row],[M01AB]:[R06]])</f>
        <v>0</v>
      </c>
      <c r="N121" s="2">
        <f>Pharma_Sales_Data[[#This Row],[Total Drug Sales]]*150</f>
        <v>0</v>
      </c>
      <c r="O121" s="2">
        <f>Pharma_Sales_Data[[#This Row],[Total Revenue]]*0.3</f>
        <v>0</v>
      </c>
      <c r="P121" t="str">
        <f>IF(Pharma_Sales_Data[[#This Row],[Total Revenue]]&gt;20000,"High Value", IF(Pharma_Sales_Data[[#This Row],[Total Revenue]]&gt;=10000,"Medium Value","Low Value"))</f>
        <v>Low Value</v>
      </c>
    </row>
    <row r="122" spans="1:16" x14ac:dyDescent="0.35">
      <c r="A122" s="1">
        <v>41761</v>
      </c>
      <c r="B122">
        <v>7.34</v>
      </c>
      <c r="C122">
        <v>7.34</v>
      </c>
      <c r="D122">
        <v>6.3</v>
      </c>
      <c r="E122">
        <v>39.5</v>
      </c>
      <c r="F122">
        <v>16</v>
      </c>
      <c r="G122">
        <v>1</v>
      </c>
      <c r="H122">
        <v>12</v>
      </c>
      <c r="I122">
        <v>2</v>
      </c>
      <c r="J122">
        <v>2014</v>
      </c>
      <c r="K122">
        <v>5</v>
      </c>
      <c r="L122" t="s">
        <v>12</v>
      </c>
      <c r="M122">
        <f>SUM(Pharma_Sales_Data[[#This Row],[M01AB]:[R06]])</f>
        <v>91.48</v>
      </c>
      <c r="N122" s="2">
        <f>Pharma_Sales_Data[[#This Row],[Total Drug Sales]]*150</f>
        <v>13722</v>
      </c>
      <c r="O122" s="2">
        <f>Pharma_Sales_Data[[#This Row],[Total Revenue]]*0.3</f>
        <v>4116.5999999999995</v>
      </c>
      <c r="P122" t="str">
        <f>IF(Pharma_Sales_Data[[#This Row],[Total Revenue]]&gt;20000,"High Value", IF(Pharma_Sales_Data[[#This Row],[Total Revenue]]&gt;=10000,"Medium Value","Low Value"))</f>
        <v>Medium Value</v>
      </c>
    </row>
    <row r="123" spans="1:16" x14ac:dyDescent="0.35">
      <c r="A123" s="1">
        <v>41762</v>
      </c>
      <c r="B123">
        <v>4</v>
      </c>
      <c r="C123">
        <v>5.34</v>
      </c>
      <c r="D123">
        <v>2</v>
      </c>
      <c r="E123">
        <v>14.6</v>
      </c>
      <c r="F123">
        <v>5</v>
      </c>
      <c r="G123">
        <v>2</v>
      </c>
      <c r="H123">
        <v>0</v>
      </c>
      <c r="I123">
        <v>2.5</v>
      </c>
      <c r="J123">
        <v>2014</v>
      </c>
      <c r="K123">
        <v>5</v>
      </c>
      <c r="L123" t="s">
        <v>13</v>
      </c>
      <c r="M123">
        <f>SUM(Pharma_Sales_Data[[#This Row],[M01AB]:[R06]])</f>
        <v>35.44</v>
      </c>
      <c r="N123" s="2">
        <f>Pharma_Sales_Data[[#This Row],[Total Drug Sales]]*150</f>
        <v>5316</v>
      </c>
      <c r="O123" s="2">
        <f>Pharma_Sales_Data[[#This Row],[Total Revenue]]*0.3</f>
        <v>1594.8</v>
      </c>
      <c r="P123" t="str">
        <f>IF(Pharma_Sales_Data[[#This Row],[Total Revenue]]&gt;20000,"High Value", IF(Pharma_Sales_Data[[#This Row],[Total Revenue]]&gt;=10000,"Medium Value","Low Value"))</f>
        <v>Low Value</v>
      </c>
    </row>
    <row r="124" spans="1:16" x14ac:dyDescent="0.35">
      <c r="A124" s="1">
        <v>41763</v>
      </c>
      <c r="B124">
        <v>1.67</v>
      </c>
      <c r="C124">
        <v>4.6900000000000004</v>
      </c>
      <c r="D124">
        <v>1.2</v>
      </c>
      <c r="E124">
        <v>20</v>
      </c>
      <c r="F124">
        <v>3</v>
      </c>
      <c r="G124">
        <v>0</v>
      </c>
      <c r="H124">
        <v>0</v>
      </c>
      <c r="I124">
        <v>3</v>
      </c>
      <c r="J124">
        <v>2014</v>
      </c>
      <c r="K124">
        <v>5</v>
      </c>
      <c r="L124" t="s">
        <v>14</v>
      </c>
      <c r="M124">
        <f>SUM(Pharma_Sales_Data[[#This Row],[M01AB]:[R06]])</f>
        <v>33.56</v>
      </c>
      <c r="N124" s="2">
        <f>Pharma_Sales_Data[[#This Row],[Total Drug Sales]]*150</f>
        <v>5034</v>
      </c>
      <c r="O124" s="2">
        <f>Pharma_Sales_Data[[#This Row],[Total Revenue]]*0.3</f>
        <v>1510.2</v>
      </c>
      <c r="P124" t="str">
        <f>IF(Pharma_Sales_Data[[#This Row],[Total Revenue]]&gt;20000,"High Value", IF(Pharma_Sales_Data[[#This Row],[Total Revenue]]&gt;=10000,"Medium Value","Low Value"))</f>
        <v>Low Value</v>
      </c>
    </row>
    <row r="125" spans="1:16" x14ac:dyDescent="0.35">
      <c r="A125" s="1">
        <v>41764</v>
      </c>
      <c r="B125">
        <v>3</v>
      </c>
      <c r="C125">
        <v>5.7850000000000001</v>
      </c>
      <c r="D125">
        <v>5</v>
      </c>
      <c r="E125">
        <v>20</v>
      </c>
      <c r="F125">
        <v>7</v>
      </c>
      <c r="G125">
        <v>0</v>
      </c>
      <c r="H125">
        <v>3</v>
      </c>
      <c r="I125">
        <v>4</v>
      </c>
      <c r="J125">
        <v>2014</v>
      </c>
      <c r="K125">
        <v>5</v>
      </c>
      <c r="L125" t="s">
        <v>15</v>
      </c>
      <c r="M125">
        <f>SUM(Pharma_Sales_Data[[#This Row],[M01AB]:[R06]])</f>
        <v>47.784999999999997</v>
      </c>
      <c r="N125" s="2">
        <f>Pharma_Sales_Data[[#This Row],[Total Drug Sales]]*150</f>
        <v>7167.7499999999991</v>
      </c>
      <c r="O125" s="2">
        <f>Pharma_Sales_Data[[#This Row],[Total Revenue]]*0.3</f>
        <v>2150.3249999999998</v>
      </c>
      <c r="P125" t="str">
        <f>IF(Pharma_Sales_Data[[#This Row],[Total Revenue]]&gt;20000,"High Value", IF(Pharma_Sales_Data[[#This Row],[Total Revenue]]&gt;=10000,"Medium Value","Low Value"))</f>
        <v>Low Value</v>
      </c>
    </row>
    <row r="126" spans="1:16" x14ac:dyDescent="0.35">
      <c r="A126" s="1">
        <v>41765</v>
      </c>
      <c r="B126">
        <v>7.34</v>
      </c>
      <c r="C126">
        <v>4.3600000000000003</v>
      </c>
      <c r="D126">
        <v>4</v>
      </c>
      <c r="E126">
        <v>22</v>
      </c>
      <c r="F126">
        <v>10</v>
      </c>
      <c r="G126">
        <v>2</v>
      </c>
      <c r="H126">
        <v>6</v>
      </c>
      <c r="I126">
        <v>5</v>
      </c>
      <c r="J126">
        <v>2014</v>
      </c>
      <c r="K126">
        <v>5</v>
      </c>
      <c r="L126" t="s">
        <v>16</v>
      </c>
      <c r="M126">
        <f>SUM(Pharma_Sales_Data[[#This Row],[M01AB]:[R06]])</f>
        <v>60.7</v>
      </c>
      <c r="N126" s="2">
        <f>Pharma_Sales_Data[[#This Row],[Total Drug Sales]]*150</f>
        <v>9105</v>
      </c>
      <c r="O126" s="2">
        <f>Pharma_Sales_Data[[#This Row],[Total Revenue]]*0.3</f>
        <v>2731.5</v>
      </c>
      <c r="P126" t="str">
        <f>IF(Pharma_Sales_Data[[#This Row],[Total Revenue]]&gt;20000,"High Value", IF(Pharma_Sales_Data[[#This Row],[Total Revenue]]&gt;=10000,"Medium Value","Low Value"))</f>
        <v>Low Value</v>
      </c>
    </row>
    <row r="127" spans="1:16" x14ac:dyDescent="0.35">
      <c r="A127" s="1">
        <v>41766</v>
      </c>
      <c r="B127">
        <v>3.33</v>
      </c>
      <c r="C127">
        <v>6.32</v>
      </c>
      <c r="D127">
        <v>3</v>
      </c>
      <c r="E127">
        <v>16.8</v>
      </c>
      <c r="F127">
        <v>8</v>
      </c>
      <c r="G127">
        <v>1</v>
      </c>
      <c r="H127">
        <v>3</v>
      </c>
      <c r="I127">
        <v>11</v>
      </c>
      <c r="J127">
        <v>2014</v>
      </c>
      <c r="K127">
        <v>5</v>
      </c>
      <c r="L127" t="s">
        <v>17</v>
      </c>
      <c r="M127">
        <f>SUM(Pharma_Sales_Data[[#This Row],[M01AB]:[R06]])</f>
        <v>52.45</v>
      </c>
      <c r="N127" s="2">
        <f>Pharma_Sales_Data[[#This Row],[Total Drug Sales]]*150</f>
        <v>7867.5</v>
      </c>
      <c r="O127" s="2">
        <f>Pharma_Sales_Data[[#This Row],[Total Revenue]]*0.3</f>
        <v>2360.25</v>
      </c>
      <c r="P127" t="str">
        <f>IF(Pharma_Sales_Data[[#This Row],[Total Revenue]]&gt;20000,"High Value", IF(Pharma_Sales_Data[[#This Row],[Total Revenue]]&gt;=10000,"Medium Value","Low Value"))</f>
        <v>Low Value</v>
      </c>
    </row>
    <row r="128" spans="1:16" x14ac:dyDescent="0.35">
      <c r="A128" s="1">
        <v>41767</v>
      </c>
      <c r="B128">
        <v>2</v>
      </c>
      <c r="C128">
        <v>2.34</v>
      </c>
      <c r="D128">
        <v>3.4</v>
      </c>
      <c r="E128">
        <v>20.399999999999999</v>
      </c>
      <c r="F128">
        <v>10</v>
      </c>
      <c r="G128">
        <v>3</v>
      </c>
      <c r="H128">
        <v>0</v>
      </c>
      <c r="I128">
        <v>5</v>
      </c>
      <c r="J128">
        <v>2014</v>
      </c>
      <c r="K128">
        <v>5</v>
      </c>
      <c r="L128" t="s">
        <v>11</v>
      </c>
      <c r="M128">
        <f>SUM(Pharma_Sales_Data[[#This Row],[M01AB]:[R06]])</f>
        <v>46.14</v>
      </c>
      <c r="N128" s="2">
        <f>Pharma_Sales_Data[[#This Row],[Total Drug Sales]]*150</f>
        <v>6921</v>
      </c>
      <c r="O128" s="2">
        <f>Pharma_Sales_Data[[#This Row],[Total Revenue]]*0.3</f>
        <v>2076.2999999999997</v>
      </c>
      <c r="P128" t="str">
        <f>IF(Pharma_Sales_Data[[#This Row],[Total Revenue]]&gt;20000,"High Value", IF(Pharma_Sales_Data[[#This Row],[Total Revenue]]&gt;=10000,"Medium Value","Low Value"))</f>
        <v>Low Value</v>
      </c>
    </row>
    <row r="129" spans="1:16" x14ac:dyDescent="0.35">
      <c r="A129" s="1">
        <v>41768</v>
      </c>
      <c r="B129">
        <v>2</v>
      </c>
      <c r="C129">
        <v>5</v>
      </c>
      <c r="D129">
        <v>4.2</v>
      </c>
      <c r="E129">
        <v>16</v>
      </c>
      <c r="F129">
        <v>12</v>
      </c>
      <c r="G129">
        <v>2</v>
      </c>
      <c r="H129">
        <v>1</v>
      </c>
      <c r="I129">
        <v>2</v>
      </c>
      <c r="J129">
        <v>2014</v>
      </c>
      <c r="K129">
        <v>5</v>
      </c>
      <c r="L129" t="s">
        <v>12</v>
      </c>
      <c r="M129">
        <f>SUM(Pharma_Sales_Data[[#This Row],[M01AB]:[R06]])</f>
        <v>44.2</v>
      </c>
      <c r="N129" s="2">
        <f>Pharma_Sales_Data[[#This Row],[Total Drug Sales]]*150</f>
        <v>6630</v>
      </c>
      <c r="O129" s="2">
        <f>Pharma_Sales_Data[[#This Row],[Total Revenue]]*0.3</f>
        <v>1989</v>
      </c>
      <c r="P129" t="str">
        <f>IF(Pharma_Sales_Data[[#This Row],[Total Revenue]]&gt;20000,"High Value", IF(Pharma_Sales_Data[[#This Row],[Total Revenue]]&gt;=10000,"Medium Value","Low Value"))</f>
        <v>Low Value</v>
      </c>
    </row>
    <row r="130" spans="1:16" x14ac:dyDescent="0.35">
      <c r="A130" s="1">
        <v>41769</v>
      </c>
      <c r="B130">
        <v>5</v>
      </c>
      <c r="C130">
        <v>6</v>
      </c>
      <c r="D130">
        <v>9</v>
      </c>
      <c r="E130">
        <v>39.4</v>
      </c>
      <c r="F130">
        <v>15</v>
      </c>
      <c r="G130">
        <v>3</v>
      </c>
      <c r="H130">
        <v>1</v>
      </c>
      <c r="I130">
        <v>5</v>
      </c>
      <c r="J130">
        <v>2014</v>
      </c>
      <c r="K130">
        <v>5</v>
      </c>
      <c r="L130" t="s">
        <v>13</v>
      </c>
      <c r="M130">
        <f>SUM(Pharma_Sales_Data[[#This Row],[M01AB]:[R06]])</f>
        <v>83.4</v>
      </c>
      <c r="N130" s="2">
        <f>Pharma_Sales_Data[[#This Row],[Total Drug Sales]]*150</f>
        <v>12510</v>
      </c>
      <c r="O130" s="2">
        <f>Pharma_Sales_Data[[#This Row],[Total Revenue]]*0.3</f>
        <v>3753</v>
      </c>
      <c r="P130" t="str">
        <f>IF(Pharma_Sales_Data[[#This Row],[Total Revenue]]&gt;20000,"High Value", IF(Pharma_Sales_Data[[#This Row],[Total Revenue]]&gt;=10000,"Medium Value","Low Value"))</f>
        <v>Medium Value</v>
      </c>
    </row>
    <row r="131" spans="1:16" x14ac:dyDescent="0.35">
      <c r="A131" s="1">
        <v>41770</v>
      </c>
      <c r="B131">
        <v>2</v>
      </c>
      <c r="C131">
        <v>2.68</v>
      </c>
      <c r="D131">
        <v>1</v>
      </c>
      <c r="E131">
        <v>17</v>
      </c>
      <c r="F131">
        <v>7</v>
      </c>
      <c r="G131">
        <v>0</v>
      </c>
      <c r="H131">
        <v>1</v>
      </c>
      <c r="I131">
        <v>4</v>
      </c>
      <c r="J131">
        <v>2014</v>
      </c>
      <c r="K131">
        <v>5</v>
      </c>
      <c r="L131" t="s">
        <v>14</v>
      </c>
      <c r="M131">
        <f>SUM(Pharma_Sales_Data[[#This Row],[M01AB]:[R06]])</f>
        <v>34.68</v>
      </c>
      <c r="N131" s="2">
        <f>Pharma_Sales_Data[[#This Row],[Total Drug Sales]]*150</f>
        <v>5202</v>
      </c>
      <c r="O131" s="2">
        <f>Pharma_Sales_Data[[#This Row],[Total Revenue]]*0.3</f>
        <v>1560.6</v>
      </c>
      <c r="P131" t="str">
        <f>IF(Pharma_Sales_Data[[#This Row],[Total Revenue]]&gt;20000,"High Value", IF(Pharma_Sales_Data[[#This Row],[Total Revenue]]&gt;=10000,"Medium Value","Low Value"))</f>
        <v>Low Value</v>
      </c>
    </row>
    <row r="132" spans="1:16" x14ac:dyDescent="0.35">
      <c r="A132" s="1">
        <v>41771</v>
      </c>
      <c r="B132">
        <v>4.34</v>
      </c>
      <c r="C132">
        <v>3.34</v>
      </c>
      <c r="D132">
        <v>9</v>
      </c>
      <c r="E132">
        <v>12</v>
      </c>
      <c r="F132">
        <v>8</v>
      </c>
      <c r="G132">
        <v>0</v>
      </c>
      <c r="H132">
        <v>5</v>
      </c>
      <c r="I132">
        <v>2</v>
      </c>
      <c r="J132">
        <v>2014</v>
      </c>
      <c r="K132">
        <v>5</v>
      </c>
      <c r="L132" t="s">
        <v>15</v>
      </c>
      <c r="M132">
        <f>SUM(Pharma_Sales_Data[[#This Row],[M01AB]:[R06]])</f>
        <v>43.68</v>
      </c>
      <c r="N132" s="2">
        <f>Pharma_Sales_Data[[#This Row],[Total Drug Sales]]*150</f>
        <v>6552</v>
      </c>
      <c r="O132" s="2">
        <f>Pharma_Sales_Data[[#This Row],[Total Revenue]]*0.3</f>
        <v>1965.6</v>
      </c>
      <c r="P132" t="str">
        <f>IF(Pharma_Sales_Data[[#This Row],[Total Revenue]]&gt;20000,"High Value", IF(Pharma_Sales_Data[[#This Row],[Total Revenue]]&gt;=10000,"Medium Value","Low Value"))</f>
        <v>Low Value</v>
      </c>
    </row>
    <row r="133" spans="1:16" x14ac:dyDescent="0.35">
      <c r="A133" s="1">
        <v>41772</v>
      </c>
      <c r="B133">
        <v>3.68</v>
      </c>
      <c r="C133">
        <v>0.34</v>
      </c>
      <c r="D133">
        <v>6.2</v>
      </c>
      <c r="E133">
        <v>32</v>
      </c>
      <c r="F133">
        <v>7</v>
      </c>
      <c r="G133">
        <v>0</v>
      </c>
      <c r="H133">
        <v>25</v>
      </c>
      <c r="I133">
        <v>7.5</v>
      </c>
      <c r="J133">
        <v>2014</v>
      </c>
      <c r="K133">
        <v>5</v>
      </c>
      <c r="L133" t="s">
        <v>16</v>
      </c>
      <c r="M133">
        <f>SUM(Pharma_Sales_Data[[#This Row],[M01AB]:[R06]])</f>
        <v>81.72</v>
      </c>
      <c r="N133" s="2">
        <f>Pharma_Sales_Data[[#This Row],[Total Drug Sales]]*150</f>
        <v>12258</v>
      </c>
      <c r="O133" s="2">
        <f>Pharma_Sales_Data[[#This Row],[Total Revenue]]*0.3</f>
        <v>3677.4</v>
      </c>
      <c r="P133" t="str">
        <f>IF(Pharma_Sales_Data[[#This Row],[Total Revenue]]&gt;20000,"High Value", IF(Pharma_Sales_Data[[#This Row],[Total Revenue]]&gt;=10000,"Medium Value","Low Value"))</f>
        <v>Medium Value</v>
      </c>
    </row>
    <row r="134" spans="1:16" x14ac:dyDescent="0.35">
      <c r="A134" s="1">
        <v>41773</v>
      </c>
      <c r="B134">
        <v>1</v>
      </c>
      <c r="C134">
        <v>4.0199999999999996</v>
      </c>
      <c r="D134">
        <v>6</v>
      </c>
      <c r="E134">
        <v>24.3</v>
      </c>
      <c r="F134">
        <v>4</v>
      </c>
      <c r="G134">
        <v>0</v>
      </c>
      <c r="H134">
        <v>0</v>
      </c>
      <c r="I134">
        <v>3</v>
      </c>
      <c r="J134">
        <v>2014</v>
      </c>
      <c r="K134">
        <v>5</v>
      </c>
      <c r="L134" t="s">
        <v>17</v>
      </c>
      <c r="M134">
        <f>SUM(Pharma_Sales_Data[[#This Row],[M01AB]:[R06]])</f>
        <v>42.32</v>
      </c>
      <c r="N134" s="2">
        <f>Pharma_Sales_Data[[#This Row],[Total Drug Sales]]*150</f>
        <v>6348</v>
      </c>
      <c r="O134" s="2">
        <f>Pharma_Sales_Data[[#This Row],[Total Revenue]]*0.3</f>
        <v>1904.3999999999999</v>
      </c>
      <c r="P134" t="str">
        <f>IF(Pharma_Sales_Data[[#This Row],[Total Revenue]]&gt;20000,"High Value", IF(Pharma_Sales_Data[[#This Row],[Total Revenue]]&gt;=10000,"Medium Value","Low Value"))</f>
        <v>Low Value</v>
      </c>
    </row>
    <row r="135" spans="1:16" x14ac:dyDescent="0.35">
      <c r="A135" s="1">
        <v>41774</v>
      </c>
      <c r="B135">
        <v>2.34</v>
      </c>
      <c r="C135">
        <v>2.02</v>
      </c>
      <c r="D135">
        <v>3</v>
      </c>
      <c r="E135">
        <v>19.3</v>
      </c>
      <c r="F135">
        <v>7</v>
      </c>
      <c r="G135">
        <v>0</v>
      </c>
      <c r="H135">
        <v>1</v>
      </c>
      <c r="I135">
        <v>2</v>
      </c>
      <c r="J135">
        <v>2014</v>
      </c>
      <c r="K135">
        <v>5</v>
      </c>
      <c r="L135" t="s">
        <v>11</v>
      </c>
      <c r="M135">
        <f>SUM(Pharma_Sales_Data[[#This Row],[M01AB]:[R06]])</f>
        <v>36.659999999999997</v>
      </c>
      <c r="N135" s="2">
        <f>Pharma_Sales_Data[[#This Row],[Total Drug Sales]]*150</f>
        <v>5498.9999999999991</v>
      </c>
      <c r="O135" s="2">
        <f>Pharma_Sales_Data[[#This Row],[Total Revenue]]*0.3</f>
        <v>1649.6999999999996</v>
      </c>
      <c r="P135" t="str">
        <f>IF(Pharma_Sales_Data[[#This Row],[Total Revenue]]&gt;20000,"High Value", IF(Pharma_Sales_Data[[#This Row],[Total Revenue]]&gt;=10000,"Medium Value","Low Value"))</f>
        <v>Low Value</v>
      </c>
    </row>
    <row r="136" spans="1:16" x14ac:dyDescent="0.35">
      <c r="A136" s="1">
        <v>41775</v>
      </c>
      <c r="B136">
        <v>5.34</v>
      </c>
      <c r="C136">
        <v>7</v>
      </c>
      <c r="D136">
        <v>3</v>
      </c>
      <c r="E136">
        <v>22</v>
      </c>
      <c r="F136">
        <v>10</v>
      </c>
      <c r="G136">
        <v>1</v>
      </c>
      <c r="H136">
        <v>11</v>
      </c>
      <c r="I136">
        <v>1</v>
      </c>
      <c r="J136">
        <v>2014</v>
      </c>
      <c r="K136">
        <v>5</v>
      </c>
      <c r="L136" t="s">
        <v>12</v>
      </c>
      <c r="M136">
        <f>SUM(Pharma_Sales_Data[[#This Row],[M01AB]:[R06]])</f>
        <v>60.34</v>
      </c>
      <c r="N136" s="2">
        <f>Pharma_Sales_Data[[#This Row],[Total Drug Sales]]*150</f>
        <v>9051</v>
      </c>
      <c r="O136" s="2">
        <f>Pharma_Sales_Data[[#This Row],[Total Revenue]]*0.3</f>
        <v>2715.2999999999997</v>
      </c>
      <c r="P136" t="str">
        <f>IF(Pharma_Sales_Data[[#This Row],[Total Revenue]]&gt;20000,"High Value", IF(Pharma_Sales_Data[[#This Row],[Total Revenue]]&gt;=10000,"Medium Value","Low Value"))</f>
        <v>Low Value</v>
      </c>
    </row>
    <row r="137" spans="1:16" x14ac:dyDescent="0.35">
      <c r="A137" s="1">
        <v>41776</v>
      </c>
      <c r="B137">
        <v>2.34</v>
      </c>
      <c r="C137">
        <v>7.68</v>
      </c>
      <c r="D137">
        <v>3</v>
      </c>
      <c r="E137">
        <v>35</v>
      </c>
      <c r="F137">
        <v>14</v>
      </c>
      <c r="G137">
        <v>1</v>
      </c>
      <c r="H137">
        <v>0</v>
      </c>
      <c r="I137">
        <v>2</v>
      </c>
      <c r="J137">
        <v>2014</v>
      </c>
      <c r="K137">
        <v>5</v>
      </c>
      <c r="L137" t="s">
        <v>13</v>
      </c>
      <c r="M137">
        <f>SUM(Pharma_Sales_Data[[#This Row],[M01AB]:[R06]])</f>
        <v>65.02</v>
      </c>
      <c r="N137" s="2">
        <f>Pharma_Sales_Data[[#This Row],[Total Drug Sales]]*150</f>
        <v>9753</v>
      </c>
      <c r="O137" s="2">
        <f>Pharma_Sales_Data[[#This Row],[Total Revenue]]*0.3</f>
        <v>2925.9</v>
      </c>
      <c r="P137" t="str">
        <f>IF(Pharma_Sales_Data[[#This Row],[Total Revenue]]&gt;20000,"High Value", IF(Pharma_Sales_Data[[#This Row],[Total Revenue]]&gt;=10000,"Medium Value","Low Value"))</f>
        <v>Low Value</v>
      </c>
    </row>
    <row r="138" spans="1:16" x14ac:dyDescent="0.35">
      <c r="A138" s="1">
        <v>41777</v>
      </c>
      <c r="B138">
        <v>3.34</v>
      </c>
      <c r="C138">
        <v>2</v>
      </c>
      <c r="D138">
        <v>5</v>
      </c>
      <c r="E138">
        <v>9.4</v>
      </c>
      <c r="F138">
        <v>6</v>
      </c>
      <c r="G138">
        <v>0</v>
      </c>
      <c r="H138">
        <v>0</v>
      </c>
      <c r="I138">
        <v>1</v>
      </c>
      <c r="J138">
        <v>2014</v>
      </c>
      <c r="K138">
        <v>5</v>
      </c>
      <c r="L138" t="s">
        <v>14</v>
      </c>
      <c r="M138">
        <f>SUM(Pharma_Sales_Data[[#This Row],[M01AB]:[R06]])</f>
        <v>26.740000000000002</v>
      </c>
      <c r="N138" s="2">
        <f>Pharma_Sales_Data[[#This Row],[Total Drug Sales]]*150</f>
        <v>4011.0000000000005</v>
      </c>
      <c r="O138" s="2">
        <f>Pharma_Sales_Data[[#This Row],[Total Revenue]]*0.3</f>
        <v>1203.3000000000002</v>
      </c>
      <c r="P138" t="str">
        <f>IF(Pharma_Sales_Data[[#This Row],[Total Revenue]]&gt;20000,"High Value", IF(Pharma_Sales_Data[[#This Row],[Total Revenue]]&gt;=10000,"Medium Value","Low Value"))</f>
        <v>Low Value</v>
      </c>
    </row>
    <row r="139" spans="1:16" x14ac:dyDescent="0.35">
      <c r="A139" s="1">
        <v>41778</v>
      </c>
      <c r="B139">
        <v>8.34</v>
      </c>
      <c r="C139">
        <v>3.84</v>
      </c>
      <c r="D139">
        <v>6.1</v>
      </c>
      <c r="E139">
        <v>12.8</v>
      </c>
      <c r="F139">
        <v>5</v>
      </c>
      <c r="G139">
        <v>0</v>
      </c>
      <c r="H139">
        <v>3</v>
      </c>
      <c r="I139">
        <v>9</v>
      </c>
      <c r="J139">
        <v>2014</v>
      </c>
      <c r="K139">
        <v>5</v>
      </c>
      <c r="L139" t="s">
        <v>15</v>
      </c>
      <c r="M139">
        <f>SUM(Pharma_Sales_Data[[#This Row],[M01AB]:[R06]])</f>
        <v>48.08</v>
      </c>
      <c r="N139" s="2">
        <f>Pharma_Sales_Data[[#This Row],[Total Drug Sales]]*150</f>
        <v>7212</v>
      </c>
      <c r="O139" s="2">
        <f>Pharma_Sales_Data[[#This Row],[Total Revenue]]*0.3</f>
        <v>2163.6</v>
      </c>
      <c r="P139" t="str">
        <f>IF(Pharma_Sales_Data[[#This Row],[Total Revenue]]&gt;20000,"High Value", IF(Pharma_Sales_Data[[#This Row],[Total Revenue]]&gt;=10000,"Medium Value","Low Value"))</f>
        <v>Low Value</v>
      </c>
    </row>
    <row r="140" spans="1:16" x14ac:dyDescent="0.35">
      <c r="A140" s="1">
        <v>41779</v>
      </c>
      <c r="B140">
        <v>1</v>
      </c>
      <c r="C140">
        <v>2.375</v>
      </c>
      <c r="D140">
        <v>7</v>
      </c>
      <c r="E140">
        <v>27</v>
      </c>
      <c r="F140">
        <v>10</v>
      </c>
      <c r="G140">
        <v>1</v>
      </c>
      <c r="H140">
        <v>0</v>
      </c>
      <c r="I140">
        <v>3.6</v>
      </c>
      <c r="J140">
        <v>2014</v>
      </c>
      <c r="K140">
        <v>5</v>
      </c>
      <c r="L140" t="s">
        <v>16</v>
      </c>
      <c r="M140">
        <f>SUM(Pharma_Sales_Data[[#This Row],[M01AB]:[R06]])</f>
        <v>51.975000000000001</v>
      </c>
      <c r="N140" s="2">
        <f>Pharma_Sales_Data[[#This Row],[Total Drug Sales]]*150</f>
        <v>7796.25</v>
      </c>
      <c r="O140" s="2">
        <f>Pharma_Sales_Data[[#This Row],[Total Revenue]]*0.3</f>
        <v>2338.875</v>
      </c>
      <c r="P140" t="str">
        <f>IF(Pharma_Sales_Data[[#This Row],[Total Revenue]]&gt;20000,"High Value", IF(Pharma_Sales_Data[[#This Row],[Total Revenue]]&gt;=10000,"Medium Value","Low Value"))</f>
        <v>Low Value</v>
      </c>
    </row>
    <row r="141" spans="1:16" x14ac:dyDescent="0.35">
      <c r="A141" s="1">
        <v>41780</v>
      </c>
      <c r="B141">
        <v>2</v>
      </c>
      <c r="C141">
        <v>4.68</v>
      </c>
      <c r="D141">
        <v>9.5</v>
      </c>
      <c r="E141">
        <v>15.4</v>
      </c>
      <c r="F141">
        <v>6</v>
      </c>
      <c r="G141">
        <v>1</v>
      </c>
      <c r="H141">
        <v>0</v>
      </c>
      <c r="I141">
        <v>3</v>
      </c>
      <c r="J141">
        <v>2014</v>
      </c>
      <c r="K141">
        <v>5</v>
      </c>
      <c r="L141" t="s">
        <v>17</v>
      </c>
      <c r="M141">
        <f>SUM(Pharma_Sales_Data[[#This Row],[M01AB]:[R06]])</f>
        <v>41.58</v>
      </c>
      <c r="N141" s="2">
        <f>Pharma_Sales_Data[[#This Row],[Total Drug Sales]]*150</f>
        <v>6237</v>
      </c>
      <c r="O141" s="2">
        <f>Pharma_Sales_Data[[#This Row],[Total Revenue]]*0.3</f>
        <v>1871.1</v>
      </c>
      <c r="P141" t="str">
        <f>IF(Pharma_Sales_Data[[#This Row],[Total Revenue]]&gt;20000,"High Value", IF(Pharma_Sales_Data[[#This Row],[Total Revenue]]&gt;=10000,"Medium Value","Low Value"))</f>
        <v>Low Value</v>
      </c>
    </row>
    <row r="142" spans="1:16" x14ac:dyDescent="0.35">
      <c r="A142" s="1">
        <v>41781</v>
      </c>
      <c r="B142">
        <v>3.68</v>
      </c>
      <c r="C142">
        <v>1.33</v>
      </c>
      <c r="D142">
        <v>1.2</v>
      </c>
      <c r="E142">
        <v>8</v>
      </c>
      <c r="F142">
        <v>8</v>
      </c>
      <c r="G142">
        <v>0</v>
      </c>
      <c r="H142">
        <v>2</v>
      </c>
      <c r="I142">
        <v>4</v>
      </c>
      <c r="J142">
        <v>2014</v>
      </c>
      <c r="K142">
        <v>5</v>
      </c>
      <c r="L142" t="s">
        <v>11</v>
      </c>
      <c r="M142">
        <f>SUM(Pharma_Sales_Data[[#This Row],[M01AB]:[R06]])</f>
        <v>28.21</v>
      </c>
      <c r="N142" s="2">
        <f>Pharma_Sales_Data[[#This Row],[Total Drug Sales]]*150</f>
        <v>4231.5</v>
      </c>
      <c r="O142" s="2">
        <f>Pharma_Sales_Data[[#This Row],[Total Revenue]]*0.3</f>
        <v>1269.45</v>
      </c>
      <c r="P142" t="str">
        <f>IF(Pharma_Sales_Data[[#This Row],[Total Revenue]]&gt;20000,"High Value", IF(Pharma_Sales_Data[[#This Row],[Total Revenue]]&gt;=10000,"Medium Value","Low Value"))</f>
        <v>Low Value</v>
      </c>
    </row>
    <row r="143" spans="1:16" x14ac:dyDescent="0.35">
      <c r="A143" s="1">
        <v>41782</v>
      </c>
      <c r="B143">
        <v>5</v>
      </c>
      <c r="C143">
        <v>2.34</v>
      </c>
      <c r="D143">
        <v>3.9</v>
      </c>
      <c r="E143">
        <v>17.5</v>
      </c>
      <c r="F143">
        <v>8</v>
      </c>
      <c r="G143">
        <v>2</v>
      </c>
      <c r="H143">
        <v>10</v>
      </c>
      <c r="I143">
        <v>7</v>
      </c>
      <c r="J143">
        <v>2014</v>
      </c>
      <c r="K143">
        <v>5</v>
      </c>
      <c r="L143" t="s">
        <v>12</v>
      </c>
      <c r="M143">
        <f>SUM(Pharma_Sales_Data[[#This Row],[M01AB]:[R06]])</f>
        <v>55.74</v>
      </c>
      <c r="N143" s="2">
        <f>Pharma_Sales_Data[[#This Row],[Total Drug Sales]]*150</f>
        <v>8361</v>
      </c>
      <c r="O143" s="2">
        <f>Pharma_Sales_Data[[#This Row],[Total Revenue]]*0.3</f>
        <v>2508.2999999999997</v>
      </c>
      <c r="P143" t="str">
        <f>IF(Pharma_Sales_Data[[#This Row],[Total Revenue]]&gt;20000,"High Value", IF(Pharma_Sales_Data[[#This Row],[Total Revenue]]&gt;=10000,"Medium Value","Low Value"))</f>
        <v>Low Value</v>
      </c>
    </row>
    <row r="144" spans="1:16" x14ac:dyDescent="0.35">
      <c r="A144" s="1">
        <v>41783</v>
      </c>
      <c r="B144">
        <v>3</v>
      </c>
      <c r="C144">
        <v>4.7130000000000001</v>
      </c>
      <c r="D144">
        <v>5</v>
      </c>
      <c r="E144">
        <v>28</v>
      </c>
      <c r="F144">
        <v>11</v>
      </c>
      <c r="G144">
        <v>1</v>
      </c>
      <c r="H144">
        <v>0</v>
      </c>
      <c r="I144">
        <v>9</v>
      </c>
      <c r="J144">
        <v>2014</v>
      </c>
      <c r="K144">
        <v>5</v>
      </c>
      <c r="L144" t="s">
        <v>13</v>
      </c>
      <c r="M144">
        <f>SUM(Pharma_Sales_Data[[#This Row],[M01AB]:[R06]])</f>
        <v>61.713000000000001</v>
      </c>
      <c r="N144" s="2">
        <f>Pharma_Sales_Data[[#This Row],[Total Drug Sales]]*150</f>
        <v>9256.9500000000007</v>
      </c>
      <c r="O144" s="2">
        <f>Pharma_Sales_Data[[#This Row],[Total Revenue]]*0.3</f>
        <v>2777.085</v>
      </c>
      <c r="P144" t="str">
        <f>IF(Pharma_Sales_Data[[#This Row],[Total Revenue]]&gt;20000,"High Value", IF(Pharma_Sales_Data[[#This Row],[Total Revenue]]&gt;=10000,"Medium Value","Low Value"))</f>
        <v>Low Value</v>
      </c>
    </row>
    <row r="145" spans="1:16" x14ac:dyDescent="0.35">
      <c r="A145" s="1">
        <v>41784</v>
      </c>
      <c r="B145">
        <v>2</v>
      </c>
      <c r="C145">
        <v>3</v>
      </c>
      <c r="D145">
        <v>1</v>
      </c>
      <c r="E145">
        <v>7</v>
      </c>
      <c r="F145">
        <v>8</v>
      </c>
      <c r="G145">
        <v>0</v>
      </c>
      <c r="H145">
        <v>5</v>
      </c>
      <c r="I145">
        <v>1</v>
      </c>
      <c r="J145">
        <v>2014</v>
      </c>
      <c r="K145">
        <v>5</v>
      </c>
      <c r="L145" t="s">
        <v>14</v>
      </c>
      <c r="M145">
        <f>SUM(Pharma_Sales_Data[[#This Row],[M01AB]:[R06]])</f>
        <v>27</v>
      </c>
      <c r="N145" s="2">
        <f>Pharma_Sales_Data[[#This Row],[Total Drug Sales]]*150</f>
        <v>4050</v>
      </c>
      <c r="O145" s="2">
        <f>Pharma_Sales_Data[[#This Row],[Total Revenue]]*0.3</f>
        <v>1215</v>
      </c>
      <c r="P145" t="str">
        <f>IF(Pharma_Sales_Data[[#This Row],[Total Revenue]]&gt;20000,"High Value", IF(Pharma_Sales_Data[[#This Row],[Total Revenue]]&gt;=10000,"Medium Value","Low Value"))</f>
        <v>Low Value</v>
      </c>
    </row>
    <row r="146" spans="1:16" x14ac:dyDescent="0.35">
      <c r="A146" s="1">
        <v>41785</v>
      </c>
      <c r="B146">
        <v>2.68</v>
      </c>
      <c r="C146">
        <v>3.34</v>
      </c>
      <c r="D146">
        <v>7.4</v>
      </c>
      <c r="E146">
        <v>18</v>
      </c>
      <c r="F146">
        <v>7</v>
      </c>
      <c r="G146">
        <v>1</v>
      </c>
      <c r="H146">
        <v>0</v>
      </c>
      <c r="I146">
        <v>5</v>
      </c>
      <c r="J146">
        <v>2014</v>
      </c>
      <c r="K146">
        <v>5</v>
      </c>
      <c r="L146" t="s">
        <v>15</v>
      </c>
      <c r="M146">
        <f>SUM(Pharma_Sales_Data[[#This Row],[M01AB]:[R06]])</f>
        <v>44.42</v>
      </c>
      <c r="N146" s="2">
        <f>Pharma_Sales_Data[[#This Row],[Total Drug Sales]]*150</f>
        <v>6663</v>
      </c>
      <c r="O146" s="2">
        <f>Pharma_Sales_Data[[#This Row],[Total Revenue]]*0.3</f>
        <v>1998.8999999999999</v>
      </c>
      <c r="P146" t="str">
        <f>IF(Pharma_Sales_Data[[#This Row],[Total Revenue]]&gt;20000,"High Value", IF(Pharma_Sales_Data[[#This Row],[Total Revenue]]&gt;=10000,"Medium Value","Low Value"))</f>
        <v>Low Value</v>
      </c>
    </row>
    <row r="147" spans="1:16" x14ac:dyDescent="0.35">
      <c r="A147" s="1">
        <v>41786</v>
      </c>
      <c r="B147">
        <v>0</v>
      </c>
      <c r="C147">
        <v>2.34</v>
      </c>
      <c r="D147">
        <v>5</v>
      </c>
      <c r="E147">
        <v>28.6</v>
      </c>
      <c r="F147">
        <v>12</v>
      </c>
      <c r="G147">
        <v>1</v>
      </c>
      <c r="H147">
        <v>1</v>
      </c>
      <c r="I147">
        <v>6</v>
      </c>
      <c r="J147">
        <v>2014</v>
      </c>
      <c r="K147">
        <v>5</v>
      </c>
      <c r="L147" t="s">
        <v>16</v>
      </c>
      <c r="M147">
        <f>SUM(Pharma_Sales_Data[[#This Row],[M01AB]:[R06]])</f>
        <v>55.94</v>
      </c>
      <c r="N147" s="2">
        <f>Pharma_Sales_Data[[#This Row],[Total Drug Sales]]*150</f>
        <v>8391</v>
      </c>
      <c r="O147" s="2">
        <f>Pharma_Sales_Data[[#This Row],[Total Revenue]]*0.3</f>
        <v>2517.2999999999997</v>
      </c>
      <c r="P147" t="str">
        <f>IF(Pharma_Sales_Data[[#This Row],[Total Revenue]]&gt;20000,"High Value", IF(Pharma_Sales_Data[[#This Row],[Total Revenue]]&gt;=10000,"Medium Value","Low Value"))</f>
        <v>Low Value</v>
      </c>
    </row>
    <row r="148" spans="1:16" x14ac:dyDescent="0.35">
      <c r="A148" s="1">
        <v>41787</v>
      </c>
      <c r="B148">
        <v>1.34</v>
      </c>
      <c r="C148">
        <v>5.0199999999999996</v>
      </c>
      <c r="D148">
        <v>1.4</v>
      </c>
      <c r="E148">
        <v>10.28</v>
      </c>
      <c r="F148">
        <v>9</v>
      </c>
      <c r="G148">
        <v>0</v>
      </c>
      <c r="H148">
        <v>2</v>
      </c>
      <c r="I148">
        <v>5.0999999999999996</v>
      </c>
      <c r="J148">
        <v>2014</v>
      </c>
      <c r="K148">
        <v>5</v>
      </c>
      <c r="L148" t="s">
        <v>17</v>
      </c>
      <c r="M148">
        <f>SUM(Pharma_Sales_Data[[#This Row],[M01AB]:[R06]])</f>
        <v>34.14</v>
      </c>
      <c r="N148" s="2">
        <f>Pharma_Sales_Data[[#This Row],[Total Drug Sales]]*150</f>
        <v>5121</v>
      </c>
      <c r="O148" s="2">
        <f>Pharma_Sales_Data[[#This Row],[Total Revenue]]*0.3</f>
        <v>1536.3</v>
      </c>
      <c r="P148" t="str">
        <f>IF(Pharma_Sales_Data[[#This Row],[Total Revenue]]&gt;20000,"High Value", IF(Pharma_Sales_Data[[#This Row],[Total Revenue]]&gt;=10000,"Medium Value","Low Value"))</f>
        <v>Low Value</v>
      </c>
    </row>
    <row r="149" spans="1:16" x14ac:dyDescent="0.35">
      <c r="A149" s="1">
        <v>41788</v>
      </c>
      <c r="B149">
        <v>4</v>
      </c>
      <c r="C149">
        <v>5.34</v>
      </c>
      <c r="D149">
        <v>6.3</v>
      </c>
      <c r="E149">
        <v>27</v>
      </c>
      <c r="F149">
        <v>13</v>
      </c>
      <c r="G149">
        <v>0</v>
      </c>
      <c r="H149">
        <v>0</v>
      </c>
      <c r="I149">
        <v>2</v>
      </c>
      <c r="J149">
        <v>2014</v>
      </c>
      <c r="K149">
        <v>5</v>
      </c>
      <c r="L149" t="s">
        <v>11</v>
      </c>
      <c r="M149">
        <f>SUM(Pharma_Sales_Data[[#This Row],[M01AB]:[R06]])</f>
        <v>57.64</v>
      </c>
      <c r="N149" s="2">
        <f>Pharma_Sales_Data[[#This Row],[Total Drug Sales]]*150</f>
        <v>8646</v>
      </c>
      <c r="O149" s="2">
        <f>Pharma_Sales_Data[[#This Row],[Total Revenue]]*0.3</f>
        <v>2593.7999999999997</v>
      </c>
      <c r="P149" t="str">
        <f>IF(Pharma_Sales_Data[[#This Row],[Total Revenue]]&gt;20000,"High Value", IF(Pharma_Sales_Data[[#This Row],[Total Revenue]]&gt;=10000,"Medium Value","Low Value"))</f>
        <v>Low Value</v>
      </c>
    </row>
    <row r="150" spans="1:16" x14ac:dyDescent="0.35">
      <c r="A150" s="1">
        <v>41789</v>
      </c>
      <c r="B150">
        <v>3.02</v>
      </c>
      <c r="C150">
        <v>2.02</v>
      </c>
      <c r="D150">
        <v>2</v>
      </c>
      <c r="E150">
        <v>21.5</v>
      </c>
      <c r="F150">
        <v>14</v>
      </c>
      <c r="G150">
        <v>0</v>
      </c>
      <c r="H150">
        <v>0</v>
      </c>
      <c r="I150">
        <v>5</v>
      </c>
      <c r="J150">
        <v>2014</v>
      </c>
      <c r="K150">
        <v>5</v>
      </c>
      <c r="L150" t="s">
        <v>12</v>
      </c>
      <c r="M150">
        <f>SUM(Pharma_Sales_Data[[#This Row],[M01AB]:[R06]])</f>
        <v>47.54</v>
      </c>
      <c r="N150" s="2">
        <f>Pharma_Sales_Data[[#This Row],[Total Drug Sales]]*150</f>
        <v>7131</v>
      </c>
      <c r="O150" s="2">
        <f>Pharma_Sales_Data[[#This Row],[Total Revenue]]*0.3</f>
        <v>2139.2999999999997</v>
      </c>
      <c r="P150" t="str">
        <f>IF(Pharma_Sales_Data[[#This Row],[Total Revenue]]&gt;20000,"High Value", IF(Pharma_Sales_Data[[#This Row],[Total Revenue]]&gt;=10000,"Medium Value","Low Value"))</f>
        <v>Low Value</v>
      </c>
    </row>
    <row r="151" spans="1:16" x14ac:dyDescent="0.35">
      <c r="A151" s="1">
        <v>41790</v>
      </c>
      <c r="B151">
        <v>5.67</v>
      </c>
      <c r="C151">
        <v>3.34</v>
      </c>
      <c r="D151">
        <v>2</v>
      </c>
      <c r="E151">
        <v>28</v>
      </c>
      <c r="F151">
        <v>10</v>
      </c>
      <c r="G151">
        <v>0</v>
      </c>
      <c r="H151">
        <v>15</v>
      </c>
      <c r="I151">
        <v>2</v>
      </c>
      <c r="J151">
        <v>2014</v>
      </c>
      <c r="K151">
        <v>5</v>
      </c>
      <c r="L151" t="s">
        <v>13</v>
      </c>
      <c r="M151">
        <f>SUM(Pharma_Sales_Data[[#This Row],[M01AB]:[R06]])</f>
        <v>66.009999999999991</v>
      </c>
      <c r="N151" s="2">
        <f>Pharma_Sales_Data[[#This Row],[Total Drug Sales]]*150</f>
        <v>9901.4999999999982</v>
      </c>
      <c r="O151" s="2">
        <f>Pharma_Sales_Data[[#This Row],[Total Revenue]]*0.3</f>
        <v>2970.4499999999994</v>
      </c>
      <c r="P151" t="str">
        <f>IF(Pharma_Sales_Data[[#This Row],[Total Revenue]]&gt;20000,"High Value", IF(Pharma_Sales_Data[[#This Row],[Total Revenue]]&gt;=10000,"Medium Value","Low Value"))</f>
        <v>Low Value</v>
      </c>
    </row>
    <row r="152" spans="1:16" x14ac:dyDescent="0.35">
      <c r="A152" s="1">
        <v>41791</v>
      </c>
      <c r="B152">
        <v>1</v>
      </c>
      <c r="C152">
        <v>0.68</v>
      </c>
      <c r="D152">
        <v>1</v>
      </c>
      <c r="E152">
        <v>10</v>
      </c>
      <c r="F152">
        <v>4</v>
      </c>
      <c r="G152">
        <v>1</v>
      </c>
      <c r="H152">
        <v>1</v>
      </c>
      <c r="I152">
        <v>3</v>
      </c>
      <c r="J152">
        <v>2014</v>
      </c>
      <c r="K152">
        <v>6</v>
      </c>
      <c r="L152" t="s">
        <v>14</v>
      </c>
      <c r="M152">
        <f>SUM(Pharma_Sales_Data[[#This Row],[M01AB]:[R06]])</f>
        <v>21.68</v>
      </c>
      <c r="N152" s="2">
        <f>Pharma_Sales_Data[[#This Row],[Total Drug Sales]]*150</f>
        <v>3252</v>
      </c>
      <c r="O152" s="2">
        <f>Pharma_Sales_Data[[#This Row],[Total Revenue]]*0.3</f>
        <v>975.59999999999991</v>
      </c>
      <c r="P152" t="str">
        <f>IF(Pharma_Sales_Data[[#This Row],[Total Revenue]]&gt;20000,"High Value", IF(Pharma_Sales_Data[[#This Row],[Total Revenue]]&gt;=10000,"Medium Value","Low Value"))</f>
        <v>Low Value</v>
      </c>
    </row>
    <row r="153" spans="1:16" x14ac:dyDescent="0.35">
      <c r="A153" s="1">
        <v>41792</v>
      </c>
      <c r="B153">
        <v>4</v>
      </c>
      <c r="C153">
        <v>4.34</v>
      </c>
      <c r="D153">
        <v>10</v>
      </c>
      <c r="E153">
        <v>23.3</v>
      </c>
      <c r="F153">
        <v>16</v>
      </c>
      <c r="G153">
        <v>3</v>
      </c>
      <c r="H153">
        <v>0</v>
      </c>
      <c r="I153">
        <v>3</v>
      </c>
      <c r="J153">
        <v>2014</v>
      </c>
      <c r="K153">
        <v>6</v>
      </c>
      <c r="L153" t="s">
        <v>15</v>
      </c>
      <c r="M153">
        <f>SUM(Pharma_Sales_Data[[#This Row],[M01AB]:[R06]])</f>
        <v>63.64</v>
      </c>
      <c r="N153" s="2">
        <f>Pharma_Sales_Data[[#This Row],[Total Drug Sales]]*150</f>
        <v>9546</v>
      </c>
      <c r="O153" s="2">
        <f>Pharma_Sales_Data[[#This Row],[Total Revenue]]*0.3</f>
        <v>2863.7999999999997</v>
      </c>
      <c r="P153" t="str">
        <f>IF(Pharma_Sales_Data[[#This Row],[Total Revenue]]&gt;20000,"High Value", IF(Pharma_Sales_Data[[#This Row],[Total Revenue]]&gt;=10000,"Medium Value","Low Value"))</f>
        <v>Low Value</v>
      </c>
    </row>
    <row r="154" spans="1:16" x14ac:dyDescent="0.35">
      <c r="A154" s="1">
        <v>41793</v>
      </c>
      <c r="B154">
        <v>3</v>
      </c>
      <c r="C154">
        <v>2</v>
      </c>
      <c r="D154">
        <v>2.4</v>
      </c>
      <c r="E154">
        <v>24</v>
      </c>
      <c r="F154">
        <v>7</v>
      </c>
      <c r="G154">
        <v>2</v>
      </c>
      <c r="H154">
        <v>5</v>
      </c>
      <c r="I154">
        <v>3</v>
      </c>
      <c r="J154">
        <v>2014</v>
      </c>
      <c r="K154">
        <v>6</v>
      </c>
      <c r="L154" t="s">
        <v>16</v>
      </c>
      <c r="M154">
        <f>SUM(Pharma_Sales_Data[[#This Row],[M01AB]:[R06]])</f>
        <v>48.4</v>
      </c>
      <c r="N154" s="2">
        <f>Pharma_Sales_Data[[#This Row],[Total Drug Sales]]*150</f>
        <v>7260</v>
      </c>
      <c r="O154" s="2">
        <f>Pharma_Sales_Data[[#This Row],[Total Revenue]]*0.3</f>
        <v>2178</v>
      </c>
      <c r="P154" t="str">
        <f>IF(Pharma_Sales_Data[[#This Row],[Total Revenue]]&gt;20000,"High Value", IF(Pharma_Sales_Data[[#This Row],[Total Revenue]]&gt;=10000,"Medium Value","Low Value"))</f>
        <v>Low Value</v>
      </c>
    </row>
    <row r="155" spans="1:16" x14ac:dyDescent="0.35">
      <c r="A155" s="1">
        <v>41794</v>
      </c>
      <c r="B155">
        <v>1</v>
      </c>
      <c r="C155">
        <v>4.68</v>
      </c>
      <c r="D155">
        <v>3.5</v>
      </c>
      <c r="E155">
        <v>24</v>
      </c>
      <c r="F155">
        <v>6</v>
      </c>
      <c r="G155">
        <v>0</v>
      </c>
      <c r="H155">
        <v>1</v>
      </c>
      <c r="I155">
        <v>2.5</v>
      </c>
      <c r="J155">
        <v>2014</v>
      </c>
      <c r="K155">
        <v>6</v>
      </c>
      <c r="L155" t="s">
        <v>17</v>
      </c>
      <c r="M155">
        <f>SUM(Pharma_Sales_Data[[#This Row],[M01AB]:[R06]])</f>
        <v>42.68</v>
      </c>
      <c r="N155" s="2">
        <f>Pharma_Sales_Data[[#This Row],[Total Drug Sales]]*150</f>
        <v>6402</v>
      </c>
      <c r="O155" s="2">
        <f>Pharma_Sales_Data[[#This Row],[Total Revenue]]*0.3</f>
        <v>1920.6</v>
      </c>
      <c r="P155" t="str">
        <f>IF(Pharma_Sales_Data[[#This Row],[Total Revenue]]&gt;20000,"High Value", IF(Pharma_Sales_Data[[#This Row],[Total Revenue]]&gt;=10000,"Medium Value","Low Value"))</f>
        <v>Low Value</v>
      </c>
    </row>
    <row r="156" spans="1:16" x14ac:dyDescent="0.35">
      <c r="A156" s="1">
        <v>41795</v>
      </c>
      <c r="B156">
        <v>0.34</v>
      </c>
      <c r="C156">
        <v>4.68</v>
      </c>
      <c r="D156">
        <v>4.5</v>
      </c>
      <c r="E156">
        <v>22.5</v>
      </c>
      <c r="F156">
        <v>4</v>
      </c>
      <c r="G156">
        <v>0</v>
      </c>
      <c r="H156">
        <v>0</v>
      </c>
      <c r="I156">
        <v>5</v>
      </c>
      <c r="J156">
        <v>2014</v>
      </c>
      <c r="K156">
        <v>6</v>
      </c>
      <c r="L156" t="s">
        <v>11</v>
      </c>
      <c r="M156">
        <f>SUM(Pharma_Sales_Data[[#This Row],[M01AB]:[R06]])</f>
        <v>41.019999999999996</v>
      </c>
      <c r="N156" s="2">
        <f>Pharma_Sales_Data[[#This Row],[Total Drug Sales]]*150</f>
        <v>6152.9999999999991</v>
      </c>
      <c r="O156" s="2">
        <f>Pharma_Sales_Data[[#This Row],[Total Revenue]]*0.3</f>
        <v>1845.8999999999996</v>
      </c>
      <c r="P156" t="str">
        <f>IF(Pharma_Sales_Data[[#This Row],[Total Revenue]]&gt;20000,"High Value", IF(Pharma_Sales_Data[[#This Row],[Total Revenue]]&gt;=10000,"Medium Value","Low Value"))</f>
        <v>Low Value</v>
      </c>
    </row>
    <row r="157" spans="1:16" x14ac:dyDescent="0.35">
      <c r="A157" s="1">
        <v>41796</v>
      </c>
      <c r="B157">
        <v>5</v>
      </c>
      <c r="C157">
        <v>1.68</v>
      </c>
      <c r="D157">
        <v>3</v>
      </c>
      <c r="E157">
        <v>16.625</v>
      </c>
      <c r="F157">
        <v>15</v>
      </c>
      <c r="G157">
        <v>2</v>
      </c>
      <c r="H157">
        <v>1</v>
      </c>
      <c r="I157">
        <v>5</v>
      </c>
      <c r="J157">
        <v>2014</v>
      </c>
      <c r="K157">
        <v>6</v>
      </c>
      <c r="L157" t="s">
        <v>12</v>
      </c>
      <c r="M157">
        <f>SUM(Pharma_Sales_Data[[#This Row],[M01AB]:[R06]])</f>
        <v>49.305</v>
      </c>
      <c r="N157" s="2">
        <f>Pharma_Sales_Data[[#This Row],[Total Drug Sales]]*150</f>
        <v>7395.75</v>
      </c>
      <c r="O157" s="2">
        <f>Pharma_Sales_Data[[#This Row],[Total Revenue]]*0.3</f>
        <v>2218.7249999999999</v>
      </c>
      <c r="P157" t="str">
        <f>IF(Pharma_Sales_Data[[#This Row],[Total Revenue]]&gt;20000,"High Value", IF(Pharma_Sales_Data[[#This Row],[Total Revenue]]&gt;=10000,"Medium Value","Low Value"))</f>
        <v>Low Value</v>
      </c>
    </row>
    <row r="158" spans="1:16" x14ac:dyDescent="0.35">
      <c r="A158" s="1">
        <v>41797</v>
      </c>
      <c r="B158">
        <v>9</v>
      </c>
      <c r="C158">
        <v>3.68</v>
      </c>
      <c r="D158">
        <v>7.5</v>
      </c>
      <c r="E158">
        <v>33</v>
      </c>
      <c r="F158">
        <v>8</v>
      </c>
      <c r="G158">
        <v>1</v>
      </c>
      <c r="H158">
        <v>6</v>
      </c>
      <c r="I158">
        <v>7</v>
      </c>
      <c r="J158">
        <v>2014</v>
      </c>
      <c r="K158">
        <v>6</v>
      </c>
      <c r="L158" t="s">
        <v>13</v>
      </c>
      <c r="M158">
        <f>SUM(Pharma_Sales_Data[[#This Row],[M01AB]:[R06]])</f>
        <v>75.180000000000007</v>
      </c>
      <c r="N158" s="2">
        <f>Pharma_Sales_Data[[#This Row],[Total Drug Sales]]*150</f>
        <v>11277.000000000002</v>
      </c>
      <c r="O158" s="2">
        <f>Pharma_Sales_Data[[#This Row],[Total Revenue]]*0.3</f>
        <v>3383.1000000000004</v>
      </c>
      <c r="P158" t="str">
        <f>IF(Pharma_Sales_Data[[#This Row],[Total Revenue]]&gt;20000,"High Value", IF(Pharma_Sales_Data[[#This Row],[Total Revenue]]&gt;=10000,"Medium Value","Low Value"))</f>
        <v>Medium Value</v>
      </c>
    </row>
    <row r="159" spans="1:16" x14ac:dyDescent="0.35">
      <c r="A159" s="1">
        <v>41798</v>
      </c>
      <c r="B159">
        <v>1</v>
      </c>
      <c r="C159">
        <v>2</v>
      </c>
      <c r="D159">
        <v>3</v>
      </c>
      <c r="E159">
        <v>11</v>
      </c>
      <c r="F159">
        <v>8</v>
      </c>
      <c r="G159">
        <v>0</v>
      </c>
      <c r="H159">
        <v>6</v>
      </c>
      <c r="I159">
        <v>2</v>
      </c>
      <c r="J159">
        <v>2014</v>
      </c>
      <c r="K159">
        <v>6</v>
      </c>
      <c r="L159" t="s">
        <v>14</v>
      </c>
      <c r="M159">
        <f>SUM(Pharma_Sales_Data[[#This Row],[M01AB]:[R06]])</f>
        <v>33</v>
      </c>
      <c r="N159" s="2">
        <f>Pharma_Sales_Data[[#This Row],[Total Drug Sales]]*150</f>
        <v>4950</v>
      </c>
      <c r="O159" s="2">
        <f>Pharma_Sales_Data[[#This Row],[Total Revenue]]*0.3</f>
        <v>1485</v>
      </c>
      <c r="P159" t="str">
        <f>IF(Pharma_Sales_Data[[#This Row],[Total Revenue]]&gt;20000,"High Value", IF(Pharma_Sales_Data[[#This Row],[Total Revenue]]&gt;=10000,"Medium Value","Low Value"))</f>
        <v>Low Value</v>
      </c>
    </row>
    <row r="160" spans="1:16" x14ac:dyDescent="0.35">
      <c r="A160" s="1">
        <v>41799</v>
      </c>
      <c r="B160">
        <v>6.33</v>
      </c>
      <c r="C160">
        <v>1.34</v>
      </c>
      <c r="D160">
        <v>5</v>
      </c>
      <c r="E160">
        <v>18</v>
      </c>
      <c r="F160">
        <v>17</v>
      </c>
      <c r="G160">
        <v>4</v>
      </c>
      <c r="H160">
        <v>0</v>
      </c>
      <c r="I160">
        <v>11</v>
      </c>
      <c r="J160">
        <v>2014</v>
      </c>
      <c r="K160">
        <v>6</v>
      </c>
      <c r="L160" t="s">
        <v>15</v>
      </c>
      <c r="M160">
        <f>SUM(Pharma_Sales_Data[[#This Row],[M01AB]:[R06]])</f>
        <v>62.67</v>
      </c>
      <c r="N160" s="2">
        <f>Pharma_Sales_Data[[#This Row],[Total Drug Sales]]*150</f>
        <v>9400.5</v>
      </c>
      <c r="O160" s="2">
        <f>Pharma_Sales_Data[[#This Row],[Total Revenue]]*0.3</f>
        <v>2820.15</v>
      </c>
      <c r="P160" t="str">
        <f>IF(Pharma_Sales_Data[[#This Row],[Total Revenue]]&gt;20000,"High Value", IF(Pharma_Sales_Data[[#This Row],[Total Revenue]]&gt;=10000,"Medium Value","Low Value"))</f>
        <v>Low Value</v>
      </c>
    </row>
    <row r="161" spans="1:16" x14ac:dyDescent="0.35">
      <c r="A161" s="1">
        <v>41800</v>
      </c>
      <c r="B161">
        <v>8.68</v>
      </c>
      <c r="C161">
        <v>2.68</v>
      </c>
      <c r="D161">
        <v>4.3</v>
      </c>
      <c r="E161">
        <v>23</v>
      </c>
      <c r="F161">
        <v>16</v>
      </c>
      <c r="G161">
        <v>2</v>
      </c>
      <c r="H161">
        <v>2</v>
      </c>
      <c r="I161">
        <v>6.5</v>
      </c>
      <c r="J161">
        <v>2014</v>
      </c>
      <c r="K161">
        <v>6</v>
      </c>
      <c r="L161" t="s">
        <v>16</v>
      </c>
      <c r="M161">
        <f>SUM(Pharma_Sales_Data[[#This Row],[M01AB]:[R06]])</f>
        <v>65.16</v>
      </c>
      <c r="N161" s="2">
        <f>Pharma_Sales_Data[[#This Row],[Total Drug Sales]]*150</f>
        <v>9774</v>
      </c>
      <c r="O161" s="2">
        <f>Pharma_Sales_Data[[#This Row],[Total Revenue]]*0.3</f>
        <v>2932.2</v>
      </c>
      <c r="P161" t="str">
        <f>IF(Pharma_Sales_Data[[#This Row],[Total Revenue]]&gt;20000,"High Value", IF(Pharma_Sales_Data[[#This Row],[Total Revenue]]&gt;=10000,"Medium Value","Low Value"))</f>
        <v>Low Value</v>
      </c>
    </row>
    <row r="162" spans="1:16" x14ac:dyDescent="0.35">
      <c r="A162" s="1">
        <v>41801</v>
      </c>
      <c r="B162">
        <v>4.34</v>
      </c>
      <c r="C162">
        <v>0.68</v>
      </c>
      <c r="D162">
        <v>2.2999999999999998</v>
      </c>
      <c r="E162">
        <v>12.5</v>
      </c>
      <c r="F162">
        <v>16</v>
      </c>
      <c r="G162">
        <v>2</v>
      </c>
      <c r="H162">
        <v>12</v>
      </c>
      <c r="I162">
        <v>9</v>
      </c>
      <c r="J162">
        <v>2014</v>
      </c>
      <c r="K162">
        <v>6</v>
      </c>
      <c r="L162" t="s">
        <v>17</v>
      </c>
      <c r="M162">
        <f>SUM(Pharma_Sales_Data[[#This Row],[M01AB]:[R06]])</f>
        <v>58.82</v>
      </c>
      <c r="N162" s="2">
        <f>Pharma_Sales_Data[[#This Row],[Total Drug Sales]]*150</f>
        <v>8823</v>
      </c>
      <c r="O162" s="2">
        <f>Pharma_Sales_Data[[#This Row],[Total Revenue]]*0.3</f>
        <v>2646.9</v>
      </c>
      <c r="P162" t="str">
        <f>IF(Pharma_Sales_Data[[#This Row],[Total Revenue]]&gt;20000,"High Value", IF(Pharma_Sales_Data[[#This Row],[Total Revenue]]&gt;=10000,"Medium Value","Low Value"))</f>
        <v>Low Value</v>
      </c>
    </row>
    <row r="163" spans="1:16" x14ac:dyDescent="0.35">
      <c r="A163" s="1">
        <v>41802</v>
      </c>
      <c r="B163">
        <v>4.34</v>
      </c>
      <c r="C163">
        <v>3</v>
      </c>
      <c r="D163">
        <v>1</v>
      </c>
      <c r="E163">
        <v>15.8</v>
      </c>
      <c r="F163">
        <v>12</v>
      </c>
      <c r="G163">
        <v>0</v>
      </c>
      <c r="H163">
        <v>2</v>
      </c>
      <c r="I163">
        <v>3</v>
      </c>
      <c r="J163">
        <v>2014</v>
      </c>
      <c r="K163">
        <v>6</v>
      </c>
      <c r="L163" t="s">
        <v>11</v>
      </c>
      <c r="M163">
        <f>SUM(Pharma_Sales_Data[[#This Row],[M01AB]:[R06]])</f>
        <v>41.14</v>
      </c>
      <c r="N163" s="2">
        <f>Pharma_Sales_Data[[#This Row],[Total Drug Sales]]*150</f>
        <v>6171</v>
      </c>
      <c r="O163" s="2">
        <f>Pharma_Sales_Data[[#This Row],[Total Revenue]]*0.3</f>
        <v>1851.3</v>
      </c>
      <c r="P163" t="str">
        <f>IF(Pharma_Sales_Data[[#This Row],[Total Revenue]]&gt;20000,"High Value", IF(Pharma_Sales_Data[[#This Row],[Total Revenue]]&gt;=10000,"Medium Value","Low Value"))</f>
        <v>Low Value</v>
      </c>
    </row>
    <row r="164" spans="1:16" x14ac:dyDescent="0.35">
      <c r="A164" s="1">
        <v>41803</v>
      </c>
      <c r="B164">
        <v>1</v>
      </c>
      <c r="C164">
        <v>2.68</v>
      </c>
      <c r="D164">
        <v>5</v>
      </c>
      <c r="E164">
        <v>10</v>
      </c>
      <c r="F164">
        <v>11</v>
      </c>
      <c r="G164">
        <v>0</v>
      </c>
      <c r="H164">
        <v>3</v>
      </c>
      <c r="I164">
        <v>1</v>
      </c>
      <c r="J164">
        <v>2014</v>
      </c>
      <c r="K164">
        <v>6</v>
      </c>
      <c r="L164" t="s">
        <v>12</v>
      </c>
      <c r="M164">
        <f>SUM(Pharma_Sales_Data[[#This Row],[M01AB]:[R06]])</f>
        <v>33.68</v>
      </c>
      <c r="N164" s="2">
        <f>Pharma_Sales_Data[[#This Row],[Total Drug Sales]]*150</f>
        <v>5052</v>
      </c>
      <c r="O164" s="2">
        <f>Pharma_Sales_Data[[#This Row],[Total Revenue]]*0.3</f>
        <v>1515.6</v>
      </c>
      <c r="P164" t="str">
        <f>IF(Pharma_Sales_Data[[#This Row],[Total Revenue]]&gt;20000,"High Value", IF(Pharma_Sales_Data[[#This Row],[Total Revenue]]&gt;=10000,"Medium Value","Low Value"))</f>
        <v>Low Value</v>
      </c>
    </row>
    <row r="165" spans="1:16" x14ac:dyDescent="0.35">
      <c r="A165" s="1">
        <v>41804</v>
      </c>
      <c r="B165">
        <v>4</v>
      </c>
      <c r="C165">
        <v>5.0199999999999996</v>
      </c>
      <c r="D165">
        <v>6</v>
      </c>
      <c r="E165">
        <v>8</v>
      </c>
      <c r="F165">
        <v>10</v>
      </c>
      <c r="G165">
        <v>0</v>
      </c>
      <c r="H165">
        <v>1</v>
      </c>
      <c r="I165">
        <v>3</v>
      </c>
      <c r="J165">
        <v>2014</v>
      </c>
      <c r="K165">
        <v>6</v>
      </c>
      <c r="L165" t="s">
        <v>13</v>
      </c>
      <c r="M165">
        <f>SUM(Pharma_Sales_Data[[#This Row],[M01AB]:[R06]])</f>
        <v>37.019999999999996</v>
      </c>
      <c r="N165" s="2">
        <f>Pharma_Sales_Data[[#This Row],[Total Drug Sales]]*150</f>
        <v>5552.9999999999991</v>
      </c>
      <c r="O165" s="2">
        <f>Pharma_Sales_Data[[#This Row],[Total Revenue]]*0.3</f>
        <v>1665.8999999999996</v>
      </c>
      <c r="P165" t="str">
        <f>IF(Pharma_Sales_Data[[#This Row],[Total Revenue]]&gt;20000,"High Value", IF(Pharma_Sales_Data[[#This Row],[Total Revenue]]&gt;=10000,"Medium Value","Low Value"))</f>
        <v>Low Value</v>
      </c>
    </row>
    <row r="166" spans="1:16" x14ac:dyDescent="0.35">
      <c r="A166" s="1">
        <v>41805</v>
      </c>
      <c r="B166">
        <v>0.34</v>
      </c>
      <c r="C166">
        <v>2</v>
      </c>
      <c r="D166">
        <v>0</v>
      </c>
      <c r="E166">
        <v>8</v>
      </c>
      <c r="F166">
        <v>5</v>
      </c>
      <c r="G166">
        <v>0</v>
      </c>
      <c r="H166">
        <v>0</v>
      </c>
      <c r="I166">
        <v>3.3</v>
      </c>
      <c r="J166">
        <v>2014</v>
      </c>
      <c r="K166">
        <v>6</v>
      </c>
      <c r="L166" t="s">
        <v>14</v>
      </c>
      <c r="M166">
        <f>SUM(Pharma_Sales_Data[[#This Row],[M01AB]:[R06]])</f>
        <v>18.64</v>
      </c>
      <c r="N166" s="2">
        <f>Pharma_Sales_Data[[#This Row],[Total Drug Sales]]*150</f>
        <v>2796</v>
      </c>
      <c r="O166" s="2">
        <f>Pharma_Sales_Data[[#This Row],[Total Revenue]]*0.3</f>
        <v>838.8</v>
      </c>
      <c r="P166" t="str">
        <f>IF(Pharma_Sales_Data[[#This Row],[Total Revenue]]&gt;20000,"High Value", IF(Pharma_Sales_Data[[#This Row],[Total Revenue]]&gt;=10000,"Medium Value","Low Value"))</f>
        <v>Low Value</v>
      </c>
    </row>
    <row r="167" spans="1:16" x14ac:dyDescent="0.35">
      <c r="A167" s="1">
        <v>41806</v>
      </c>
      <c r="B167">
        <v>4.34</v>
      </c>
      <c r="C167">
        <v>4.34</v>
      </c>
      <c r="D167">
        <v>7.4</v>
      </c>
      <c r="E167">
        <v>12.2</v>
      </c>
      <c r="F167">
        <v>11</v>
      </c>
      <c r="G167">
        <v>0</v>
      </c>
      <c r="H167">
        <v>5</v>
      </c>
      <c r="I167">
        <v>5</v>
      </c>
      <c r="J167">
        <v>2014</v>
      </c>
      <c r="K167">
        <v>6</v>
      </c>
      <c r="L167" t="s">
        <v>15</v>
      </c>
      <c r="M167">
        <f>SUM(Pharma_Sales_Data[[#This Row],[M01AB]:[R06]])</f>
        <v>49.28</v>
      </c>
      <c r="N167" s="2">
        <f>Pharma_Sales_Data[[#This Row],[Total Drug Sales]]*150</f>
        <v>7392</v>
      </c>
      <c r="O167" s="2">
        <f>Pharma_Sales_Data[[#This Row],[Total Revenue]]*0.3</f>
        <v>2217.6</v>
      </c>
      <c r="P167" t="str">
        <f>IF(Pharma_Sales_Data[[#This Row],[Total Revenue]]&gt;20000,"High Value", IF(Pharma_Sales_Data[[#This Row],[Total Revenue]]&gt;=10000,"Medium Value","Low Value"))</f>
        <v>Low Value</v>
      </c>
    </row>
    <row r="168" spans="1:16" x14ac:dyDescent="0.35">
      <c r="A168" s="1">
        <v>41807</v>
      </c>
      <c r="B168">
        <v>5</v>
      </c>
      <c r="C168">
        <v>2.34</v>
      </c>
      <c r="D168">
        <v>4</v>
      </c>
      <c r="E168">
        <v>14</v>
      </c>
      <c r="F168">
        <v>12</v>
      </c>
      <c r="G168">
        <v>2</v>
      </c>
      <c r="H168">
        <v>0</v>
      </c>
      <c r="I168">
        <v>3</v>
      </c>
      <c r="J168">
        <v>2014</v>
      </c>
      <c r="K168">
        <v>6</v>
      </c>
      <c r="L168" t="s">
        <v>16</v>
      </c>
      <c r="M168">
        <f>SUM(Pharma_Sales_Data[[#This Row],[M01AB]:[R06]])</f>
        <v>42.34</v>
      </c>
      <c r="N168" s="2">
        <f>Pharma_Sales_Data[[#This Row],[Total Drug Sales]]*150</f>
        <v>6351.0000000000009</v>
      </c>
      <c r="O168" s="2">
        <f>Pharma_Sales_Data[[#This Row],[Total Revenue]]*0.3</f>
        <v>1905.3000000000002</v>
      </c>
      <c r="P168" t="str">
        <f>IF(Pharma_Sales_Data[[#This Row],[Total Revenue]]&gt;20000,"High Value", IF(Pharma_Sales_Data[[#This Row],[Total Revenue]]&gt;=10000,"Medium Value","Low Value"))</f>
        <v>Low Value</v>
      </c>
    </row>
    <row r="169" spans="1:16" x14ac:dyDescent="0.35">
      <c r="A169" s="1">
        <v>41808</v>
      </c>
      <c r="B169">
        <v>2</v>
      </c>
      <c r="C169">
        <v>2</v>
      </c>
      <c r="D169">
        <v>4.7</v>
      </c>
      <c r="E169">
        <v>18</v>
      </c>
      <c r="F169">
        <v>6</v>
      </c>
      <c r="G169">
        <v>0</v>
      </c>
      <c r="H169">
        <v>1</v>
      </c>
      <c r="I169">
        <v>3</v>
      </c>
      <c r="J169">
        <v>2014</v>
      </c>
      <c r="K169">
        <v>6</v>
      </c>
      <c r="L169" t="s">
        <v>17</v>
      </c>
      <c r="M169">
        <f>SUM(Pharma_Sales_Data[[#This Row],[M01AB]:[R06]])</f>
        <v>36.700000000000003</v>
      </c>
      <c r="N169" s="2">
        <f>Pharma_Sales_Data[[#This Row],[Total Drug Sales]]*150</f>
        <v>5505</v>
      </c>
      <c r="O169" s="2">
        <f>Pharma_Sales_Data[[#This Row],[Total Revenue]]*0.3</f>
        <v>1651.5</v>
      </c>
      <c r="P169" t="str">
        <f>IF(Pharma_Sales_Data[[#This Row],[Total Revenue]]&gt;20000,"High Value", IF(Pharma_Sales_Data[[#This Row],[Total Revenue]]&gt;=10000,"Medium Value","Low Value"))</f>
        <v>Low Value</v>
      </c>
    </row>
    <row r="170" spans="1:16" x14ac:dyDescent="0.35">
      <c r="A170" s="1">
        <v>41809</v>
      </c>
      <c r="B170">
        <v>3</v>
      </c>
      <c r="C170">
        <v>3.33</v>
      </c>
      <c r="D170">
        <v>1</v>
      </c>
      <c r="E170">
        <v>14</v>
      </c>
      <c r="F170">
        <v>8</v>
      </c>
      <c r="G170">
        <v>0</v>
      </c>
      <c r="H170">
        <v>0</v>
      </c>
      <c r="I170">
        <v>1</v>
      </c>
      <c r="J170">
        <v>2014</v>
      </c>
      <c r="K170">
        <v>6</v>
      </c>
      <c r="L170" t="s">
        <v>11</v>
      </c>
      <c r="M170">
        <f>SUM(Pharma_Sales_Data[[#This Row],[M01AB]:[R06]])</f>
        <v>30.33</v>
      </c>
      <c r="N170" s="2">
        <f>Pharma_Sales_Data[[#This Row],[Total Drug Sales]]*150</f>
        <v>4549.5</v>
      </c>
      <c r="O170" s="2">
        <f>Pharma_Sales_Data[[#This Row],[Total Revenue]]*0.3</f>
        <v>1364.85</v>
      </c>
      <c r="P170" t="str">
        <f>IF(Pharma_Sales_Data[[#This Row],[Total Revenue]]&gt;20000,"High Value", IF(Pharma_Sales_Data[[#This Row],[Total Revenue]]&gt;=10000,"Medium Value","Low Value"))</f>
        <v>Low Value</v>
      </c>
    </row>
    <row r="171" spans="1:16" x14ac:dyDescent="0.35">
      <c r="A171" s="1">
        <v>41810</v>
      </c>
      <c r="B171">
        <v>7.34</v>
      </c>
      <c r="C171">
        <v>2.02</v>
      </c>
      <c r="D171">
        <v>3</v>
      </c>
      <c r="E171">
        <v>14.5</v>
      </c>
      <c r="F171">
        <v>9</v>
      </c>
      <c r="G171">
        <v>0</v>
      </c>
      <c r="H171">
        <v>3</v>
      </c>
      <c r="I171">
        <v>6</v>
      </c>
      <c r="J171">
        <v>2014</v>
      </c>
      <c r="K171">
        <v>6</v>
      </c>
      <c r="L171" t="s">
        <v>12</v>
      </c>
      <c r="M171">
        <f>SUM(Pharma_Sales_Data[[#This Row],[M01AB]:[R06]])</f>
        <v>44.86</v>
      </c>
      <c r="N171" s="2">
        <f>Pharma_Sales_Data[[#This Row],[Total Drug Sales]]*150</f>
        <v>6729</v>
      </c>
      <c r="O171" s="2">
        <f>Pharma_Sales_Data[[#This Row],[Total Revenue]]*0.3</f>
        <v>2018.6999999999998</v>
      </c>
      <c r="P171" t="str">
        <f>IF(Pharma_Sales_Data[[#This Row],[Total Revenue]]&gt;20000,"High Value", IF(Pharma_Sales_Data[[#This Row],[Total Revenue]]&gt;=10000,"Medium Value","Low Value"))</f>
        <v>Low Value</v>
      </c>
    </row>
    <row r="172" spans="1:16" x14ac:dyDescent="0.35">
      <c r="A172" s="1">
        <v>41811</v>
      </c>
      <c r="B172">
        <v>6</v>
      </c>
      <c r="C172">
        <v>5.68</v>
      </c>
      <c r="D172">
        <v>2</v>
      </c>
      <c r="E172">
        <v>16</v>
      </c>
      <c r="F172">
        <v>12</v>
      </c>
      <c r="G172">
        <v>3</v>
      </c>
      <c r="H172">
        <v>0</v>
      </c>
      <c r="I172">
        <v>3</v>
      </c>
      <c r="J172">
        <v>2014</v>
      </c>
      <c r="K172">
        <v>6</v>
      </c>
      <c r="L172" t="s">
        <v>13</v>
      </c>
      <c r="M172">
        <f>SUM(Pharma_Sales_Data[[#This Row],[M01AB]:[R06]])</f>
        <v>47.68</v>
      </c>
      <c r="N172" s="2">
        <f>Pharma_Sales_Data[[#This Row],[Total Drug Sales]]*150</f>
        <v>7152</v>
      </c>
      <c r="O172" s="2">
        <f>Pharma_Sales_Data[[#This Row],[Total Revenue]]*0.3</f>
        <v>2145.6</v>
      </c>
      <c r="P172" t="str">
        <f>IF(Pharma_Sales_Data[[#This Row],[Total Revenue]]&gt;20000,"High Value", IF(Pharma_Sales_Data[[#This Row],[Total Revenue]]&gt;=10000,"Medium Value","Low Value"))</f>
        <v>Low Value</v>
      </c>
    </row>
    <row r="173" spans="1:16" x14ac:dyDescent="0.35">
      <c r="A173" s="1">
        <v>41812</v>
      </c>
      <c r="B173">
        <v>4</v>
      </c>
      <c r="C173">
        <v>1.02</v>
      </c>
      <c r="D173">
        <v>4</v>
      </c>
      <c r="E173">
        <v>18</v>
      </c>
      <c r="F173">
        <v>8</v>
      </c>
      <c r="G173">
        <v>0</v>
      </c>
      <c r="H173">
        <v>2</v>
      </c>
      <c r="I173">
        <v>3</v>
      </c>
      <c r="J173">
        <v>2014</v>
      </c>
      <c r="K173">
        <v>6</v>
      </c>
      <c r="L173" t="s">
        <v>14</v>
      </c>
      <c r="M173">
        <f>SUM(Pharma_Sales_Data[[#This Row],[M01AB]:[R06]])</f>
        <v>40.019999999999996</v>
      </c>
      <c r="N173" s="2">
        <f>Pharma_Sales_Data[[#This Row],[Total Drug Sales]]*150</f>
        <v>6002.9999999999991</v>
      </c>
      <c r="O173" s="2">
        <f>Pharma_Sales_Data[[#This Row],[Total Revenue]]*0.3</f>
        <v>1800.8999999999996</v>
      </c>
      <c r="P173" t="str">
        <f>IF(Pharma_Sales_Data[[#This Row],[Total Revenue]]&gt;20000,"High Value", IF(Pharma_Sales_Data[[#This Row],[Total Revenue]]&gt;=10000,"Medium Value","Low Value"))</f>
        <v>Low Value</v>
      </c>
    </row>
    <row r="174" spans="1:16" x14ac:dyDescent="0.35">
      <c r="A174" s="1">
        <v>41813</v>
      </c>
      <c r="B174">
        <v>2.34</v>
      </c>
      <c r="C174">
        <v>7.68</v>
      </c>
      <c r="D174">
        <v>3</v>
      </c>
      <c r="E174">
        <v>25.2</v>
      </c>
      <c r="F174">
        <v>12</v>
      </c>
      <c r="G174">
        <v>0</v>
      </c>
      <c r="H174">
        <v>2</v>
      </c>
      <c r="I174">
        <v>3</v>
      </c>
      <c r="J174">
        <v>2014</v>
      </c>
      <c r="K174">
        <v>6</v>
      </c>
      <c r="L174" t="s">
        <v>15</v>
      </c>
      <c r="M174">
        <f>SUM(Pharma_Sales_Data[[#This Row],[M01AB]:[R06]])</f>
        <v>55.22</v>
      </c>
      <c r="N174" s="2">
        <f>Pharma_Sales_Data[[#This Row],[Total Drug Sales]]*150</f>
        <v>8283</v>
      </c>
      <c r="O174" s="2">
        <f>Pharma_Sales_Data[[#This Row],[Total Revenue]]*0.3</f>
        <v>2484.9</v>
      </c>
      <c r="P174" t="str">
        <f>IF(Pharma_Sales_Data[[#This Row],[Total Revenue]]&gt;20000,"High Value", IF(Pharma_Sales_Data[[#This Row],[Total Revenue]]&gt;=10000,"Medium Value","Low Value"))</f>
        <v>Low Value</v>
      </c>
    </row>
    <row r="175" spans="1:16" x14ac:dyDescent="0.35">
      <c r="A175" s="1">
        <v>41814</v>
      </c>
      <c r="B175">
        <v>3</v>
      </c>
      <c r="C175">
        <v>5.14</v>
      </c>
      <c r="D175">
        <v>4</v>
      </c>
      <c r="E175">
        <v>16.2</v>
      </c>
      <c r="F175">
        <v>23</v>
      </c>
      <c r="G175">
        <v>0</v>
      </c>
      <c r="H175">
        <v>2</v>
      </c>
      <c r="I175">
        <v>4</v>
      </c>
      <c r="J175">
        <v>2014</v>
      </c>
      <c r="K175">
        <v>6</v>
      </c>
      <c r="L175" t="s">
        <v>16</v>
      </c>
      <c r="M175">
        <f>SUM(Pharma_Sales_Data[[#This Row],[M01AB]:[R06]])</f>
        <v>57.34</v>
      </c>
      <c r="N175" s="2">
        <f>Pharma_Sales_Data[[#This Row],[Total Drug Sales]]*150</f>
        <v>8601</v>
      </c>
      <c r="O175" s="2">
        <f>Pharma_Sales_Data[[#This Row],[Total Revenue]]*0.3</f>
        <v>2580.2999999999997</v>
      </c>
      <c r="P175" t="str">
        <f>IF(Pharma_Sales_Data[[#This Row],[Total Revenue]]&gt;20000,"High Value", IF(Pharma_Sales_Data[[#This Row],[Total Revenue]]&gt;=10000,"Medium Value","Low Value"))</f>
        <v>Low Value</v>
      </c>
    </row>
    <row r="176" spans="1:16" x14ac:dyDescent="0.35">
      <c r="A176" s="1">
        <v>41815</v>
      </c>
      <c r="B176">
        <v>8</v>
      </c>
      <c r="C176">
        <v>5.34</v>
      </c>
      <c r="D176">
        <v>7</v>
      </c>
      <c r="E176">
        <v>33.799999999999997</v>
      </c>
      <c r="F176">
        <v>19</v>
      </c>
      <c r="G176">
        <v>0</v>
      </c>
      <c r="H176">
        <v>0</v>
      </c>
      <c r="I176">
        <v>1</v>
      </c>
      <c r="J176">
        <v>2014</v>
      </c>
      <c r="K176">
        <v>6</v>
      </c>
      <c r="L176" t="s">
        <v>17</v>
      </c>
      <c r="M176">
        <f>SUM(Pharma_Sales_Data[[#This Row],[M01AB]:[R06]])</f>
        <v>74.14</v>
      </c>
      <c r="N176" s="2">
        <f>Pharma_Sales_Data[[#This Row],[Total Drug Sales]]*150</f>
        <v>11121</v>
      </c>
      <c r="O176" s="2">
        <f>Pharma_Sales_Data[[#This Row],[Total Revenue]]*0.3</f>
        <v>3336.2999999999997</v>
      </c>
      <c r="P176" t="str">
        <f>IF(Pharma_Sales_Data[[#This Row],[Total Revenue]]&gt;20000,"High Value", IF(Pharma_Sales_Data[[#This Row],[Total Revenue]]&gt;=10000,"Medium Value","Low Value"))</f>
        <v>Medium Value</v>
      </c>
    </row>
    <row r="177" spans="1:16" x14ac:dyDescent="0.35">
      <c r="A177" s="1">
        <v>41816</v>
      </c>
      <c r="B177">
        <v>3</v>
      </c>
      <c r="C177">
        <v>2</v>
      </c>
      <c r="D177">
        <v>11.3</v>
      </c>
      <c r="E177">
        <v>19.3</v>
      </c>
      <c r="F177">
        <v>14</v>
      </c>
      <c r="G177">
        <v>0</v>
      </c>
      <c r="H177">
        <v>0</v>
      </c>
      <c r="I177">
        <v>1</v>
      </c>
      <c r="J177">
        <v>2014</v>
      </c>
      <c r="K177">
        <v>6</v>
      </c>
      <c r="L177" t="s">
        <v>11</v>
      </c>
      <c r="M177">
        <f>SUM(Pharma_Sales_Data[[#This Row],[M01AB]:[R06]])</f>
        <v>50.6</v>
      </c>
      <c r="N177" s="2">
        <f>Pharma_Sales_Data[[#This Row],[Total Drug Sales]]*150</f>
        <v>7590</v>
      </c>
      <c r="O177" s="2">
        <f>Pharma_Sales_Data[[#This Row],[Total Revenue]]*0.3</f>
        <v>2277</v>
      </c>
      <c r="P177" t="str">
        <f>IF(Pharma_Sales_Data[[#This Row],[Total Revenue]]&gt;20000,"High Value", IF(Pharma_Sales_Data[[#This Row],[Total Revenue]]&gt;=10000,"Medium Value","Low Value"))</f>
        <v>Low Value</v>
      </c>
    </row>
    <row r="178" spans="1:16" x14ac:dyDescent="0.35">
      <c r="A178" s="1">
        <v>41817</v>
      </c>
      <c r="B178">
        <v>4.34</v>
      </c>
      <c r="C178">
        <v>1</v>
      </c>
      <c r="D178">
        <v>6</v>
      </c>
      <c r="E178">
        <v>32.299999999999997</v>
      </c>
      <c r="F178">
        <v>13</v>
      </c>
      <c r="G178">
        <v>0</v>
      </c>
      <c r="H178">
        <v>1</v>
      </c>
      <c r="I178">
        <v>3</v>
      </c>
      <c r="J178">
        <v>2014</v>
      </c>
      <c r="K178">
        <v>6</v>
      </c>
      <c r="L178" t="s">
        <v>12</v>
      </c>
      <c r="M178">
        <f>SUM(Pharma_Sales_Data[[#This Row],[M01AB]:[R06]])</f>
        <v>60.64</v>
      </c>
      <c r="N178" s="2">
        <f>Pharma_Sales_Data[[#This Row],[Total Drug Sales]]*150</f>
        <v>9096</v>
      </c>
      <c r="O178" s="2">
        <f>Pharma_Sales_Data[[#This Row],[Total Revenue]]*0.3</f>
        <v>2728.7999999999997</v>
      </c>
      <c r="P178" t="str">
        <f>IF(Pharma_Sales_Data[[#This Row],[Total Revenue]]&gt;20000,"High Value", IF(Pharma_Sales_Data[[#This Row],[Total Revenue]]&gt;=10000,"Medium Value","Low Value"))</f>
        <v>Low Value</v>
      </c>
    </row>
    <row r="179" spans="1:16" x14ac:dyDescent="0.35">
      <c r="A179" s="1">
        <v>41818</v>
      </c>
      <c r="B179">
        <v>0.34</v>
      </c>
      <c r="C179">
        <v>5.34</v>
      </c>
      <c r="D179">
        <v>5</v>
      </c>
      <c r="E179">
        <v>20</v>
      </c>
      <c r="F179">
        <v>14</v>
      </c>
      <c r="G179">
        <v>1</v>
      </c>
      <c r="H179">
        <v>1</v>
      </c>
      <c r="I179">
        <v>5</v>
      </c>
      <c r="J179">
        <v>2014</v>
      </c>
      <c r="K179">
        <v>6</v>
      </c>
      <c r="L179" t="s">
        <v>13</v>
      </c>
      <c r="M179">
        <f>SUM(Pharma_Sales_Data[[#This Row],[M01AB]:[R06]])</f>
        <v>51.68</v>
      </c>
      <c r="N179" s="2">
        <f>Pharma_Sales_Data[[#This Row],[Total Drug Sales]]*150</f>
        <v>7752</v>
      </c>
      <c r="O179" s="2">
        <f>Pharma_Sales_Data[[#This Row],[Total Revenue]]*0.3</f>
        <v>2325.6</v>
      </c>
      <c r="P179" t="str">
        <f>IF(Pharma_Sales_Data[[#This Row],[Total Revenue]]&gt;20000,"High Value", IF(Pharma_Sales_Data[[#This Row],[Total Revenue]]&gt;=10000,"Medium Value","Low Value"))</f>
        <v>Low Value</v>
      </c>
    </row>
    <row r="180" spans="1:16" x14ac:dyDescent="0.35">
      <c r="A180" s="1">
        <v>41819</v>
      </c>
      <c r="B180">
        <v>0</v>
      </c>
      <c r="C180">
        <v>1</v>
      </c>
      <c r="D180">
        <v>1</v>
      </c>
      <c r="E180">
        <v>10</v>
      </c>
      <c r="F180">
        <v>1</v>
      </c>
      <c r="G180">
        <v>0</v>
      </c>
      <c r="H180">
        <v>0</v>
      </c>
      <c r="I180">
        <v>1</v>
      </c>
      <c r="J180">
        <v>2014</v>
      </c>
      <c r="K180">
        <v>6</v>
      </c>
      <c r="L180" t="s">
        <v>14</v>
      </c>
      <c r="M180">
        <f>SUM(Pharma_Sales_Data[[#This Row],[M01AB]:[R06]])</f>
        <v>14</v>
      </c>
      <c r="N180" s="2">
        <f>Pharma_Sales_Data[[#This Row],[Total Drug Sales]]*150</f>
        <v>2100</v>
      </c>
      <c r="O180" s="2">
        <f>Pharma_Sales_Data[[#This Row],[Total Revenue]]*0.3</f>
        <v>630</v>
      </c>
      <c r="P180" t="str">
        <f>IF(Pharma_Sales_Data[[#This Row],[Total Revenue]]&gt;20000,"High Value", IF(Pharma_Sales_Data[[#This Row],[Total Revenue]]&gt;=10000,"Medium Value","Low Value"))</f>
        <v>Low Value</v>
      </c>
    </row>
    <row r="181" spans="1:16" x14ac:dyDescent="0.35">
      <c r="A181" s="1">
        <v>41820</v>
      </c>
      <c r="B181">
        <v>6</v>
      </c>
      <c r="C181">
        <v>5.34</v>
      </c>
      <c r="D181">
        <v>1</v>
      </c>
      <c r="E181">
        <v>25</v>
      </c>
      <c r="F181">
        <v>6</v>
      </c>
      <c r="G181">
        <v>0</v>
      </c>
      <c r="H181">
        <v>0</v>
      </c>
      <c r="I181">
        <v>0</v>
      </c>
      <c r="J181">
        <v>2014</v>
      </c>
      <c r="K181">
        <v>6</v>
      </c>
      <c r="L181" t="s">
        <v>15</v>
      </c>
      <c r="M181">
        <f>SUM(Pharma_Sales_Data[[#This Row],[M01AB]:[R06]])</f>
        <v>43.34</v>
      </c>
      <c r="N181" s="2">
        <f>Pharma_Sales_Data[[#This Row],[Total Drug Sales]]*150</f>
        <v>6501.0000000000009</v>
      </c>
      <c r="O181" s="2">
        <f>Pharma_Sales_Data[[#This Row],[Total Revenue]]*0.3</f>
        <v>1950.3000000000002</v>
      </c>
      <c r="P181" t="str">
        <f>IF(Pharma_Sales_Data[[#This Row],[Total Revenue]]&gt;20000,"High Value", IF(Pharma_Sales_Data[[#This Row],[Total Revenue]]&gt;=10000,"Medium Value","Low Value"))</f>
        <v>Low Value</v>
      </c>
    </row>
    <row r="182" spans="1:16" x14ac:dyDescent="0.35">
      <c r="A182" s="1">
        <v>41821</v>
      </c>
      <c r="B182">
        <v>4.34</v>
      </c>
      <c r="C182">
        <v>2.34</v>
      </c>
      <c r="D182">
        <v>2</v>
      </c>
      <c r="E182">
        <v>19</v>
      </c>
      <c r="F182">
        <v>10</v>
      </c>
      <c r="G182">
        <v>0</v>
      </c>
      <c r="H182">
        <v>0</v>
      </c>
      <c r="I182">
        <v>2</v>
      </c>
      <c r="J182">
        <v>2014</v>
      </c>
      <c r="K182">
        <v>7</v>
      </c>
      <c r="L182" t="s">
        <v>16</v>
      </c>
      <c r="M182">
        <f>SUM(Pharma_Sales_Data[[#This Row],[M01AB]:[R06]])</f>
        <v>39.68</v>
      </c>
      <c r="N182" s="2">
        <f>Pharma_Sales_Data[[#This Row],[Total Drug Sales]]*150</f>
        <v>5952</v>
      </c>
      <c r="O182" s="2">
        <f>Pharma_Sales_Data[[#This Row],[Total Revenue]]*0.3</f>
        <v>1785.6</v>
      </c>
      <c r="P182" t="str">
        <f>IF(Pharma_Sales_Data[[#This Row],[Total Revenue]]&gt;20000,"High Value", IF(Pharma_Sales_Data[[#This Row],[Total Revenue]]&gt;=10000,"Medium Value","Low Value"))</f>
        <v>Low Value</v>
      </c>
    </row>
    <row r="183" spans="1:16" x14ac:dyDescent="0.35">
      <c r="A183" s="1">
        <v>41822</v>
      </c>
      <c r="B183">
        <v>3</v>
      </c>
      <c r="C183">
        <v>0.34</v>
      </c>
      <c r="D183">
        <v>4</v>
      </c>
      <c r="E183">
        <v>21.6</v>
      </c>
      <c r="F183">
        <v>7</v>
      </c>
      <c r="G183">
        <v>0</v>
      </c>
      <c r="H183">
        <v>6</v>
      </c>
      <c r="I183">
        <v>3</v>
      </c>
      <c r="J183">
        <v>2014</v>
      </c>
      <c r="K183">
        <v>7</v>
      </c>
      <c r="L183" t="s">
        <v>17</v>
      </c>
      <c r="M183">
        <f>SUM(Pharma_Sales_Data[[#This Row],[M01AB]:[R06]])</f>
        <v>44.94</v>
      </c>
      <c r="N183" s="2">
        <f>Pharma_Sales_Data[[#This Row],[Total Drug Sales]]*150</f>
        <v>6741</v>
      </c>
      <c r="O183" s="2">
        <f>Pharma_Sales_Data[[#This Row],[Total Revenue]]*0.3</f>
        <v>2022.3</v>
      </c>
      <c r="P183" t="str">
        <f>IF(Pharma_Sales_Data[[#This Row],[Total Revenue]]&gt;20000,"High Value", IF(Pharma_Sales_Data[[#This Row],[Total Revenue]]&gt;=10000,"Medium Value","Low Value"))</f>
        <v>Low Value</v>
      </c>
    </row>
    <row r="184" spans="1:16" x14ac:dyDescent="0.35">
      <c r="A184" s="1">
        <v>41823</v>
      </c>
      <c r="B184">
        <v>2.33</v>
      </c>
      <c r="C184">
        <v>5.68</v>
      </c>
      <c r="D184">
        <v>7</v>
      </c>
      <c r="E184">
        <v>12.5</v>
      </c>
      <c r="F184">
        <v>7</v>
      </c>
      <c r="G184">
        <v>2</v>
      </c>
      <c r="H184">
        <v>0</v>
      </c>
      <c r="I184">
        <v>2</v>
      </c>
      <c r="J184">
        <v>2014</v>
      </c>
      <c r="K184">
        <v>7</v>
      </c>
      <c r="L184" t="s">
        <v>11</v>
      </c>
      <c r="M184">
        <f>SUM(Pharma_Sales_Data[[#This Row],[M01AB]:[R06]])</f>
        <v>38.51</v>
      </c>
      <c r="N184" s="2">
        <f>Pharma_Sales_Data[[#This Row],[Total Drug Sales]]*150</f>
        <v>5776.5</v>
      </c>
      <c r="O184" s="2">
        <f>Pharma_Sales_Data[[#This Row],[Total Revenue]]*0.3</f>
        <v>1732.95</v>
      </c>
      <c r="P184" t="str">
        <f>IF(Pharma_Sales_Data[[#This Row],[Total Revenue]]&gt;20000,"High Value", IF(Pharma_Sales_Data[[#This Row],[Total Revenue]]&gt;=10000,"Medium Value","Low Value"))</f>
        <v>Low Value</v>
      </c>
    </row>
    <row r="185" spans="1:16" x14ac:dyDescent="0.35">
      <c r="A185" s="1">
        <v>41824</v>
      </c>
      <c r="B185">
        <v>4.34</v>
      </c>
      <c r="C185">
        <v>4.7</v>
      </c>
      <c r="D185">
        <v>7</v>
      </c>
      <c r="E185">
        <v>10.5</v>
      </c>
      <c r="F185">
        <v>14</v>
      </c>
      <c r="G185">
        <v>0</v>
      </c>
      <c r="H185">
        <v>2</v>
      </c>
      <c r="I185">
        <v>3</v>
      </c>
      <c r="J185">
        <v>2014</v>
      </c>
      <c r="K185">
        <v>7</v>
      </c>
      <c r="L185" t="s">
        <v>12</v>
      </c>
      <c r="M185">
        <f>SUM(Pharma_Sales_Data[[#This Row],[M01AB]:[R06]])</f>
        <v>45.54</v>
      </c>
      <c r="N185" s="2">
        <f>Pharma_Sales_Data[[#This Row],[Total Drug Sales]]*150</f>
        <v>6831</v>
      </c>
      <c r="O185" s="2">
        <f>Pharma_Sales_Data[[#This Row],[Total Revenue]]*0.3</f>
        <v>2049.2999999999997</v>
      </c>
      <c r="P185" t="str">
        <f>IF(Pharma_Sales_Data[[#This Row],[Total Revenue]]&gt;20000,"High Value", IF(Pharma_Sales_Data[[#This Row],[Total Revenue]]&gt;=10000,"Medium Value","Low Value"))</f>
        <v>Low Value</v>
      </c>
    </row>
    <row r="186" spans="1:16" x14ac:dyDescent="0.35">
      <c r="A186" s="1">
        <v>41825</v>
      </c>
      <c r="B186">
        <v>3.34</v>
      </c>
      <c r="C186">
        <v>4.34</v>
      </c>
      <c r="D186">
        <v>6</v>
      </c>
      <c r="E186">
        <v>37</v>
      </c>
      <c r="F186">
        <v>11</v>
      </c>
      <c r="G186">
        <v>1</v>
      </c>
      <c r="H186">
        <v>0</v>
      </c>
      <c r="I186">
        <v>0</v>
      </c>
      <c r="J186">
        <v>2014</v>
      </c>
      <c r="K186">
        <v>7</v>
      </c>
      <c r="L186" t="s">
        <v>13</v>
      </c>
      <c r="M186">
        <f>SUM(Pharma_Sales_Data[[#This Row],[M01AB]:[R06]])</f>
        <v>62.68</v>
      </c>
      <c r="N186" s="2">
        <f>Pharma_Sales_Data[[#This Row],[Total Drug Sales]]*150</f>
        <v>9402</v>
      </c>
      <c r="O186" s="2">
        <f>Pharma_Sales_Data[[#This Row],[Total Revenue]]*0.3</f>
        <v>2820.6</v>
      </c>
      <c r="P186" t="str">
        <f>IF(Pharma_Sales_Data[[#This Row],[Total Revenue]]&gt;20000,"High Value", IF(Pharma_Sales_Data[[#This Row],[Total Revenue]]&gt;=10000,"Medium Value","Low Value"))</f>
        <v>Low Value</v>
      </c>
    </row>
    <row r="187" spans="1:16" x14ac:dyDescent="0.35">
      <c r="A187" s="1">
        <v>41826</v>
      </c>
      <c r="B187">
        <v>4</v>
      </c>
      <c r="C187">
        <v>2</v>
      </c>
      <c r="D187">
        <v>3</v>
      </c>
      <c r="E187">
        <v>10.199999999999999</v>
      </c>
      <c r="F187">
        <v>9</v>
      </c>
      <c r="G187">
        <v>0</v>
      </c>
      <c r="H187">
        <v>0</v>
      </c>
      <c r="I187">
        <v>0</v>
      </c>
      <c r="J187">
        <v>2014</v>
      </c>
      <c r="K187">
        <v>7</v>
      </c>
      <c r="L187" t="s">
        <v>14</v>
      </c>
      <c r="M187">
        <f>SUM(Pharma_Sales_Data[[#This Row],[M01AB]:[R06]])</f>
        <v>28.2</v>
      </c>
      <c r="N187" s="2">
        <f>Pharma_Sales_Data[[#This Row],[Total Drug Sales]]*150</f>
        <v>4230</v>
      </c>
      <c r="O187" s="2">
        <f>Pharma_Sales_Data[[#This Row],[Total Revenue]]*0.3</f>
        <v>1269</v>
      </c>
      <c r="P187" t="str">
        <f>IF(Pharma_Sales_Data[[#This Row],[Total Revenue]]&gt;20000,"High Value", IF(Pharma_Sales_Data[[#This Row],[Total Revenue]]&gt;=10000,"Medium Value","Low Value"))</f>
        <v>Low Value</v>
      </c>
    </row>
    <row r="188" spans="1:16" x14ac:dyDescent="0.35">
      <c r="A188" s="1">
        <v>41827</v>
      </c>
      <c r="B188">
        <v>2</v>
      </c>
      <c r="C188">
        <v>3.34</v>
      </c>
      <c r="D188">
        <v>4</v>
      </c>
      <c r="E188">
        <v>13</v>
      </c>
      <c r="F188">
        <v>11</v>
      </c>
      <c r="G188">
        <v>0</v>
      </c>
      <c r="H188">
        <v>0</v>
      </c>
      <c r="I188">
        <v>4</v>
      </c>
      <c r="J188">
        <v>2014</v>
      </c>
      <c r="K188">
        <v>7</v>
      </c>
      <c r="L188" t="s">
        <v>15</v>
      </c>
      <c r="M188">
        <f>SUM(Pharma_Sales_Data[[#This Row],[M01AB]:[R06]])</f>
        <v>37.340000000000003</v>
      </c>
      <c r="N188" s="2">
        <f>Pharma_Sales_Data[[#This Row],[Total Drug Sales]]*150</f>
        <v>5601.0000000000009</v>
      </c>
      <c r="O188" s="2">
        <f>Pharma_Sales_Data[[#This Row],[Total Revenue]]*0.3</f>
        <v>1680.3000000000002</v>
      </c>
      <c r="P188" t="str">
        <f>IF(Pharma_Sales_Data[[#This Row],[Total Revenue]]&gt;20000,"High Value", IF(Pharma_Sales_Data[[#This Row],[Total Revenue]]&gt;=10000,"Medium Value","Low Value"))</f>
        <v>Low Value</v>
      </c>
    </row>
    <row r="189" spans="1:16" x14ac:dyDescent="0.35">
      <c r="A189" s="1">
        <v>41828</v>
      </c>
      <c r="B189">
        <v>6.34</v>
      </c>
      <c r="C189">
        <v>2.34</v>
      </c>
      <c r="D189">
        <v>3</v>
      </c>
      <c r="E189">
        <v>14</v>
      </c>
      <c r="F189">
        <v>3</v>
      </c>
      <c r="G189">
        <v>0</v>
      </c>
      <c r="H189">
        <v>5</v>
      </c>
      <c r="I189">
        <v>1</v>
      </c>
      <c r="J189">
        <v>2014</v>
      </c>
      <c r="K189">
        <v>7</v>
      </c>
      <c r="L189" t="s">
        <v>16</v>
      </c>
      <c r="M189">
        <f>SUM(Pharma_Sales_Data[[#This Row],[M01AB]:[R06]])</f>
        <v>34.68</v>
      </c>
      <c r="N189" s="2">
        <f>Pharma_Sales_Data[[#This Row],[Total Drug Sales]]*150</f>
        <v>5202</v>
      </c>
      <c r="O189" s="2">
        <f>Pharma_Sales_Data[[#This Row],[Total Revenue]]*0.3</f>
        <v>1560.6</v>
      </c>
      <c r="P189" t="str">
        <f>IF(Pharma_Sales_Data[[#This Row],[Total Revenue]]&gt;20000,"High Value", IF(Pharma_Sales_Data[[#This Row],[Total Revenue]]&gt;=10000,"Medium Value","Low Value"))</f>
        <v>Low Value</v>
      </c>
    </row>
    <row r="190" spans="1:16" x14ac:dyDescent="0.35">
      <c r="A190" s="1">
        <v>41829</v>
      </c>
      <c r="B190">
        <v>3</v>
      </c>
      <c r="C190">
        <v>6.34</v>
      </c>
      <c r="D190">
        <v>5</v>
      </c>
      <c r="E190">
        <v>13</v>
      </c>
      <c r="F190">
        <v>6</v>
      </c>
      <c r="G190">
        <v>4</v>
      </c>
      <c r="H190">
        <v>0</v>
      </c>
      <c r="I190">
        <v>2.2000000000000002</v>
      </c>
      <c r="J190">
        <v>2014</v>
      </c>
      <c r="K190">
        <v>7</v>
      </c>
      <c r="L190" t="s">
        <v>17</v>
      </c>
      <c r="M190">
        <f>SUM(Pharma_Sales_Data[[#This Row],[M01AB]:[R06]])</f>
        <v>39.540000000000006</v>
      </c>
      <c r="N190" s="2">
        <f>Pharma_Sales_Data[[#This Row],[Total Drug Sales]]*150</f>
        <v>5931.0000000000009</v>
      </c>
      <c r="O190" s="2">
        <f>Pharma_Sales_Data[[#This Row],[Total Revenue]]*0.3</f>
        <v>1779.3000000000002</v>
      </c>
      <c r="P190" t="str">
        <f>IF(Pharma_Sales_Data[[#This Row],[Total Revenue]]&gt;20000,"High Value", IF(Pharma_Sales_Data[[#This Row],[Total Revenue]]&gt;=10000,"Medium Value","Low Value"))</f>
        <v>Low Value</v>
      </c>
    </row>
    <row r="191" spans="1:16" x14ac:dyDescent="0.35">
      <c r="A191" s="1">
        <v>41830</v>
      </c>
      <c r="B191">
        <v>2.33</v>
      </c>
      <c r="C191">
        <v>4.66</v>
      </c>
      <c r="D191">
        <v>8</v>
      </c>
      <c r="E191">
        <v>21.2</v>
      </c>
      <c r="F191">
        <v>32</v>
      </c>
      <c r="G191">
        <v>0</v>
      </c>
      <c r="H191">
        <v>5</v>
      </c>
      <c r="I191">
        <v>4</v>
      </c>
      <c r="J191">
        <v>2014</v>
      </c>
      <c r="K191">
        <v>7</v>
      </c>
      <c r="L191" t="s">
        <v>11</v>
      </c>
      <c r="M191">
        <f>SUM(Pharma_Sales_Data[[#This Row],[M01AB]:[R06]])</f>
        <v>77.19</v>
      </c>
      <c r="N191" s="2">
        <f>Pharma_Sales_Data[[#This Row],[Total Drug Sales]]*150</f>
        <v>11578.5</v>
      </c>
      <c r="O191" s="2">
        <f>Pharma_Sales_Data[[#This Row],[Total Revenue]]*0.3</f>
        <v>3473.5499999999997</v>
      </c>
      <c r="P191" t="str">
        <f>IF(Pharma_Sales_Data[[#This Row],[Total Revenue]]&gt;20000,"High Value", IF(Pharma_Sales_Data[[#This Row],[Total Revenue]]&gt;=10000,"Medium Value","Low Value"))</f>
        <v>Medium Value</v>
      </c>
    </row>
    <row r="192" spans="1:16" x14ac:dyDescent="0.35">
      <c r="A192" s="1">
        <v>41831</v>
      </c>
      <c r="B192">
        <v>2</v>
      </c>
      <c r="C192">
        <v>1.68</v>
      </c>
      <c r="D192">
        <v>3.2</v>
      </c>
      <c r="E192">
        <v>16.5</v>
      </c>
      <c r="F192">
        <v>17</v>
      </c>
      <c r="G192">
        <v>0</v>
      </c>
      <c r="H192">
        <v>5</v>
      </c>
      <c r="I192">
        <v>1</v>
      </c>
      <c r="J192">
        <v>2014</v>
      </c>
      <c r="K192">
        <v>7</v>
      </c>
      <c r="L192" t="s">
        <v>12</v>
      </c>
      <c r="M192">
        <f>SUM(Pharma_Sales_Data[[#This Row],[M01AB]:[R06]])</f>
        <v>46.379999999999995</v>
      </c>
      <c r="N192" s="2">
        <f>Pharma_Sales_Data[[#This Row],[Total Drug Sales]]*150</f>
        <v>6956.9999999999991</v>
      </c>
      <c r="O192" s="2">
        <f>Pharma_Sales_Data[[#This Row],[Total Revenue]]*0.3</f>
        <v>2087.0999999999995</v>
      </c>
      <c r="P192" t="str">
        <f>IF(Pharma_Sales_Data[[#This Row],[Total Revenue]]&gt;20000,"High Value", IF(Pharma_Sales_Data[[#This Row],[Total Revenue]]&gt;=10000,"Medium Value","Low Value"))</f>
        <v>Low Value</v>
      </c>
    </row>
    <row r="193" spans="1:16" x14ac:dyDescent="0.35">
      <c r="A193" s="1">
        <v>41832</v>
      </c>
      <c r="B193">
        <v>8.34</v>
      </c>
      <c r="C193">
        <v>2.68</v>
      </c>
      <c r="D193">
        <v>10.5</v>
      </c>
      <c r="E193">
        <v>28.1</v>
      </c>
      <c r="F193">
        <v>12</v>
      </c>
      <c r="G193">
        <v>3</v>
      </c>
      <c r="H193">
        <v>12</v>
      </c>
      <c r="I193">
        <v>4</v>
      </c>
      <c r="J193">
        <v>2014</v>
      </c>
      <c r="K193">
        <v>7</v>
      </c>
      <c r="L193" t="s">
        <v>13</v>
      </c>
      <c r="M193">
        <f>SUM(Pharma_Sales_Data[[#This Row],[M01AB]:[R06]])</f>
        <v>80.62</v>
      </c>
      <c r="N193" s="2">
        <f>Pharma_Sales_Data[[#This Row],[Total Drug Sales]]*150</f>
        <v>12093</v>
      </c>
      <c r="O193" s="2">
        <f>Pharma_Sales_Data[[#This Row],[Total Revenue]]*0.3</f>
        <v>3627.9</v>
      </c>
      <c r="P193" t="str">
        <f>IF(Pharma_Sales_Data[[#This Row],[Total Revenue]]&gt;20000,"High Value", IF(Pharma_Sales_Data[[#This Row],[Total Revenue]]&gt;=10000,"Medium Value","Low Value"))</f>
        <v>Medium Value</v>
      </c>
    </row>
    <row r="194" spans="1:16" x14ac:dyDescent="0.35">
      <c r="A194" s="1">
        <v>41833</v>
      </c>
      <c r="B194">
        <v>2</v>
      </c>
      <c r="C194">
        <v>1.34</v>
      </c>
      <c r="D194">
        <v>1</v>
      </c>
      <c r="E194">
        <v>17</v>
      </c>
      <c r="F194">
        <v>2</v>
      </c>
      <c r="G194">
        <v>0</v>
      </c>
      <c r="H194">
        <v>0</v>
      </c>
      <c r="I194">
        <v>0</v>
      </c>
      <c r="J194">
        <v>2014</v>
      </c>
      <c r="K194">
        <v>7</v>
      </c>
      <c r="L194" t="s">
        <v>14</v>
      </c>
      <c r="M194">
        <f>SUM(Pharma_Sales_Data[[#This Row],[M01AB]:[R06]])</f>
        <v>23.34</v>
      </c>
      <c r="N194" s="2">
        <f>Pharma_Sales_Data[[#This Row],[Total Drug Sales]]*150</f>
        <v>3501</v>
      </c>
      <c r="O194" s="2">
        <f>Pharma_Sales_Data[[#This Row],[Total Revenue]]*0.3</f>
        <v>1050.3</v>
      </c>
      <c r="P194" t="str">
        <f>IF(Pharma_Sales_Data[[#This Row],[Total Revenue]]&gt;20000,"High Value", IF(Pharma_Sales_Data[[#This Row],[Total Revenue]]&gt;=10000,"Medium Value","Low Value"))</f>
        <v>Low Value</v>
      </c>
    </row>
    <row r="195" spans="1:16" x14ac:dyDescent="0.35">
      <c r="A195" s="1">
        <v>41834</v>
      </c>
      <c r="B195">
        <v>5</v>
      </c>
      <c r="C195">
        <v>3.04</v>
      </c>
      <c r="D195">
        <v>3</v>
      </c>
      <c r="E195">
        <v>11.8</v>
      </c>
      <c r="F195">
        <v>19</v>
      </c>
      <c r="G195">
        <v>1</v>
      </c>
      <c r="H195">
        <v>2</v>
      </c>
      <c r="I195">
        <v>2</v>
      </c>
      <c r="J195">
        <v>2014</v>
      </c>
      <c r="K195">
        <v>7</v>
      </c>
      <c r="L195" t="s">
        <v>15</v>
      </c>
      <c r="M195">
        <f>SUM(Pharma_Sales_Data[[#This Row],[M01AB]:[R06]])</f>
        <v>46.84</v>
      </c>
      <c r="N195" s="2">
        <f>Pharma_Sales_Data[[#This Row],[Total Drug Sales]]*150</f>
        <v>7026.0000000000009</v>
      </c>
      <c r="O195" s="2">
        <f>Pharma_Sales_Data[[#This Row],[Total Revenue]]*0.3</f>
        <v>2107.8000000000002</v>
      </c>
      <c r="P195" t="str">
        <f>IF(Pharma_Sales_Data[[#This Row],[Total Revenue]]&gt;20000,"High Value", IF(Pharma_Sales_Data[[#This Row],[Total Revenue]]&gt;=10000,"Medium Value","Low Value"))</f>
        <v>Low Value</v>
      </c>
    </row>
    <row r="196" spans="1:16" x14ac:dyDescent="0.35">
      <c r="A196" s="1">
        <v>41835</v>
      </c>
      <c r="B196">
        <v>3.34</v>
      </c>
      <c r="C196">
        <v>1.68</v>
      </c>
      <c r="D196">
        <v>1</v>
      </c>
      <c r="E196">
        <v>15.6</v>
      </c>
      <c r="F196">
        <v>18</v>
      </c>
      <c r="G196">
        <v>0</v>
      </c>
      <c r="H196">
        <v>0</v>
      </c>
      <c r="I196">
        <v>1.3</v>
      </c>
      <c r="J196">
        <v>2014</v>
      </c>
      <c r="K196">
        <v>7</v>
      </c>
      <c r="L196" t="s">
        <v>16</v>
      </c>
      <c r="M196">
        <f>SUM(Pharma_Sales_Data[[#This Row],[M01AB]:[R06]])</f>
        <v>40.919999999999995</v>
      </c>
      <c r="N196" s="2">
        <f>Pharma_Sales_Data[[#This Row],[Total Drug Sales]]*150</f>
        <v>6137.9999999999991</v>
      </c>
      <c r="O196" s="2">
        <f>Pharma_Sales_Data[[#This Row],[Total Revenue]]*0.3</f>
        <v>1841.3999999999996</v>
      </c>
      <c r="P196" t="str">
        <f>IF(Pharma_Sales_Data[[#This Row],[Total Revenue]]&gt;20000,"High Value", IF(Pharma_Sales_Data[[#This Row],[Total Revenue]]&gt;=10000,"Medium Value","Low Value"))</f>
        <v>Low Value</v>
      </c>
    </row>
    <row r="197" spans="1:16" x14ac:dyDescent="0.35">
      <c r="A197" s="1">
        <v>41836</v>
      </c>
      <c r="B197">
        <v>4</v>
      </c>
      <c r="C197">
        <v>3.34</v>
      </c>
      <c r="D197">
        <v>3</v>
      </c>
      <c r="E197">
        <v>13</v>
      </c>
      <c r="F197">
        <v>12</v>
      </c>
      <c r="G197">
        <v>1</v>
      </c>
      <c r="H197">
        <v>4</v>
      </c>
      <c r="I197">
        <v>0</v>
      </c>
      <c r="J197">
        <v>2014</v>
      </c>
      <c r="K197">
        <v>7</v>
      </c>
      <c r="L197" t="s">
        <v>17</v>
      </c>
      <c r="M197">
        <f>SUM(Pharma_Sales_Data[[#This Row],[M01AB]:[R06]])</f>
        <v>40.340000000000003</v>
      </c>
      <c r="N197" s="2">
        <f>Pharma_Sales_Data[[#This Row],[Total Drug Sales]]*150</f>
        <v>6051.0000000000009</v>
      </c>
      <c r="O197" s="2">
        <f>Pharma_Sales_Data[[#This Row],[Total Revenue]]*0.3</f>
        <v>1815.3000000000002</v>
      </c>
      <c r="P197" t="str">
        <f>IF(Pharma_Sales_Data[[#This Row],[Total Revenue]]&gt;20000,"High Value", IF(Pharma_Sales_Data[[#This Row],[Total Revenue]]&gt;=10000,"Medium Value","Low Value"))</f>
        <v>Low Value</v>
      </c>
    </row>
    <row r="198" spans="1:16" x14ac:dyDescent="0.35">
      <c r="A198" s="1">
        <v>41837</v>
      </c>
      <c r="B198">
        <v>2</v>
      </c>
      <c r="C198">
        <v>3</v>
      </c>
      <c r="D198">
        <v>5</v>
      </c>
      <c r="E198">
        <v>25</v>
      </c>
      <c r="F198">
        <v>14</v>
      </c>
      <c r="G198">
        <v>1</v>
      </c>
      <c r="H198">
        <v>0</v>
      </c>
      <c r="I198">
        <v>1</v>
      </c>
      <c r="J198">
        <v>2014</v>
      </c>
      <c r="K198">
        <v>7</v>
      </c>
      <c r="L198" t="s">
        <v>11</v>
      </c>
      <c r="M198">
        <f>SUM(Pharma_Sales_Data[[#This Row],[M01AB]:[R06]])</f>
        <v>51</v>
      </c>
      <c r="N198" s="2">
        <f>Pharma_Sales_Data[[#This Row],[Total Drug Sales]]*150</f>
        <v>7650</v>
      </c>
      <c r="O198" s="2">
        <f>Pharma_Sales_Data[[#This Row],[Total Revenue]]*0.3</f>
        <v>2295</v>
      </c>
      <c r="P198" t="str">
        <f>IF(Pharma_Sales_Data[[#This Row],[Total Revenue]]&gt;20000,"High Value", IF(Pharma_Sales_Data[[#This Row],[Total Revenue]]&gt;=10000,"Medium Value","Low Value"))</f>
        <v>Low Value</v>
      </c>
    </row>
    <row r="199" spans="1:16" x14ac:dyDescent="0.35">
      <c r="A199" s="1">
        <v>41838</v>
      </c>
      <c r="B199">
        <v>9</v>
      </c>
      <c r="C199">
        <v>2.34</v>
      </c>
      <c r="D199">
        <v>1.5</v>
      </c>
      <c r="E199">
        <v>14.2</v>
      </c>
      <c r="F199">
        <v>6</v>
      </c>
      <c r="G199">
        <v>3</v>
      </c>
      <c r="H199">
        <v>0</v>
      </c>
      <c r="I199">
        <v>4</v>
      </c>
      <c r="J199">
        <v>2014</v>
      </c>
      <c r="K199">
        <v>7</v>
      </c>
      <c r="L199" t="s">
        <v>12</v>
      </c>
      <c r="M199">
        <f>SUM(Pharma_Sales_Data[[#This Row],[M01AB]:[R06]])</f>
        <v>40.04</v>
      </c>
      <c r="N199" s="2">
        <f>Pharma_Sales_Data[[#This Row],[Total Drug Sales]]*150</f>
        <v>6006</v>
      </c>
      <c r="O199" s="2">
        <f>Pharma_Sales_Data[[#This Row],[Total Revenue]]*0.3</f>
        <v>1801.8</v>
      </c>
      <c r="P199" t="str">
        <f>IF(Pharma_Sales_Data[[#This Row],[Total Revenue]]&gt;20000,"High Value", IF(Pharma_Sales_Data[[#This Row],[Total Revenue]]&gt;=10000,"Medium Value","Low Value"))</f>
        <v>Low Value</v>
      </c>
    </row>
    <row r="200" spans="1:16" x14ac:dyDescent="0.35">
      <c r="A200" s="1">
        <v>41839</v>
      </c>
      <c r="B200">
        <v>7.33</v>
      </c>
      <c r="C200">
        <v>7.02</v>
      </c>
      <c r="D200">
        <v>6</v>
      </c>
      <c r="E200">
        <v>8.4</v>
      </c>
      <c r="F200">
        <v>10</v>
      </c>
      <c r="G200">
        <v>0</v>
      </c>
      <c r="H200">
        <v>6</v>
      </c>
      <c r="I200">
        <v>6</v>
      </c>
      <c r="J200">
        <v>2014</v>
      </c>
      <c r="K200">
        <v>7</v>
      </c>
      <c r="L200" t="s">
        <v>13</v>
      </c>
      <c r="M200">
        <f>SUM(Pharma_Sales_Data[[#This Row],[M01AB]:[R06]])</f>
        <v>50.75</v>
      </c>
      <c r="N200" s="2">
        <f>Pharma_Sales_Data[[#This Row],[Total Drug Sales]]*150</f>
        <v>7612.5</v>
      </c>
      <c r="O200" s="2">
        <f>Pharma_Sales_Data[[#This Row],[Total Revenue]]*0.3</f>
        <v>2283.75</v>
      </c>
      <c r="P200" t="str">
        <f>IF(Pharma_Sales_Data[[#This Row],[Total Revenue]]&gt;20000,"High Value", IF(Pharma_Sales_Data[[#This Row],[Total Revenue]]&gt;=10000,"Medium Value","Low Value"))</f>
        <v>Low Value</v>
      </c>
    </row>
    <row r="201" spans="1:16" x14ac:dyDescent="0.35">
      <c r="A201" s="1">
        <v>41840</v>
      </c>
      <c r="B201">
        <v>3</v>
      </c>
      <c r="C201">
        <v>0.34</v>
      </c>
      <c r="D201">
        <v>1</v>
      </c>
      <c r="E201">
        <v>8</v>
      </c>
      <c r="F201">
        <v>5</v>
      </c>
      <c r="G201">
        <v>0</v>
      </c>
      <c r="H201">
        <v>0</v>
      </c>
      <c r="I201">
        <v>0.1</v>
      </c>
      <c r="J201">
        <v>2014</v>
      </c>
      <c r="K201">
        <v>7</v>
      </c>
      <c r="L201" t="s">
        <v>14</v>
      </c>
      <c r="M201">
        <f>SUM(Pharma_Sales_Data[[#This Row],[M01AB]:[R06]])</f>
        <v>17.440000000000001</v>
      </c>
      <c r="N201" s="2">
        <f>Pharma_Sales_Data[[#This Row],[Total Drug Sales]]*150</f>
        <v>2616</v>
      </c>
      <c r="O201" s="2">
        <f>Pharma_Sales_Data[[#This Row],[Total Revenue]]*0.3</f>
        <v>784.8</v>
      </c>
      <c r="P201" t="str">
        <f>IF(Pharma_Sales_Data[[#This Row],[Total Revenue]]&gt;20000,"High Value", IF(Pharma_Sales_Data[[#This Row],[Total Revenue]]&gt;=10000,"Medium Value","Low Value"))</f>
        <v>Low Value</v>
      </c>
    </row>
    <row r="202" spans="1:16" x14ac:dyDescent="0.35">
      <c r="A202" s="1">
        <v>41841</v>
      </c>
      <c r="B202">
        <v>3</v>
      </c>
      <c r="C202">
        <v>4.68</v>
      </c>
      <c r="D202">
        <v>8</v>
      </c>
      <c r="E202">
        <v>20</v>
      </c>
      <c r="F202">
        <v>13</v>
      </c>
      <c r="G202">
        <v>1</v>
      </c>
      <c r="H202">
        <v>0</v>
      </c>
      <c r="I202">
        <v>2</v>
      </c>
      <c r="J202">
        <v>2014</v>
      </c>
      <c r="K202">
        <v>7</v>
      </c>
      <c r="L202" t="s">
        <v>15</v>
      </c>
      <c r="M202">
        <f>SUM(Pharma_Sales_Data[[#This Row],[M01AB]:[R06]])</f>
        <v>51.68</v>
      </c>
      <c r="N202" s="2">
        <f>Pharma_Sales_Data[[#This Row],[Total Drug Sales]]*150</f>
        <v>7752</v>
      </c>
      <c r="O202" s="2">
        <f>Pharma_Sales_Data[[#This Row],[Total Revenue]]*0.3</f>
        <v>2325.6</v>
      </c>
      <c r="P202" t="str">
        <f>IF(Pharma_Sales_Data[[#This Row],[Total Revenue]]&gt;20000,"High Value", IF(Pharma_Sales_Data[[#This Row],[Total Revenue]]&gt;=10000,"Medium Value","Low Value"))</f>
        <v>Low Value</v>
      </c>
    </row>
    <row r="203" spans="1:16" x14ac:dyDescent="0.35">
      <c r="A203" s="1">
        <v>41842</v>
      </c>
      <c r="B203">
        <v>5</v>
      </c>
      <c r="C203">
        <v>5.68</v>
      </c>
      <c r="D203">
        <v>3</v>
      </c>
      <c r="E203">
        <v>9</v>
      </c>
      <c r="F203">
        <v>7</v>
      </c>
      <c r="G203">
        <v>0</v>
      </c>
      <c r="H203">
        <v>1</v>
      </c>
      <c r="I203">
        <v>2</v>
      </c>
      <c r="J203">
        <v>2014</v>
      </c>
      <c r="K203">
        <v>7</v>
      </c>
      <c r="L203" t="s">
        <v>16</v>
      </c>
      <c r="M203">
        <f>SUM(Pharma_Sales_Data[[#This Row],[M01AB]:[R06]])</f>
        <v>32.68</v>
      </c>
      <c r="N203" s="2">
        <f>Pharma_Sales_Data[[#This Row],[Total Drug Sales]]*150</f>
        <v>4902</v>
      </c>
      <c r="O203" s="2">
        <f>Pharma_Sales_Data[[#This Row],[Total Revenue]]*0.3</f>
        <v>1470.6</v>
      </c>
      <c r="P203" t="str">
        <f>IF(Pharma_Sales_Data[[#This Row],[Total Revenue]]&gt;20000,"High Value", IF(Pharma_Sales_Data[[#This Row],[Total Revenue]]&gt;=10000,"Medium Value","Low Value"))</f>
        <v>Low Value</v>
      </c>
    </row>
    <row r="204" spans="1:16" x14ac:dyDescent="0.35">
      <c r="A204" s="1">
        <v>41843</v>
      </c>
      <c r="B204">
        <v>2.67</v>
      </c>
      <c r="C204">
        <v>6.37</v>
      </c>
      <c r="D204">
        <v>2</v>
      </c>
      <c r="E204">
        <v>8</v>
      </c>
      <c r="F204">
        <v>19</v>
      </c>
      <c r="G204">
        <v>0</v>
      </c>
      <c r="H204">
        <v>0</v>
      </c>
      <c r="I204">
        <v>3</v>
      </c>
      <c r="J204">
        <v>2014</v>
      </c>
      <c r="K204">
        <v>7</v>
      </c>
      <c r="L204" t="s">
        <v>17</v>
      </c>
      <c r="M204">
        <f>SUM(Pharma_Sales_Data[[#This Row],[M01AB]:[R06]])</f>
        <v>41.04</v>
      </c>
      <c r="N204" s="2">
        <f>Pharma_Sales_Data[[#This Row],[Total Drug Sales]]*150</f>
        <v>6156</v>
      </c>
      <c r="O204" s="2">
        <f>Pharma_Sales_Data[[#This Row],[Total Revenue]]*0.3</f>
        <v>1846.8</v>
      </c>
      <c r="P204" t="str">
        <f>IF(Pharma_Sales_Data[[#This Row],[Total Revenue]]&gt;20000,"High Value", IF(Pharma_Sales_Data[[#This Row],[Total Revenue]]&gt;=10000,"Medium Value","Low Value"))</f>
        <v>Low Value</v>
      </c>
    </row>
    <row r="205" spans="1:16" x14ac:dyDescent="0.35">
      <c r="A205" s="1">
        <v>41844</v>
      </c>
      <c r="B205">
        <v>5.34</v>
      </c>
      <c r="C205">
        <v>2</v>
      </c>
      <c r="D205">
        <v>4.4000000000000004</v>
      </c>
      <c r="E205">
        <v>23</v>
      </c>
      <c r="F205">
        <v>5</v>
      </c>
      <c r="G205">
        <v>0</v>
      </c>
      <c r="H205">
        <v>0</v>
      </c>
      <c r="I205">
        <v>2</v>
      </c>
      <c r="J205">
        <v>2014</v>
      </c>
      <c r="K205">
        <v>7</v>
      </c>
      <c r="L205" t="s">
        <v>11</v>
      </c>
      <c r="M205">
        <f>SUM(Pharma_Sales_Data[[#This Row],[M01AB]:[R06]])</f>
        <v>41.74</v>
      </c>
      <c r="N205" s="2">
        <f>Pharma_Sales_Data[[#This Row],[Total Drug Sales]]*150</f>
        <v>6261</v>
      </c>
      <c r="O205" s="2">
        <f>Pharma_Sales_Data[[#This Row],[Total Revenue]]*0.3</f>
        <v>1878.3</v>
      </c>
      <c r="P205" t="str">
        <f>IF(Pharma_Sales_Data[[#This Row],[Total Revenue]]&gt;20000,"High Value", IF(Pharma_Sales_Data[[#This Row],[Total Revenue]]&gt;=10000,"Medium Value","Low Value"))</f>
        <v>Low Value</v>
      </c>
    </row>
    <row r="206" spans="1:16" x14ac:dyDescent="0.35">
      <c r="A206" s="1">
        <v>41845</v>
      </c>
      <c r="B206">
        <v>5</v>
      </c>
      <c r="C206">
        <v>2.02</v>
      </c>
      <c r="D206">
        <v>7.5</v>
      </c>
      <c r="E206">
        <v>10</v>
      </c>
      <c r="F206">
        <v>15</v>
      </c>
      <c r="G206">
        <v>1</v>
      </c>
      <c r="H206">
        <v>1</v>
      </c>
      <c r="I206">
        <v>2</v>
      </c>
      <c r="J206">
        <v>2014</v>
      </c>
      <c r="K206">
        <v>7</v>
      </c>
      <c r="L206" t="s">
        <v>12</v>
      </c>
      <c r="M206">
        <f>SUM(Pharma_Sales_Data[[#This Row],[M01AB]:[R06]])</f>
        <v>43.519999999999996</v>
      </c>
      <c r="N206" s="2">
        <f>Pharma_Sales_Data[[#This Row],[Total Drug Sales]]*150</f>
        <v>6527.9999999999991</v>
      </c>
      <c r="O206" s="2">
        <f>Pharma_Sales_Data[[#This Row],[Total Revenue]]*0.3</f>
        <v>1958.3999999999996</v>
      </c>
      <c r="P206" t="str">
        <f>IF(Pharma_Sales_Data[[#This Row],[Total Revenue]]&gt;20000,"High Value", IF(Pharma_Sales_Data[[#This Row],[Total Revenue]]&gt;=10000,"Medium Value","Low Value"))</f>
        <v>Low Value</v>
      </c>
    </row>
    <row r="207" spans="1:16" x14ac:dyDescent="0.35">
      <c r="A207" s="1">
        <v>41846</v>
      </c>
      <c r="B207">
        <v>4</v>
      </c>
      <c r="C207">
        <v>6.68</v>
      </c>
      <c r="D207">
        <v>6.2</v>
      </c>
      <c r="E207">
        <v>36.200000000000003</v>
      </c>
      <c r="F207">
        <v>13</v>
      </c>
      <c r="G207">
        <v>0</v>
      </c>
      <c r="H207">
        <v>0</v>
      </c>
      <c r="I207">
        <v>4</v>
      </c>
      <c r="J207">
        <v>2014</v>
      </c>
      <c r="K207">
        <v>7</v>
      </c>
      <c r="L207" t="s">
        <v>13</v>
      </c>
      <c r="M207">
        <f>SUM(Pharma_Sales_Data[[#This Row],[M01AB]:[R06]])</f>
        <v>70.08</v>
      </c>
      <c r="N207" s="2">
        <f>Pharma_Sales_Data[[#This Row],[Total Drug Sales]]*150</f>
        <v>10512</v>
      </c>
      <c r="O207" s="2">
        <f>Pharma_Sales_Data[[#This Row],[Total Revenue]]*0.3</f>
        <v>3153.6</v>
      </c>
      <c r="P207" t="str">
        <f>IF(Pharma_Sales_Data[[#This Row],[Total Revenue]]&gt;20000,"High Value", IF(Pharma_Sales_Data[[#This Row],[Total Revenue]]&gt;=10000,"Medium Value","Low Value"))</f>
        <v>Medium Value</v>
      </c>
    </row>
    <row r="208" spans="1:16" x14ac:dyDescent="0.35">
      <c r="A208" s="1">
        <v>41847</v>
      </c>
      <c r="B208">
        <v>3</v>
      </c>
      <c r="C208">
        <v>1.34</v>
      </c>
      <c r="D208">
        <v>2</v>
      </c>
      <c r="E208">
        <v>10</v>
      </c>
      <c r="F208">
        <v>5</v>
      </c>
      <c r="G208">
        <v>0</v>
      </c>
      <c r="H208">
        <v>6</v>
      </c>
      <c r="I208">
        <v>1</v>
      </c>
      <c r="J208">
        <v>2014</v>
      </c>
      <c r="K208">
        <v>7</v>
      </c>
      <c r="L208" t="s">
        <v>14</v>
      </c>
      <c r="M208">
        <f>SUM(Pharma_Sales_Data[[#This Row],[M01AB]:[R06]])</f>
        <v>28.34</v>
      </c>
      <c r="N208" s="2">
        <f>Pharma_Sales_Data[[#This Row],[Total Drug Sales]]*150</f>
        <v>4251</v>
      </c>
      <c r="O208" s="2">
        <f>Pharma_Sales_Data[[#This Row],[Total Revenue]]*0.3</f>
        <v>1275.3</v>
      </c>
      <c r="P208" t="str">
        <f>IF(Pharma_Sales_Data[[#This Row],[Total Revenue]]&gt;20000,"High Value", IF(Pharma_Sales_Data[[#This Row],[Total Revenue]]&gt;=10000,"Medium Value","Low Value"))</f>
        <v>Low Value</v>
      </c>
    </row>
    <row r="209" spans="1:16" x14ac:dyDescent="0.35">
      <c r="A209" s="1">
        <v>41848</v>
      </c>
      <c r="B209">
        <v>2</v>
      </c>
      <c r="C209">
        <v>1.34</v>
      </c>
      <c r="D209">
        <v>2</v>
      </c>
      <c r="E209">
        <v>9.1</v>
      </c>
      <c r="F209">
        <v>9</v>
      </c>
      <c r="G209">
        <v>0</v>
      </c>
      <c r="H209">
        <v>0</v>
      </c>
      <c r="I209">
        <v>2</v>
      </c>
      <c r="J209">
        <v>2014</v>
      </c>
      <c r="K209">
        <v>7</v>
      </c>
      <c r="L209" t="s">
        <v>15</v>
      </c>
      <c r="M209">
        <f>SUM(Pharma_Sales_Data[[#This Row],[M01AB]:[R06]])</f>
        <v>25.439999999999998</v>
      </c>
      <c r="N209" s="2">
        <f>Pharma_Sales_Data[[#This Row],[Total Drug Sales]]*150</f>
        <v>3815.9999999999995</v>
      </c>
      <c r="O209" s="2">
        <f>Pharma_Sales_Data[[#This Row],[Total Revenue]]*0.3</f>
        <v>1144.7999999999997</v>
      </c>
      <c r="P209" t="str">
        <f>IF(Pharma_Sales_Data[[#This Row],[Total Revenue]]&gt;20000,"High Value", IF(Pharma_Sales_Data[[#This Row],[Total Revenue]]&gt;=10000,"Medium Value","Low Value"))</f>
        <v>Low Value</v>
      </c>
    </row>
    <row r="210" spans="1:16" x14ac:dyDescent="0.35">
      <c r="A210" s="1">
        <v>41849</v>
      </c>
      <c r="B210">
        <v>2.34</v>
      </c>
      <c r="C210">
        <v>0.68</v>
      </c>
      <c r="D210">
        <v>1</v>
      </c>
      <c r="E210">
        <v>13</v>
      </c>
      <c r="F210">
        <v>15</v>
      </c>
      <c r="G210">
        <v>3</v>
      </c>
      <c r="H210">
        <v>0</v>
      </c>
      <c r="I210">
        <v>5</v>
      </c>
      <c r="J210">
        <v>2014</v>
      </c>
      <c r="K210">
        <v>7</v>
      </c>
      <c r="L210" t="s">
        <v>16</v>
      </c>
      <c r="M210">
        <f>SUM(Pharma_Sales_Data[[#This Row],[M01AB]:[R06]])</f>
        <v>40.019999999999996</v>
      </c>
      <c r="N210" s="2">
        <f>Pharma_Sales_Data[[#This Row],[Total Drug Sales]]*150</f>
        <v>6002.9999999999991</v>
      </c>
      <c r="O210" s="2">
        <f>Pharma_Sales_Data[[#This Row],[Total Revenue]]*0.3</f>
        <v>1800.8999999999996</v>
      </c>
      <c r="P210" t="str">
        <f>IF(Pharma_Sales_Data[[#This Row],[Total Revenue]]&gt;20000,"High Value", IF(Pharma_Sales_Data[[#This Row],[Total Revenue]]&gt;=10000,"Medium Value","Low Value"))</f>
        <v>Low Value</v>
      </c>
    </row>
    <row r="211" spans="1:16" x14ac:dyDescent="0.35">
      <c r="A211" s="1">
        <v>41850</v>
      </c>
      <c r="B211">
        <v>0.68</v>
      </c>
      <c r="C211">
        <v>1.34</v>
      </c>
      <c r="D211">
        <v>5</v>
      </c>
      <c r="E211">
        <v>13.5</v>
      </c>
      <c r="F211">
        <v>14</v>
      </c>
      <c r="G211">
        <v>0</v>
      </c>
      <c r="H211">
        <v>6</v>
      </c>
      <c r="I211">
        <v>4.5</v>
      </c>
      <c r="J211">
        <v>2014</v>
      </c>
      <c r="K211">
        <v>7</v>
      </c>
      <c r="L211" t="s">
        <v>17</v>
      </c>
      <c r="M211">
        <f>SUM(Pharma_Sales_Data[[#This Row],[M01AB]:[R06]])</f>
        <v>45.019999999999996</v>
      </c>
      <c r="N211" s="2">
        <f>Pharma_Sales_Data[[#This Row],[Total Drug Sales]]*150</f>
        <v>6752.9999999999991</v>
      </c>
      <c r="O211" s="2">
        <f>Pharma_Sales_Data[[#This Row],[Total Revenue]]*0.3</f>
        <v>2025.8999999999996</v>
      </c>
      <c r="P211" t="str">
        <f>IF(Pharma_Sales_Data[[#This Row],[Total Revenue]]&gt;20000,"High Value", IF(Pharma_Sales_Data[[#This Row],[Total Revenue]]&gt;=10000,"Medium Value","Low Value"))</f>
        <v>Low Value</v>
      </c>
    </row>
    <row r="212" spans="1:16" x14ac:dyDescent="0.35">
      <c r="A212" s="1">
        <v>41851</v>
      </c>
      <c r="B212">
        <v>3</v>
      </c>
      <c r="C212">
        <v>0.34</v>
      </c>
      <c r="D212">
        <v>4</v>
      </c>
      <c r="E212">
        <v>10.5</v>
      </c>
      <c r="F212">
        <v>8</v>
      </c>
      <c r="G212">
        <v>0</v>
      </c>
      <c r="H212">
        <v>0</v>
      </c>
      <c r="I212">
        <v>1</v>
      </c>
      <c r="J212">
        <v>2014</v>
      </c>
      <c r="K212">
        <v>7</v>
      </c>
      <c r="L212" t="s">
        <v>11</v>
      </c>
      <c r="M212">
        <f>SUM(Pharma_Sales_Data[[#This Row],[M01AB]:[R06]])</f>
        <v>26.84</v>
      </c>
      <c r="N212" s="2">
        <f>Pharma_Sales_Data[[#This Row],[Total Drug Sales]]*150</f>
        <v>4026</v>
      </c>
      <c r="O212" s="2">
        <f>Pharma_Sales_Data[[#This Row],[Total Revenue]]*0.3</f>
        <v>1207.8</v>
      </c>
      <c r="P212" t="str">
        <f>IF(Pharma_Sales_Data[[#This Row],[Total Revenue]]&gt;20000,"High Value", IF(Pharma_Sales_Data[[#This Row],[Total Revenue]]&gt;=10000,"Medium Value","Low Value"))</f>
        <v>Low Value</v>
      </c>
    </row>
    <row r="213" spans="1:16" x14ac:dyDescent="0.35">
      <c r="A213" s="1">
        <v>41852</v>
      </c>
      <c r="B213">
        <v>2</v>
      </c>
      <c r="C213">
        <v>1</v>
      </c>
      <c r="D213">
        <v>2.2000000000000002</v>
      </c>
      <c r="E213">
        <v>14</v>
      </c>
      <c r="F213">
        <v>17</v>
      </c>
      <c r="G213">
        <v>1</v>
      </c>
      <c r="H213">
        <v>0</v>
      </c>
      <c r="I213">
        <v>1</v>
      </c>
      <c r="J213">
        <v>2014</v>
      </c>
      <c r="K213">
        <v>8</v>
      </c>
      <c r="L213" t="s">
        <v>12</v>
      </c>
      <c r="M213">
        <f>SUM(Pharma_Sales_Data[[#This Row],[M01AB]:[R06]])</f>
        <v>38.200000000000003</v>
      </c>
      <c r="N213" s="2">
        <f>Pharma_Sales_Data[[#This Row],[Total Drug Sales]]*150</f>
        <v>5730</v>
      </c>
      <c r="O213" s="2">
        <f>Pharma_Sales_Data[[#This Row],[Total Revenue]]*0.3</f>
        <v>1719</v>
      </c>
      <c r="P213" t="str">
        <f>IF(Pharma_Sales_Data[[#This Row],[Total Revenue]]&gt;20000,"High Value", IF(Pharma_Sales_Data[[#This Row],[Total Revenue]]&gt;=10000,"Medium Value","Low Value"))</f>
        <v>Low Value</v>
      </c>
    </row>
    <row r="214" spans="1:16" x14ac:dyDescent="0.35">
      <c r="A214" s="1">
        <v>41853</v>
      </c>
      <c r="B214">
        <v>5</v>
      </c>
      <c r="C214">
        <v>2.0099999999999998</v>
      </c>
      <c r="D214">
        <v>6</v>
      </c>
      <c r="E214">
        <v>29</v>
      </c>
      <c r="F214">
        <v>12</v>
      </c>
      <c r="G214">
        <v>0</v>
      </c>
      <c r="H214">
        <v>5</v>
      </c>
      <c r="I214">
        <v>3</v>
      </c>
      <c r="J214">
        <v>2014</v>
      </c>
      <c r="K214">
        <v>8</v>
      </c>
      <c r="L214" t="s">
        <v>13</v>
      </c>
      <c r="M214">
        <f>SUM(Pharma_Sales_Data[[#This Row],[M01AB]:[R06]])</f>
        <v>62.01</v>
      </c>
      <c r="N214" s="2">
        <f>Pharma_Sales_Data[[#This Row],[Total Drug Sales]]*150</f>
        <v>9301.5</v>
      </c>
      <c r="O214" s="2">
        <f>Pharma_Sales_Data[[#This Row],[Total Revenue]]*0.3</f>
        <v>2790.45</v>
      </c>
      <c r="P214" t="str">
        <f>IF(Pharma_Sales_Data[[#This Row],[Total Revenue]]&gt;20000,"High Value", IF(Pharma_Sales_Data[[#This Row],[Total Revenue]]&gt;=10000,"Medium Value","Low Value"))</f>
        <v>Low Value</v>
      </c>
    </row>
    <row r="215" spans="1:16" x14ac:dyDescent="0.35">
      <c r="A215" s="1">
        <v>41854</v>
      </c>
      <c r="B215">
        <v>5</v>
      </c>
      <c r="C215">
        <v>1</v>
      </c>
      <c r="D215">
        <v>3</v>
      </c>
      <c r="E215">
        <v>6</v>
      </c>
      <c r="F215">
        <v>5</v>
      </c>
      <c r="G215">
        <v>5</v>
      </c>
      <c r="H215">
        <v>0</v>
      </c>
      <c r="I215">
        <v>0</v>
      </c>
      <c r="J215">
        <v>2014</v>
      </c>
      <c r="K215">
        <v>8</v>
      </c>
      <c r="L215" t="s">
        <v>14</v>
      </c>
      <c r="M215">
        <f>SUM(Pharma_Sales_Data[[#This Row],[M01AB]:[R06]])</f>
        <v>25</v>
      </c>
      <c r="N215" s="2">
        <f>Pharma_Sales_Data[[#This Row],[Total Drug Sales]]*150</f>
        <v>3750</v>
      </c>
      <c r="O215" s="2">
        <f>Pharma_Sales_Data[[#This Row],[Total Revenue]]*0.3</f>
        <v>1125</v>
      </c>
      <c r="P215" t="str">
        <f>IF(Pharma_Sales_Data[[#This Row],[Total Revenue]]&gt;20000,"High Value", IF(Pharma_Sales_Data[[#This Row],[Total Revenue]]&gt;=10000,"Medium Value","Low Value"))</f>
        <v>Low Value</v>
      </c>
    </row>
    <row r="216" spans="1:16" x14ac:dyDescent="0.35">
      <c r="A216" s="1">
        <v>41855</v>
      </c>
      <c r="B216">
        <v>4</v>
      </c>
      <c r="C216">
        <v>5.0199999999999996</v>
      </c>
      <c r="D216">
        <v>6</v>
      </c>
      <c r="E216">
        <v>21.5</v>
      </c>
      <c r="F216">
        <v>14</v>
      </c>
      <c r="G216">
        <v>0</v>
      </c>
      <c r="H216">
        <v>0</v>
      </c>
      <c r="I216">
        <v>4</v>
      </c>
      <c r="J216">
        <v>2014</v>
      </c>
      <c r="K216">
        <v>8</v>
      </c>
      <c r="L216" t="s">
        <v>15</v>
      </c>
      <c r="M216">
        <f>SUM(Pharma_Sales_Data[[#This Row],[M01AB]:[R06]])</f>
        <v>54.519999999999996</v>
      </c>
      <c r="N216" s="2">
        <f>Pharma_Sales_Data[[#This Row],[Total Drug Sales]]*150</f>
        <v>8177.9999999999991</v>
      </c>
      <c r="O216" s="2">
        <f>Pharma_Sales_Data[[#This Row],[Total Revenue]]*0.3</f>
        <v>2453.3999999999996</v>
      </c>
      <c r="P216" t="str">
        <f>IF(Pharma_Sales_Data[[#This Row],[Total Revenue]]&gt;20000,"High Value", IF(Pharma_Sales_Data[[#This Row],[Total Revenue]]&gt;=10000,"Medium Value","Low Value"))</f>
        <v>Low Value</v>
      </c>
    </row>
    <row r="217" spans="1:16" x14ac:dyDescent="0.35">
      <c r="A217" s="1">
        <v>41856</v>
      </c>
      <c r="B217">
        <v>2</v>
      </c>
      <c r="C217">
        <v>1.34</v>
      </c>
      <c r="D217">
        <v>3</v>
      </c>
      <c r="E217">
        <v>17.100000000000001</v>
      </c>
      <c r="F217">
        <v>9</v>
      </c>
      <c r="G217">
        <v>0</v>
      </c>
      <c r="H217">
        <v>0</v>
      </c>
      <c r="I217">
        <v>0</v>
      </c>
      <c r="J217">
        <v>2014</v>
      </c>
      <c r="K217">
        <v>8</v>
      </c>
      <c r="L217" t="s">
        <v>16</v>
      </c>
      <c r="M217">
        <f>SUM(Pharma_Sales_Data[[#This Row],[M01AB]:[R06]])</f>
        <v>32.44</v>
      </c>
      <c r="N217" s="2">
        <f>Pharma_Sales_Data[[#This Row],[Total Drug Sales]]*150</f>
        <v>4866</v>
      </c>
      <c r="O217" s="2">
        <f>Pharma_Sales_Data[[#This Row],[Total Revenue]]*0.3</f>
        <v>1459.8</v>
      </c>
      <c r="P217" t="str">
        <f>IF(Pharma_Sales_Data[[#This Row],[Total Revenue]]&gt;20000,"High Value", IF(Pharma_Sales_Data[[#This Row],[Total Revenue]]&gt;=10000,"Medium Value","Low Value"))</f>
        <v>Low Value</v>
      </c>
    </row>
    <row r="218" spans="1:16" x14ac:dyDescent="0.35">
      <c r="A218" s="1">
        <v>41857</v>
      </c>
      <c r="B218">
        <v>6</v>
      </c>
      <c r="C218">
        <v>5</v>
      </c>
      <c r="D218">
        <v>1.4</v>
      </c>
      <c r="E218">
        <v>17</v>
      </c>
      <c r="F218">
        <v>7</v>
      </c>
      <c r="G218">
        <v>1</v>
      </c>
      <c r="H218">
        <v>1</v>
      </c>
      <c r="I218">
        <v>1</v>
      </c>
      <c r="J218">
        <v>2014</v>
      </c>
      <c r="K218">
        <v>8</v>
      </c>
      <c r="L218" t="s">
        <v>17</v>
      </c>
      <c r="M218">
        <f>SUM(Pharma_Sales_Data[[#This Row],[M01AB]:[R06]])</f>
        <v>39.4</v>
      </c>
      <c r="N218" s="2">
        <f>Pharma_Sales_Data[[#This Row],[Total Drug Sales]]*150</f>
        <v>5910</v>
      </c>
      <c r="O218" s="2">
        <f>Pharma_Sales_Data[[#This Row],[Total Revenue]]*0.3</f>
        <v>1773</v>
      </c>
      <c r="P218" t="str">
        <f>IF(Pharma_Sales_Data[[#This Row],[Total Revenue]]&gt;20000,"High Value", IF(Pharma_Sales_Data[[#This Row],[Total Revenue]]&gt;=10000,"Medium Value","Low Value"))</f>
        <v>Low Value</v>
      </c>
    </row>
    <row r="219" spans="1:16" x14ac:dyDescent="0.35">
      <c r="A219" s="1">
        <v>41858</v>
      </c>
      <c r="B219">
        <v>3.34</v>
      </c>
      <c r="C219">
        <v>2.68</v>
      </c>
      <c r="D219">
        <v>3</v>
      </c>
      <c r="E219">
        <v>33</v>
      </c>
      <c r="F219">
        <v>13</v>
      </c>
      <c r="G219">
        <v>1</v>
      </c>
      <c r="H219">
        <v>0</v>
      </c>
      <c r="I219">
        <v>2</v>
      </c>
      <c r="J219">
        <v>2014</v>
      </c>
      <c r="K219">
        <v>8</v>
      </c>
      <c r="L219" t="s">
        <v>11</v>
      </c>
      <c r="M219">
        <f>SUM(Pharma_Sales_Data[[#This Row],[M01AB]:[R06]])</f>
        <v>58.019999999999996</v>
      </c>
      <c r="N219" s="2">
        <f>Pharma_Sales_Data[[#This Row],[Total Drug Sales]]*150</f>
        <v>8703</v>
      </c>
      <c r="O219" s="2">
        <f>Pharma_Sales_Data[[#This Row],[Total Revenue]]*0.3</f>
        <v>2610.9</v>
      </c>
      <c r="P219" t="str">
        <f>IF(Pharma_Sales_Data[[#This Row],[Total Revenue]]&gt;20000,"High Value", IF(Pharma_Sales_Data[[#This Row],[Total Revenue]]&gt;=10000,"Medium Value","Low Value"))</f>
        <v>Low Value</v>
      </c>
    </row>
    <row r="220" spans="1:16" x14ac:dyDescent="0.35">
      <c r="A220" s="1">
        <v>41859</v>
      </c>
      <c r="B220">
        <v>5.0199999999999996</v>
      </c>
      <c r="C220">
        <v>4.0199999999999996</v>
      </c>
      <c r="D220">
        <v>5</v>
      </c>
      <c r="E220">
        <v>13</v>
      </c>
      <c r="F220">
        <v>12</v>
      </c>
      <c r="G220">
        <v>3</v>
      </c>
      <c r="H220">
        <v>2</v>
      </c>
      <c r="I220">
        <v>2</v>
      </c>
      <c r="J220">
        <v>2014</v>
      </c>
      <c r="K220">
        <v>8</v>
      </c>
      <c r="L220" t="s">
        <v>12</v>
      </c>
      <c r="M220">
        <f>SUM(Pharma_Sales_Data[[#This Row],[M01AB]:[R06]])</f>
        <v>46.04</v>
      </c>
      <c r="N220" s="2">
        <f>Pharma_Sales_Data[[#This Row],[Total Drug Sales]]*150</f>
        <v>6906</v>
      </c>
      <c r="O220" s="2">
        <f>Pharma_Sales_Data[[#This Row],[Total Revenue]]*0.3</f>
        <v>2071.7999999999997</v>
      </c>
      <c r="P220" t="str">
        <f>IF(Pharma_Sales_Data[[#This Row],[Total Revenue]]&gt;20000,"High Value", IF(Pharma_Sales_Data[[#This Row],[Total Revenue]]&gt;=10000,"Medium Value","Low Value"))</f>
        <v>Low Value</v>
      </c>
    </row>
    <row r="221" spans="1:16" x14ac:dyDescent="0.35">
      <c r="A221" s="1">
        <v>41860</v>
      </c>
      <c r="B221">
        <v>4</v>
      </c>
      <c r="C221">
        <v>1.34</v>
      </c>
      <c r="D221">
        <v>6</v>
      </c>
      <c r="E221">
        <v>19</v>
      </c>
      <c r="F221">
        <v>24</v>
      </c>
      <c r="G221">
        <v>3</v>
      </c>
      <c r="H221">
        <v>0</v>
      </c>
      <c r="I221">
        <v>5.9</v>
      </c>
      <c r="J221">
        <v>2014</v>
      </c>
      <c r="K221">
        <v>8</v>
      </c>
      <c r="L221" t="s">
        <v>13</v>
      </c>
      <c r="M221">
        <f>SUM(Pharma_Sales_Data[[#This Row],[M01AB]:[R06]])</f>
        <v>63.24</v>
      </c>
      <c r="N221" s="2">
        <f>Pharma_Sales_Data[[#This Row],[Total Drug Sales]]*150</f>
        <v>9486</v>
      </c>
      <c r="O221" s="2">
        <f>Pharma_Sales_Data[[#This Row],[Total Revenue]]*0.3</f>
        <v>2845.7999999999997</v>
      </c>
      <c r="P221" t="str">
        <f>IF(Pharma_Sales_Data[[#This Row],[Total Revenue]]&gt;20000,"High Value", IF(Pharma_Sales_Data[[#This Row],[Total Revenue]]&gt;=10000,"Medium Value","Low Value"))</f>
        <v>Low Value</v>
      </c>
    </row>
    <row r="222" spans="1:16" x14ac:dyDescent="0.35">
      <c r="A222" s="1">
        <v>41861</v>
      </c>
      <c r="B222">
        <v>4</v>
      </c>
      <c r="C222">
        <v>0.34</v>
      </c>
      <c r="D222">
        <v>4</v>
      </c>
      <c r="E222">
        <v>3</v>
      </c>
      <c r="F222">
        <v>4</v>
      </c>
      <c r="G222">
        <v>0</v>
      </c>
      <c r="H222">
        <v>0</v>
      </c>
      <c r="I222">
        <v>2</v>
      </c>
      <c r="J222">
        <v>2014</v>
      </c>
      <c r="K222">
        <v>8</v>
      </c>
      <c r="L222" t="s">
        <v>14</v>
      </c>
      <c r="M222">
        <f>SUM(Pharma_Sales_Data[[#This Row],[M01AB]:[R06]])</f>
        <v>17.34</v>
      </c>
      <c r="N222" s="2">
        <f>Pharma_Sales_Data[[#This Row],[Total Drug Sales]]*150</f>
        <v>2601</v>
      </c>
      <c r="O222" s="2">
        <f>Pharma_Sales_Data[[#This Row],[Total Revenue]]*0.3</f>
        <v>780.3</v>
      </c>
      <c r="P222" t="str">
        <f>IF(Pharma_Sales_Data[[#This Row],[Total Revenue]]&gt;20000,"High Value", IF(Pharma_Sales_Data[[#This Row],[Total Revenue]]&gt;=10000,"Medium Value","Low Value"))</f>
        <v>Low Value</v>
      </c>
    </row>
    <row r="223" spans="1:16" x14ac:dyDescent="0.35">
      <c r="A223" s="1">
        <v>41862</v>
      </c>
      <c r="B223">
        <v>8</v>
      </c>
      <c r="C223">
        <v>5.36</v>
      </c>
      <c r="D223">
        <v>9.1999999999999993</v>
      </c>
      <c r="E223">
        <v>20</v>
      </c>
      <c r="F223">
        <v>18</v>
      </c>
      <c r="G223">
        <v>0</v>
      </c>
      <c r="H223">
        <v>0</v>
      </c>
      <c r="I223">
        <v>2</v>
      </c>
      <c r="J223">
        <v>2014</v>
      </c>
      <c r="K223">
        <v>8</v>
      </c>
      <c r="L223" t="s">
        <v>15</v>
      </c>
      <c r="M223">
        <f>SUM(Pharma_Sales_Data[[#This Row],[M01AB]:[R06]])</f>
        <v>62.56</v>
      </c>
      <c r="N223" s="2">
        <f>Pharma_Sales_Data[[#This Row],[Total Drug Sales]]*150</f>
        <v>9384</v>
      </c>
      <c r="O223" s="2">
        <f>Pharma_Sales_Data[[#This Row],[Total Revenue]]*0.3</f>
        <v>2815.2</v>
      </c>
      <c r="P223" t="str">
        <f>IF(Pharma_Sales_Data[[#This Row],[Total Revenue]]&gt;20000,"High Value", IF(Pharma_Sales_Data[[#This Row],[Total Revenue]]&gt;=10000,"Medium Value","Low Value"))</f>
        <v>Low Value</v>
      </c>
    </row>
    <row r="224" spans="1:16" x14ac:dyDescent="0.35">
      <c r="A224" s="1">
        <v>41863</v>
      </c>
      <c r="B224">
        <v>0</v>
      </c>
      <c r="C224">
        <v>1.36</v>
      </c>
      <c r="D224">
        <v>4.5</v>
      </c>
      <c r="E224">
        <v>10</v>
      </c>
      <c r="F224">
        <v>8</v>
      </c>
      <c r="G224">
        <v>1</v>
      </c>
      <c r="H224">
        <v>0</v>
      </c>
      <c r="I224">
        <v>4.5999999999999996</v>
      </c>
      <c r="J224">
        <v>2014</v>
      </c>
      <c r="K224">
        <v>8</v>
      </c>
      <c r="L224" t="s">
        <v>16</v>
      </c>
      <c r="M224">
        <f>SUM(Pharma_Sales_Data[[#This Row],[M01AB]:[R06]])</f>
        <v>29.46</v>
      </c>
      <c r="N224" s="2">
        <f>Pharma_Sales_Data[[#This Row],[Total Drug Sales]]*150</f>
        <v>4419</v>
      </c>
      <c r="O224" s="2">
        <f>Pharma_Sales_Data[[#This Row],[Total Revenue]]*0.3</f>
        <v>1325.7</v>
      </c>
      <c r="P224" t="str">
        <f>IF(Pharma_Sales_Data[[#This Row],[Total Revenue]]&gt;20000,"High Value", IF(Pharma_Sales_Data[[#This Row],[Total Revenue]]&gt;=10000,"Medium Value","Low Value"))</f>
        <v>Low Value</v>
      </c>
    </row>
    <row r="225" spans="1:16" x14ac:dyDescent="0.35">
      <c r="A225" s="1">
        <v>41864</v>
      </c>
      <c r="B225">
        <v>1.34</v>
      </c>
      <c r="C225">
        <v>3.34</v>
      </c>
      <c r="D225">
        <v>1</v>
      </c>
      <c r="E225">
        <v>20.3</v>
      </c>
      <c r="F225">
        <v>11</v>
      </c>
      <c r="G225">
        <v>0</v>
      </c>
      <c r="H225">
        <v>0</v>
      </c>
      <c r="I225">
        <v>7</v>
      </c>
      <c r="J225">
        <v>2014</v>
      </c>
      <c r="K225">
        <v>8</v>
      </c>
      <c r="L225" t="s">
        <v>17</v>
      </c>
      <c r="M225">
        <f>SUM(Pharma_Sales_Data[[#This Row],[M01AB]:[R06]])</f>
        <v>43.980000000000004</v>
      </c>
      <c r="N225" s="2">
        <f>Pharma_Sales_Data[[#This Row],[Total Drug Sales]]*150</f>
        <v>6597.0000000000009</v>
      </c>
      <c r="O225" s="2">
        <f>Pharma_Sales_Data[[#This Row],[Total Revenue]]*0.3</f>
        <v>1979.1000000000001</v>
      </c>
      <c r="P225" t="str">
        <f>IF(Pharma_Sales_Data[[#This Row],[Total Revenue]]&gt;20000,"High Value", IF(Pharma_Sales_Data[[#This Row],[Total Revenue]]&gt;=10000,"Medium Value","Low Value"))</f>
        <v>Low Value</v>
      </c>
    </row>
    <row r="226" spans="1:16" x14ac:dyDescent="0.35">
      <c r="A226" s="1">
        <v>41865</v>
      </c>
      <c r="B226">
        <v>4</v>
      </c>
      <c r="C226">
        <v>2.34</v>
      </c>
      <c r="D226">
        <v>6</v>
      </c>
      <c r="E226">
        <v>14.4</v>
      </c>
      <c r="F226">
        <v>13</v>
      </c>
      <c r="G226">
        <v>0</v>
      </c>
      <c r="H226">
        <v>0</v>
      </c>
      <c r="I226">
        <v>6</v>
      </c>
      <c r="J226">
        <v>2014</v>
      </c>
      <c r="K226">
        <v>8</v>
      </c>
      <c r="L226" t="s">
        <v>11</v>
      </c>
      <c r="M226">
        <f>SUM(Pharma_Sales_Data[[#This Row],[M01AB]:[R06]])</f>
        <v>45.74</v>
      </c>
      <c r="N226" s="2">
        <f>Pharma_Sales_Data[[#This Row],[Total Drug Sales]]*150</f>
        <v>6861</v>
      </c>
      <c r="O226" s="2">
        <f>Pharma_Sales_Data[[#This Row],[Total Revenue]]*0.3</f>
        <v>2058.2999999999997</v>
      </c>
      <c r="P226" t="str">
        <f>IF(Pharma_Sales_Data[[#This Row],[Total Revenue]]&gt;20000,"High Value", IF(Pharma_Sales_Data[[#This Row],[Total Revenue]]&gt;=10000,"Medium Value","Low Value"))</f>
        <v>Low Value</v>
      </c>
    </row>
    <row r="227" spans="1:16" x14ac:dyDescent="0.35">
      <c r="A227" s="1">
        <v>41866</v>
      </c>
      <c r="B227">
        <v>4.34</v>
      </c>
      <c r="C227">
        <v>4.0199999999999996</v>
      </c>
      <c r="D227">
        <v>7</v>
      </c>
      <c r="E227">
        <v>13.2</v>
      </c>
      <c r="F227">
        <v>15</v>
      </c>
      <c r="G227">
        <v>2</v>
      </c>
      <c r="H227">
        <v>3</v>
      </c>
      <c r="I227">
        <v>2</v>
      </c>
      <c r="J227">
        <v>2014</v>
      </c>
      <c r="K227">
        <v>8</v>
      </c>
      <c r="L227" t="s">
        <v>12</v>
      </c>
      <c r="M227">
        <f>SUM(Pharma_Sales_Data[[#This Row],[M01AB]:[R06]])</f>
        <v>50.56</v>
      </c>
      <c r="N227" s="2">
        <f>Pharma_Sales_Data[[#This Row],[Total Drug Sales]]*150</f>
        <v>7584</v>
      </c>
      <c r="O227" s="2">
        <f>Pharma_Sales_Data[[#This Row],[Total Revenue]]*0.3</f>
        <v>2275.1999999999998</v>
      </c>
      <c r="P227" t="str">
        <f>IF(Pharma_Sales_Data[[#This Row],[Total Revenue]]&gt;20000,"High Value", IF(Pharma_Sales_Data[[#This Row],[Total Revenue]]&gt;=10000,"Medium Value","Low Value"))</f>
        <v>Low Value</v>
      </c>
    </row>
    <row r="228" spans="1:16" x14ac:dyDescent="0.35">
      <c r="A228" s="1">
        <v>41867</v>
      </c>
      <c r="B228">
        <v>8</v>
      </c>
      <c r="C228">
        <v>2.4300000000000002</v>
      </c>
      <c r="D228">
        <v>5</v>
      </c>
      <c r="E228">
        <v>19</v>
      </c>
      <c r="F228">
        <v>27</v>
      </c>
      <c r="G228">
        <v>2</v>
      </c>
      <c r="H228">
        <v>0</v>
      </c>
      <c r="I228">
        <v>1</v>
      </c>
      <c r="J228">
        <v>2014</v>
      </c>
      <c r="K228">
        <v>8</v>
      </c>
      <c r="L228" t="s">
        <v>13</v>
      </c>
      <c r="M228">
        <f>SUM(Pharma_Sales_Data[[#This Row],[M01AB]:[R06]])</f>
        <v>64.430000000000007</v>
      </c>
      <c r="N228" s="2">
        <f>Pharma_Sales_Data[[#This Row],[Total Drug Sales]]*150</f>
        <v>9664.5000000000018</v>
      </c>
      <c r="O228" s="2">
        <f>Pharma_Sales_Data[[#This Row],[Total Revenue]]*0.3</f>
        <v>2899.3500000000004</v>
      </c>
      <c r="P228" t="str">
        <f>IF(Pharma_Sales_Data[[#This Row],[Total Revenue]]&gt;20000,"High Value", IF(Pharma_Sales_Data[[#This Row],[Total Revenue]]&gt;=10000,"Medium Value","Low Value"))</f>
        <v>Low Value</v>
      </c>
    </row>
    <row r="229" spans="1:16" x14ac:dyDescent="0.35">
      <c r="A229" s="1">
        <v>41868</v>
      </c>
      <c r="B229">
        <v>0.34</v>
      </c>
      <c r="C229">
        <v>0.68</v>
      </c>
      <c r="D229">
        <v>2</v>
      </c>
      <c r="E229">
        <v>6.5</v>
      </c>
      <c r="F229">
        <v>7</v>
      </c>
      <c r="G229">
        <v>0</v>
      </c>
      <c r="H229">
        <v>0</v>
      </c>
      <c r="I229">
        <v>1</v>
      </c>
      <c r="J229">
        <v>2014</v>
      </c>
      <c r="K229">
        <v>8</v>
      </c>
      <c r="L229" t="s">
        <v>14</v>
      </c>
      <c r="M229">
        <f>SUM(Pharma_Sales_Data[[#This Row],[M01AB]:[R06]])</f>
        <v>17.52</v>
      </c>
      <c r="N229" s="2">
        <f>Pharma_Sales_Data[[#This Row],[Total Drug Sales]]*150</f>
        <v>2628</v>
      </c>
      <c r="O229" s="2">
        <f>Pharma_Sales_Data[[#This Row],[Total Revenue]]*0.3</f>
        <v>788.4</v>
      </c>
      <c r="P229" t="str">
        <f>IF(Pharma_Sales_Data[[#This Row],[Total Revenue]]&gt;20000,"High Value", IF(Pharma_Sales_Data[[#This Row],[Total Revenue]]&gt;=10000,"Medium Value","Low Value"))</f>
        <v>Low Value</v>
      </c>
    </row>
    <row r="230" spans="1:16" x14ac:dyDescent="0.35">
      <c r="A230" s="1">
        <v>41869</v>
      </c>
      <c r="B230">
        <v>4.34</v>
      </c>
      <c r="C230">
        <v>6</v>
      </c>
      <c r="D230">
        <v>3.1</v>
      </c>
      <c r="E230">
        <v>16.5</v>
      </c>
      <c r="F230">
        <v>21</v>
      </c>
      <c r="G230">
        <v>3</v>
      </c>
      <c r="H230">
        <v>10</v>
      </c>
      <c r="I230">
        <v>2</v>
      </c>
      <c r="J230">
        <v>2014</v>
      </c>
      <c r="K230">
        <v>8</v>
      </c>
      <c r="L230" t="s">
        <v>15</v>
      </c>
      <c r="M230">
        <f>SUM(Pharma_Sales_Data[[#This Row],[M01AB]:[R06]])</f>
        <v>65.94</v>
      </c>
      <c r="N230" s="2">
        <f>Pharma_Sales_Data[[#This Row],[Total Drug Sales]]*150</f>
        <v>9891</v>
      </c>
      <c r="O230" s="2">
        <f>Pharma_Sales_Data[[#This Row],[Total Revenue]]*0.3</f>
        <v>2967.2999999999997</v>
      </c>
      <c r="P230" t="str">
        <f>IF(Pharma_Sales_Data[[#This Row],[Total Revenue]]&gt;20000,"High Value", IF(Pharma_Sales_Data[[#This Row],[Total Revenue]]&gt;=10000,"Medium Value","Low Value"))</f>
        <v>Low Value</v>
      </c>
    </row>
    <row r="231" spans="1:16" x14ac:dyDescent="0.35">
      <c r="A231" s="1">
        <v>41870</v>
      </c>
      <c r="B231">
        <v>11.34</v>
      </c>
      <c r="C231">
        <v>6.35</v>
      </c>
      <c r="D231">
        <v>5</v>
      </c>
      <c r="E231">
        <v>16.100000000000001</v>
      </c>
      <c r="F231">
        <v>13</v>
      </c>
      <c r="G231">
        <v>1</v>
      </c>
      <c r="H231">
        <v>3</v>
      </c>
      <c r="I231">
        <v>1.1000000000000001</v>
      </c>
      <c r="J231">
        <v>2014</v>
      </c>
      <c r="K231">
        <v>8</v>
      </c>
      <c r="L231" t="s">
        <v>16</v>
      </c>
      <c r="M231">
        <f>SUM(Pharma_Sales_Data[[#This Row],[M01AB]:[R06]])</f>
        <v>56.89</v>
      </c>
      <c r="N231" s="2">
        <f>Pharma_Sales_Data[[#This Row],[Total Drug Sales]]*150</f>
        <v>8533.5</v>
      </c>
      <c r="O231" s="2">
        <f>Pharma_Sales_Data[[#This Row],[Total Revenue]]*0.3</f>
        <v>2560.0499999999997</v>
      </c>
      <c r="P231" t="str">
        <f>IF(Pharma_Sales_Data[[#This Row],[Total Revenue]]&gt;20000,"High Value", IF(Pharma_Sales_Data[[#This Row],[Total Revenue]]&gt;=10000,"Medium Value","Low Value"))</f>
        <v>Low Value</v>
      </c>
    </row>
    <row r="232" spans="1:16" x14ac:dyDescent="0.35">
      <c r="A232" s="1">
        <v>41871</v>
      </c>
      <c r="B232">
        <v>5.34</v>
      </c>
      <c r="C232">
        <v>5.34</v>
      </c>
      <c r="D232">
        <v>1.4</v>
      </c>
      <c r="E232">
        <v>9</v>
      </c>
      <c r="F232">
        <v>10</v>
      </c>
      <c r="G232">
        <v>2</v>
      </c>
      <c r="H232">
        <v>0</v>
      </c>
      <c r="I232">
        <v>1</v>
      </c>
      <c r="J232">
        <v>2014</v>
      </c>
      <c r="K232">
        <v>8</v>
      </c>
      <c r="L232" t="s">
        <v>17</v>
      </c>
      <c r="M232">
        <f>SUM(Pharma_Sales_Data[[#This Row],[M01AB]:[R06]])</f>
        <v>34.08</v>
      </c>
      <c r="N232" s="2">
        <f>Pharma_Sales_Data[[#This Row],[Total Drug Sales]]*150</f>
        <v>5112</v>
      </c>
      <c r="O232" s="2">
        <f>Pharma_Sales_Data[[#This Row],[Total Revenue]]*0.3</f>
        <v>1533.6</v>
      </c>
      <c r="P232" t="str">
        <f>IF(Pharma_Sales_Data[[#This Row],[Total Revenue]]&gt;20000,"High Value", IF(Pharma_Sales_Data[[#This Row],[Total Revenue]]&gt;=10000,"Medium Value","Low Value"))</f>
        <v>Low Value</v>
      </c>
    </row>
    <row r="233" spans="1:16" x14ac:dyDescent="0.35">
      <c r="A233" s="1">
        <v>41872</v>
      </c>
      <c r="B233">
        <v>3</v>
      </c>
      <c r="C233">
        <v>1</v>
      </c>
      <c r="D233">
        <v>2</v>
      </c>
      <c r="E233">
        <v>18</v>
      </c>
      <c r="F233">
        <v>16</v>
      </c>
      <c r="G233">
        <v>1</v>
      </c>
      <c r="H233">
        <v>0</v>
      </c>
      <c r="I233">
        <v>2.2000000000000002</v>
      </c>
      <c r="J233">
        <v>2014</v>
      </c>
      <c r="K233">
        <v>8</v>
      </c>
      <c r="L233" t="s">
        <v>11</v>
      </c>
      <c r="M233">
        <f>SUM(Pharma_Sales_Data[[#This Row],[M01AB]:[R06]])</f>
        <v>43.2</v>
      </c>
      <c r="N233" s="2">
        <f>Pharma_Sales_Data[[#This Row],[Total Drug Sales]]*150</f>
        <v>6480</v>
      </c>
      <c r="O233" s="2">
        <f>Pharma_Sales_Data[[#This Row],[Total Revenue]]*0.3</f>
        <v>1944</v>
      </c>
      <c r="P233" t="str">
        <f>IF(Pharma_Sales_Data[[#This Row],[Total Revenue]]&gt;20000,"High Value", IF(Pharma_Sales_Data[[#This Row],[Total Revenue]]&gt;=10000,"Medium Value","Low Value"))</f>
        <v>Low Value</v>
      </c>
    </row>
    <row r="234" spans="1:16" x14ac:dyDescent="0.35">
      <c r="A234" s="1">
        <v>41873</v>
      </c>
      <c r="B234">
        <v>6.34</v>
      </c>
      <c r="C234">
        <v>1.34</v>
      </c>
      <c r="D234">
        <v>5</v>
      </c>
      <c r="E234">
        <v>19</v>
      </c>
      <c r="F234">
        <v>15</v>
      </c>
      <c r="G234">
        <v>0</v>
      </c>
      <c r="H234">
        <v>0</v>
      </c>
      <c r="I234">
        <v>1</v>
      </c>
      <c r="J234">
        <v>2014</v>
      </c>
      <c r="K234">
        <v>8</v>
      </c>
      <c r="L234" t="s">
        <v>12</v>
      </c>
      <c r="M234">
        <f>SUM(Pharma_Sales_Data[[#This Row],[M01AB]:[R06]])</f>
        <v>47.68</v>
      </c>
      <c r="N234" s="2">
        <f>Pharma_Sales_Data[[#This Row],[Total Drug Sales]]*150</f>
        <v>7152</v>
      </c>
      <c r="O234" s="2">
        <f>Pharma_Sales_Data[[#This Row],[Total Revenue]]*0.3</f>
        <v>2145.6</v>
      </c>
      <c r="P234" t="str">
        <f>IF(Pharma_Sales_Data[[#This Row],[Total Revenue]]&gt;20000,"High Value", IF(Pharma_Sales_Data[[#This Row],[Total Revenue]]&gt;=10000,"Medium Value","Low Value"))</f>
        <v>Low Value</v>
      </c>
    </row>
    <row r="235" spans="1:16" x14ac:dyDescent="0.35">
      <c r="A235" s="1">
        <v>41874</v>
      </c>
      <c r="B235">
        <v>3</v>
      </c>
      <c r="C235">
        <v>3.02</v>
      </c>
      <c r="D235">
        <v>1</v>
      </c>
      <c r="E235">
        <v>25.6</v>
      </c>
      <c r="F235">
        <v>5</v>
      </c>
      <c r="G235">
        <v>0</v>
      </c>
      <c r="H235">
        <v>0</v>
      </c>
      <c r="I235">
        <v>4</v>
      </c>
      <c r="J235">
        <v>2014</v>
      </c>
      <c r="K235">
        <v>8</v>
      </c>
      <c r="L235" t="s">
        <v>13</v>
      </c>
      <c r="M235">
        <f>SUM(Pharma_Sales_Data[[#This Row],[M01AB]:[R06]])</f>
        <v>41.620000000000005</v>
      </c>
      <c r="N235" s="2">
        <f>Pharma_Sales_Data[[#This Row],[Total Drug Sales]]*150</f>
        <v>6243.0000000000009</v>
      </c>
      <c r="O235" s="2">
        <f>Pharma_Sales_Data[[#This Row],[Total Revenue]]*0.3</f>
        <v>1872.9</v>
      </c>
      <c r="P235" t="str">
        <f>IF(Pharma_Sales_Data[[#This Row],[Total Revenue]]&gt;20000,"High Value", IF(Pharma_Sales_Data[[#This Row],[Total Revenue]]&gt;=10000,"Medium Value","Low Value"))</f>
        <v>Low Value</v>
      </c>
    </row>
    <row r="236" spans="1:16" x14ac:dyDescent="0.35">
      <c r="A236" s="1">
        <v>41875</v>
      </c>
      <c r="B236">
        <v>3</v>
      </c>
      <c r="C236">
        <v>2.1749999999999998</v>
      </c>
      <c r="D236">
        <v>3</v>
      </c>
      <c r="E236">
        <v>7</v>
      </c>
      <c r="F236">
        <v>12</v>
      </c>
      <c r="G236">
        <v>0</v>
      </c>
      <c r="H236">
        <v>1</v>
      </c>
      <c r="I236">
        <v>0</v>
      </c>
      <c r="J236">
        <v>2014</v>
      </c>
      <c r="K236">
        <v>8</v>
      </c>
      <c r="L236" t="s">
        <v>14</v>
      </c>
      <c r="M236">
        <f>SUM(Pharma_Sales_Data[[#This Row],[M01AB]:[R06]])</f>
        <v>28.175000000000001</v>
      </c>
      <c r="N236" s="2">
        <f>Pharma_Sales_Data[[#This Row],[Total Drug Sales]]*150</f>
        <v>4226.25</v>
      </c>
      <c r="O236" s="2">
        <f>Pharma_Sales_Data[[#This Row],[Total Revenue]]*0.3</f>
        <v>1267.875</v>
      </c>
      <c r="P236" t="str">
        <f>IF(Pharma_Sales_Data[[#This Row],[Total Revenue]]&gt;20000,"High Value", IF(Pharma_Sales_Data[[#This Row],[Total Revenue]]&gt;=10000,"Medium Value","Low Value"))</f>
        <v>Low Value</v>
      </c>
    </row>
    <row r="237" spans="1:16" x14ac:dyDescent="0.35">
      <c r="A237" s="1">
        <v>41876</v>
      </c>
      <c r="B237">
        <v>4.01</v>
      </c>
      <c r="C237">
        <v>3.1749999999999998</v>
      </c>
      <c r="D237">
        <v>3</v>
      </c>
      <c r="E237">
        <v>21.2</v>
      </c>
      <c r="F237">
        <v>21</v>
      </c>
      <c r="G237">
        <v>0</v>
      </c>
      <c r="H237">
        <v>0</v>
      </c>
      <c r="I237">
        <v>0</v>
      </c>
      <c r="J237">
        <v>2014</v>
      </c>
      <c r="K237">
        <v>8</v>
      </c>
      <c r="L237" t="s">
        <v>15</v>
      </c>
      <c r="M237">
        <f>SUM(Pharma_Sales_Data[[#This Row],[M01AB]:[R06]])</f>
        <v>52.384999999999998</v>
      </c>
      <c r="N237" s="2">
        <f>Pharma_Sales_Data[[#This Row],[Total Drug Sales]]*150</f>
        <v>7857.75</v>
      </c>
      <c r="O237" s="2">
        <f>Pharma_Sales_Data[[#This Row],[Total Revenue]]*0.3</f>
        <v>2357.3249999999998</v>
      </c>
      <c r="P237" t="str">
        <f>IF(Pharma_Sales_Data[[#This Row],[Total Revenue]]&gt;20000,"High Value", IF(Pharma_Sales_Data[[#This Row],[Total Revenue]]&gt;=10000,"Medium Value","Low Value"))</f>
        <v>Low Value</v>
      </c>
    </row>
    <row r="238" spans="1:16" x14ac:dyDescent="0.35">
      <c r="A238" s="1">
        <v>41877</v>
      </c>
      <c r="B238">
        <v>2.34</v>
      </c>
      <c r="C238">
        <v>5.34</v>
      </c>
      <c r="D238">
        <v>3</v>
      </c>
      <c r="E238">
        <v>31</v>
      </c>
      <c r="F238">
        <v>14</v>
      </c>
      <c r="G238">
        <v>1</v>
      </c>
      <c r="H238">
        <v>1</v>
      </c>
      <c r="I238">
        <v>3</v>
      </c>
      <c r="J238">
        <v>2014</v>
      </c>
      <c r="K238">
        <v>8</v>
      </c>
      <c r="L238" t="s">
        <v>16</v>
      </c>
      <c r="M238">
        <f>SUM(Pharma_Sales_Data[[#This Row],[M01AB]:[R06]])</f>
        <v>60.68</v>
      </c>
      <c r="N238" s="2">
        <f>Pharma_Sales_Data[[#This Row],[Total Drug Sales]]*150</f>
        <v>9102</v>
      </c>
      <c r="O238" s="2">
        <f>Pharma_Sales_Data[[#This Row],[Total Revenue]]*0.3</f>
        <v>2730.6</v>
      </c>
      <c r="P238" t="str">
        <f>IF(Pharma_Sales_Data[[#This Row],[Total Revenue]]&gt;20000,"High Value", IF(Pharma_Sales_Data[[#This Row],[Total Revenue]]&gt;=10000,"Medium Value","Low Value"))</f>
        <v>Low Value</v>
      </c>
    </row>
    <row r="239" spans="1:16" x14ac:dyDescent="0.35">
      <c r="A239" s="1">
        <v>41878</v>
      </c>
      <c r="B239">
        <v>3.34</v>
      </c>
      <c r="C239">
        <v>8.02</v>
      </c>
      <c r="D239">
        <v>4</v>
      </c>
      <c r="E239">
        <v>21</v>
      </c>
      <c r="F239">
        <v>14</v>
      </c>
      <c r="G239">
        <v>0</v>
      </c>
      <c r="H239">
        <v>0</v>
      </c>
      <c r="I239">
        <v>3</v>
      </c>
      <c r="J239">
        <v>2014</v>
      </c>
      <c r="K239">
        <v>8</v>
      </c>
      <c r="L239" t="s">
        <v>17</v>
      </c>
      <c r="M239">
        <f>SUM(Pharma_Sales_Data[[#This Row],[M01AB]:[R06]])</f>
        <v>53.36</v>
      </c>
      <c r="N239" s="2">
        <f>Pharma_Sales_Data[[#This Row],[Total Drug Sales]]*150</f>
        <v>8004</v>
      </c>
      <c r="O239" s="2">
        <f>Pharma_Sales_Data[[#This Row],[Total Revenue]]*0.3</f>
        <v>2401.1999999999998</v>
      </c>
      <c r="P239" t="str">
        <f>IF(Pharma_Sales_Data[[#This Row],[Total Revenue]]&gt;20000,"High Value", IF(Pharma_Sales_Data[[#This Row],[Total Revenue]]&gt;=10000,"Medium Value","Low Value"))</f>
        <v>Low Value</v>
      </c>
    </row>
    <row r="240" spans="1:16" x14ac:dyDescent="0.35">
      <c r="A240" s="1">
        <v>41879</v>
      </c>
      <c r="B240">
        <v>2.34</v>
      </c>
      <c r="C240">
        <v>5.36</v>
      </c>
      <c r="D240">
        <v>6</v>
      </c>
      <c r="E240">
        <v>32.67</v>
      </c>
      <c r="F240">
        <v>19</v>
      </c>
      <c r="G240">
        <v>0</v>
      </c>
      <c r="H240">
        <v>4</v>
      </c>
      <c r="I240">
        <v>0</v>
      </c>
      <c r="J240">
        <v>2014</v>
      </c>
      <c r="K240">
        <v>8</v>
      </c>
      <c r="L240" t="s">
        <v>11</v>
      </c>
      <c r="M240">
        <f>SUM(Pharma_Sales_Data[[#This Row],[M01AB]:[R06]])</f>
        <v>69.37</v>
      </c>
      <c r="N240" s="2">
        <f>Pharma_Sales_Data[[#This Row],[Total Drug Sales]]*150</f>
        <v>10405.5</v>
      </c>
      <c r="O240" s="2">
        <f>Pharma_Sales_Data[[#This Row],[Total Revenue]]*0.3</f>
        <v>3121.65</v>
      </c>
      <c r="P240" t="str">
        <f>IF(Pharma_Sales_Data[[#This Row],[Total Revenue]]&gt;20000,"High Value", IF(Pharma_Sales_Data[[#This Row],[Total Revenue]]&gt;=10000,"Medium Value","Low Value"))</f>
        <v>Medium Value</v>
      </c>
    </row>
    <row r="241" spans="1:16" x14ac:dyDescent="0.35">
      <c r="A241" s="1">
        <v>41880</v>
      </c>
      <c r="B241">
        <v>6.34</v>
      </c>
      <c r="C241">
        <v>3.68</v>
      </c>
      <c r="D241">
        <v>5</v>
      </c>
      <c r="E241">
        <v>26.28</v>
      </c>
      <c r="F241">
        <v>18</v>
      </c>
      <c r="G241">
        <v>1</v>
      </c>
      <c r="H241">
        <v>0</v>
      </c>
      <c r="I241">
        <v>3</v>
      </c>
      <c r="J241">
        <v>2014</v>
      </c>
      <c r="K241">
        <v>8</v>
      </c>
      <c r="L241" t="s">
        <v>12</v>
      </c>
      <c r="M241">
        <f>SUM(Pharma_Sales_Data[[#This Row],[M01AB]:[R06]])</f>
        <v>63.3</v>
      </c>
      <c r="N241" s="2">
        <f>Pharma_Sales_Data[[#This Row],[Total Drug Sales]]*150</f>
        <v>9495</v>
      </c>
      <c r="O241" s="2">
        <f>Pharma_Sales_Data[[#This Row],[Total Revenue]]*0.3</f>
        <v>2848.5</v>
      </c>
      <c r="P241" t="str">
        <f>IF(Pharma_Sales_Data[[#This Row],[Total Revenue]]&gt;20000,"High Value", IF(Pharma_Sales_Data[[#This Row],[Total Revenue]]&gt;=10000,"Medium Value","Low Value"))</f>
        <v>Low Value</v>
      </c>
    </row>
    <row r="242" spans="1:16" x14ac:dyDescent="0.35">
      <c r="A242" s="1">
        <v>41881</v>
      </c>
      <c r="B242">
        <v>3.68</v>
      </c>
      <c r="C242">
        <v>3.02</v>
      </c>
      <c r="D242">
        <v>7</v>
      </c>
      <c r="E242">
        <v>13</v>
      </c>
      <c r="F242">
        <v>13</v>
      </c>
      <c r="G242">
        <v>1</v>
      </c>
      <c r="H242">
        <v>0</v>
      </c>
      <c r="I242">
        <v>4</v>
      </c>
      <c r="J242">
        <v>2014</v>
      </c>
      <c r="K242">
        <v>8</v>
      </c>
      <c r="L242" t="s">
        <v>13</v>
      </c>
      <c r="M242">
        <f>SUM(Pharma_Sales_Data[[#This Row],[M01AB]:[R06]])</f>
        <v>44.7</v>
      </c>
      <c r="N242" s="2">
        <f>Pharma_Sales_Data[[#This Row],[Total Drug Sales]]*150</f>
        <v>6705</v>
      </c>
      <c r="O242" s="2">
        <f>Pharma_Sales_Data[[#This Row],[Total Revenue]]*0.3</f>
        <v>2011.5</v>
      </c>
      <c r="P242" t="str">
        <f>IF(Pharma_Sales_Data[[#This Row],[Total Revenue]]&gt;20000,"High Value", IF(Pharma_Sales_Data[[#This Row],[Total Revenue]]&gt;=10000,"Medium Value","Low Value"))</f>
        <v>Low Value</v>
      </c>
    </row>
    <row r="243" spans="1:16" x14ac:dyDescent="0.35">
      <c r="A243" s="1">
        <v>41882</v>
      </c>
      <c r="B243">
        <v>0</v>
      </c>
      <c r="C243">
        <v>2.68</v>
      </c>
      <c r="D243">
        <v>1</v>
      </c>
      <c r="E243">
        <v>15</v>
      </c>
      <c r="F243">
        <v>13</v>
      </c>
      <c r="G243">
        <v>0</v>
      </c>
      <c r="H243">
        <v>7</v>
      </c>
      <c r="I243">
        <v>2</v>
      </c>
      <c r="J243">
        <v>2014</v>
      </c>
      <c r="K243">
        <v>8</v>
      </c>
      <c r="L243" t="s">
        <v>14</v>
      </c>
      <c r="M243">
        <f>SUM(Pharma_Sales_Data[[#This Row],[M01AB]:[R06]])</f>
        <v>40.68</v>
      </c>
      <c r="N243" s="2">
        <f>Pharma_Sales_Data[[#This Row],[Total Drug Sales]]*150</f>
        <v>6102</v>
      </c>
      <c r="O243" s="2">
        <f>Pharma_Sales_Data[[#This Row],[Total Revenue]]*0.3</f>
        <v>1830.6</v>
      </c>
      <c r="P243" t="str">
        <f>IF(Pharma_Sales_Data[[#This Row],[Total Revenue]]&gt;20000,"High Value", IF(Pharma_Sales_Data[[#This Row],[Total Revenue]]&gt;=10000,"Medium Value","Low Value"))</f>
        <v>Low Value</v>
      </c>
    </row>
    <row r="244" spans="1:16" x14ac:dyDescent="0.35">
      <c r="A244" s="1">
        <v>41883</v>
      </c>
      <c r="B244">
        <v>3.34</v>
      </c>
      <c r="C244">
        <v>1.7150000000000001</v>
      </c>
      <c r="D244">
        <v>1</v>
      </c>
      <c r="E244">
        <v>15.5</v>
      </c>
      <c r="F244">
        <v>15</v>
      </c>
      <c r="G244">
        <v>0</v>
      </c>
      <c r="H244">
        <v>0</v>
      </c>
      <c r="I244">
        <v>5.5</v>
      </c>
      <c r="J244">
        <v>2014</v>
      </c>
      <c r="K244">
        <v>9</v>
      </c>
      <c r="L244" t="s">
        <v>15</v>
      </c>
      <c r="M244">
        <f>SUM(Pharma_Sales_Data[[#This Row],[M01AB]:[R06]])</f>
        <v>42.055</v>
      </c>
      <c r="N244" s="2">
        <f>Pharma_Sales_Data[[#This Row],[Total Drug Sales]]*150</f>
        <v>6308.25</v>
      </c>
      <c r="O244" s="2">
        <f>Pharma_Sales_Data[[#This Row],[Total Revenue]]*0.3</f>
        <v>1892.4749999999999</v>
      </c>
      <c r="P244" t="str">
        <f>IF(Pharma_Sales_Data[[#This Row],[Total Revenue]]&gt;20000,"High Value", IF(Pharma_Sales_Data[[#This Row],[Total Revenue]]&gt;=10000,"Medium Value","Low Value"))</f>
        <v>Low Value</v>
      </c>
    </row>
    <row r="245" spans="1:16" x14ac:dyDescent="0.35">
      <c r="A245" s="1">
        <v>41884</v>
      </c>
      <c r="B245">
        <v>2.34</v>
      </c>
      <c r="C245">
        <v>4.68</v>
      </c>
      <c r="D245">
        <v>5.2</v>
      </c>
      <c r="E245">
        <v>20.14</v>
      </c>
      <c r="F245">
        <v>7</v>
      </c>
      <c r="G245">
        <v>0</v>
      </c>
      <c r="H245">
        <v>2</v>
      </c>
      <c r="I245">
        <v>3</v>
      </c>
      <c r="J245">
        <v>2014</v>
      </c>
      <c r="K245">
        <v>9</v>
      </c>
      <c r="L245" t="s">
        <v>16</v>
      </c>
      <c r="M245">
        <f>SUM(Pharma_Sales_Data[[#This Row],[M01AB]:[R06]])</f>
        <v>44.36</v>
      </c>
      <c r="N245" s="2">
        <f>Pharma_Sales_Data[[#This Row],[Total Drug Sales]]*150</f>
        <v>6654</v>
      </c>
      <c r="O245" s="2">
        <f>Pharma_Sales_Data[[#This Row],[Total Revenue]]*0.3</f>
        <v>1996.1999999999998</v>
      </c>
      <c r="P245" t="str">
        <f>IF(Pharma_Sales_Data[[#This Row],[Total Revenue]]&gt;20000,"High Value", IF(Pharma_Sales_Data[[#This Row],[Total Revenue]]&gt;=10000,"Medium Value","Low Value"))</f>
        <v>Low Value</v>
      </c>
    </row>
    <row r="246" spans="1:16" x14ac:dyDescent="0.35">
      <c r="A246" s="1">
        <v>41885</v>
      </c>
      <c r="B246">
        <v>7</v>
      </c>
      <c r="C246">
        <v>6.34</v>
      </c>
      <c r="D246">
        <v>4</v>
      </c>
      <c r="E246">
        <v>22.18</v>
      </c>
      <c r="F246">
        <v>12</v>
      </c>
      <c r="G246">
        <v>0</v>
      </c>
      <c r="H246">
        <v>2</v>
      </c>
      <c r="I246">
        <v>3</v>
      </c>
      <c r="J246">
        <v>2014</v>
      </c>
      <c r="K246">
        <v>9</v>
      </c>
      <c r="L246" t="s">
        <v>17</v>
      </c>
      <c r="M246">
        <f>SUM(Pharma_Sales_Data[[#This Row],[M01AB]:[R06]])</f>
        <v>56.519999999999996</v>
      </c>
      <c r="N246" s="2">
        <f>Pharma_Sales_Data[[#This Row],[Total Drug Sales]]*150</f>
        <v>8478</v>
      </c>
      <c r="O246" s="2">
        <f>Pharma_Sales_Data[[#This Row],[Total Revenue]]*0.3</f>
        <v>2543.4</v>
      </c>
      <c r="P246" t="str">
        <f>IF(Pharma_Sales_Data[[#This Row],[Total Revenue]]&gt;20000,"High Value", IF(Pharma_Sales_Data[[#This Row],[Total Revenue]]&gt;=10000,"Medium Value","Low Value"))</f>
        <v>Low Value</v>
      </c>
    </row>
    <row r="247" spans="1:16" x14ac:dyDescent="0.35">
      <c r="A247" s="1">
        <v>41886</v>
      </c>
      <c r="B247">
        <v>5.68</v>
      </c>
      <c r="C247">
        <v>5.34</v>
      </c>
      <c r="D247">
        <v>3</v>
      </c>
      <c r="E247">
        <v>17.600000000000001</v>
      </c>
      <c r="F247">
        <v>21</v>
      </c>
      <c r="G247">
        <v>1</v>
      </c>
      <c r="H247">
        <v>0</v>
      </c>
      <c r="I247">
        <v>1</v>
      </c>
      <c r="J247">
        <v>2014</v>
      </c>
      <c r="K247">
        <v>9</v>
      </c>
      <c r="L247" t="s">
        <v>11</v>
      </c>
      <c r="M247">
        <f>SUM(Pharma_Sales_Data[[#This Row],[M01AB]:[R06]])</f>
        <v>54.620000000000005</v>
      </c>
      <c r="N247" s="2">
        <f>Pharma_Sales_Data[[#This Row],[Total Drug Sales]]*150</f>
        <v>8193</v>
      </c>
      <c r="O247" s="2">
        <f>Pharma_Sales_Data[[#This Row],[Total Revenue]]*0.3</f>
        <v>2457.9</v>
      </c>
      <c r="P247" t="str">
        <f>IF(Pharma_Sales_Data[[#This Row],[Total Revenue]]&gt;20000,"High Value", IF(Pharma_Sales_Data[[#This Row],[Total Revenue]]&gt;=10000,"Medium Value","Low Value"))</f>
        <v>Low Value</v>
      </c>
    </row>
    <row r="248" spans="1:16" x14ac:dyDescent="0.35">
      <c r="A248" s="1">
        <v>41887</v>
      </c>
      <c r="B248">
        <v>4</v>
      </c>
      <c r="C248">
        <v>0.77900000000000003</v>
      </c>
      <c r="D248">
        <v>3</v>
      </c>
      <c r="E248">
        <v>15.6</v>
      </c>
      <c r="F248">
        <v>15</v>
      </c>
      <c r="G248">
        <v>2</v>
      </c>
      <c r="H248">
        <v>0</v>
      </c>
      <c r="I248">
        <v>2</v>
      </c>
      <c r="J248">
        <v>2014</v>
      </c>
      <c r="K248">
        <v>9</v>
      </c>
      <c r="L248" t="s">
        <v>12</v>
      </c>
      <c r="M248">
        <f>SUM(Pharma_Sales_Data[[#This Row],[M01AB]:[R06]])</f>
        <v>42.378999999999998</v>
      </c>
      <c r="N248" s="2">
        <f>Pharma_Sales_Data[[#This Row],[Total Drug Sales]]*150</f>
        <v>6356.8499999999995</v>
      </c>
      <c r="O248" s="2">
        <f>Pharma_Sales_Data[[#This Row],[Total Revenue]]*0.3</f>
        <v>1907.0549999999998</v>
      </c>
      <c r="P248" t="str">
        <f>IF(Pharma_Sales_Data[[#This Row],[Total Revenue]]&gt;20000,"High Value", IF(Pharma_Sales_Data[[#This Row],[Total Revenue]]&gt;=10000,"Medium Value","Low Value"))</f>
        <v>Low Value</v>
      </c>
    </row>
    <row r="249" spans="1:16" x14ac:dyDescent="0.35">
      <c r="A249" s="1">
        <v>41888</v>
      </c>
      <c r="B249">
        <v>5.34</v>
      </c>
      <c r="C249">
        <v>5</v>
      </c>
      <c r="D249">
        <v>2.4</v>
      </c>
      <c r="E249">
        <v>15.7</v>
      </c>
      <c r="F249">
        <v>30</v>
      </c>
      <c r="G249">
        <v>2</v>
      </c>
      <c r="H249">
        <v>5</v>
      </c>
      <c r="I249">
        <v>3.1</v>
      </c>
      <c r="J249">
        <v>2014</v>
      </c>
      <c r="K249">
        <v>9</v>
      </c>
      <c r="L249" t="s">
        <v>13</v>
      </c>
      <c r="M249">
        <f>SUM(Pharma_Sales_Data[[#This Row],[M01AB]:[R06]])</f>
        <v>68.539999999999992</v>
      </c>
      <c r="N249" s="2">
        <f>Pharma_Sales_Data[[#This Row],[Total Drug Sales]]*150</f>
        <v>10280.999999999998</v>
      </c>
      <c r="O249" s="2">
        <f>Pharma_Sales_Data[[#This Row],[Total Revenue]]*0.3</f>
        <v>3084.2999999999993</v>
      </c>
      <c r="P249" t="str">
        <f>IF(Pharma_Sales_Data[[#This Row],[Total Revenue]]&gt;20000,"High Value", IF(Pharma_Sales_Data[[#This Row],[Total Revenue]]&gt;=10000,"Medium Value","Low Value"))</f>
        <v>Medium Value</v>
      </c>
    </row>
    <row r="250" spans="1:16" x14ac:dyDescent="0.35">
      <c r="A250" s="1">
        <v>41889</v>
      </c>
      <c r="B250">
        <v>2</v>
      </c>
      <c r="C250">
        <v>5.5149999999999997</v>
      </c>
      <c r="D250">
        <v>5</v>
      </c>
      <c r="E250">
        <v>7</v>
      </c>
      <c r="F250">
        <v>9</v>
      </c>
      <c r="G250">
        <v>0</v>
      </c>
      <c r="H250">
        <v>0</v>
      </c>
      <c r="I250">
        <v>1</v>
      </c>
      <c r="J250">
        <v>2014</v>
      </c>
      <c r="K250">
        <v>9</v>
      </c>
      <c r="L250" t="s">
        <v>14</v>
      </c>
      <c r="M250">
        <f>SUM(Pharma_Sales_Data[[#This Row],[M01AB]:[R06]])</f>
        <v>29.515000000000001</v>
      </c>
      <c r="N250" s="2">
        <f>Pharma_Sales_Data[[#This Row],[Total Drug Sales]]*150</f>
        <v>4427.25</v>
      </c>
      <c r="O250" s="2">
        <f>Pharma_Sales_Data[[#This Row],[Total Revenue]]*0.3</f>
        <v>1328.175</v>
      </c>
      <c r="P250" t="str">
        <f>IF(Pharma_Sales_Data[[#This Row],[Total Revenue]]&gt;20000,"High Value", IF(Pharma_Sales_Data[[#This Row],[Total Revenue]]&gt;=10000,"Medium Value","Low Value"))</f>
        <v>Low Value</v>
      </c>
    </row>
    <row r="251" spans="1:16" x14ac:dyDescent="0.35">
      <c r="A251" s="1">
        <v>41890</v>
      </c>
      <c r="B251">
        <v>1</v>
      </c>
      <c r="C251">
        <v>5.36</v>
      </c>
      <c r="D251">
        <v>3.5</v>
      </c>
      <c r="E251">
        <v>20.8</v>
      </c>
      <c r="F251">
        <v>15</v>
      </c>
      <c r="G251">
        <v>0</v>
      </c>
      <c r="H251">
        <v>1</v>
      </c>
      <c r="I251">
        <v>4</v>
      </c>
      <c r="J251">
        <v>2014</v>
      </c>
      <c r="K251">
        <v>9</v>
      </c>
      <c r="L251" t="s">
        <v>15</v>
      </c>
      <c r="M251">
        <f>SUM(Pharma_Sales_Data[[#This Row],[M01AB]:[R06]])</f>
        <v>50.66</v>
      </c>
      <c r="N251" s="2">
        <f>Pharma_Sales_Data[[#This Row],[Total Drug Sales]]*150</f>
        <v>7598.9999999999991</v>
      </c>
      <c r="O251" s="2">
        <f>Pharma_Sales_Data[[#This Row],[Total Revenue]]*0.3</f>
        <v>2279.6999999999998</v>
      </c>
      <c r="P251" t="str">
        <f>IF(Pharma_Sales_Data[[#This Row],[Total Revenue]]&gt;20000,"High Value", IF(Pharma_Sales_Data[[#This Row],[Total Revenue]]&gt;=10000,"Medium Value","Low Value"))</f>
        <v>Low Value</v>
      </c>
    </row>
    <row r="252" spans="1:16" x14ac:dyDescent="0.35">
      <c r="A252" s="1">
        <v>41891</v>
      </c>
      <c r="B252">
        <v>6.34</v>
      </c>
      <c r="C252">
        <v>2.34</v>
      </c>
      <c r="D252">
        <v>4</v>
      </c>
      <c r="E252">
        <v>29.2</v>
      </c>
      <c r="F252">
        <v>17</v>
      </c>
      <c r="G252">
        <v>0</v>
      </c>
      <c r="H252">
        <v>2</v>
      </c>
      <c r="I252">
        <v>1.2</v>
      </c>
      <c r="J252">
        <v>2014</v>
      </c>
      <c r="K252">
        <v>9</v>
      </c>
      <c r="L252" t="s">
        <v>16</v>
      </c>
      <c r="M252">
        <f>SUM(Pharma_Sales_Data[[#This Row],[M01AB]:[R06]])</f>
        <v>62.08</v>
      </c>
      <c r="N252" s="2">
        <f>Pharma_Sales_Data[[#This Row],[Total Drug Sales]]*150</f>
        <v>9312</v>
      </c>
      <c r="O252" s="2">
        <f>Pharma_Sales_Data[[#This Row],[Total Revenue]]*0.3</f>
        <v>2793.6</v>
      </c>
      <c r="P252" t="str">
        <f>IF(Pharma_Sales_Data[[#This Row],[Total Revenue]]&gt;20000,"High Value", IF(Pharma_Sales_Data[[#This Row],[Total Revenue]]&gt;=10000,"Medium Value","Low Value"))</f>
        <v>Low Value</v>
      </c>
    </row>
    <row r="253" spans="1:16" x14ac:dyDescent="0.35">
      <c r="A253" s="1">
        <v>41892</v>
      </c>
      <c r="B253">
        <v>4.34</v>
      </c>
      <c r="C253">
        <v>3.34</v>
      </c>
      <c r="D253">
        <v>3.5</v>
      </c>
      <c r="E253">
        <v>37.799999999999997</v>
      </c>
      <c r="F253">
        <v>12</v>
      </c>
      <c r="G253">
        <v>0</v>
      </c>
      <c r="H253">
        <v>0</v>
      </c>
      <c r="I253">
        <v>1</v>
      </c>
      <c r="J253">
        <v>2014</v>
      </c>
      <c r="K253">
        <v>9</v>
      </c>
      <c r="L253" t="s">
        <v>17</v>
      </c>
      <c r="M253">
        <f>SUM(Pharma_Sales_Data[[#This Row],[M01AB]:[R06]])</f>
        <v>61.98</v>
      </c>
      <c r="N253" s="2">
        <f>Pharma_Sales_Data[[#This Row],[Total Drug Sales]]*150</f>
        <v>9297</v>
      </c>
      <c r="O253" s="2">
        <f>Pharma_Sales_Data[[#This Row],[Total Revenue]]*0.3</f>
        <v>2789.1</v>
      </c>
      <c r="P253" t="str">
        <f>IF(Pharma_Sales_Data[[#This Row],[Total Revenue]]&gt;20000,"High Value", IF(Pharma_Sales_Data[[#This Row],[Total Revenue]]&gt;=10000,"Medium Value","Low Value"))</f>
        <v>Low Value</v>
      </c>
    </row>
    <row r="254" spans="1:16" x14ac:dyDescent="0.35">
      <c r="A254" s="1">
        <v>41893</v>
      </c>
      <c r="B254">
        <v>0</v>
      </c>
      <c r="C254">
        <v>1.34</v>
      </c>
      <c r="D254">
        <v>4</v>
      </c>
      <c r="E254">
        <v>32.200000000000003</v>
      </c>
      <c r="F254">
        <v>15</v>
      </c>
      <c r="G254">
        <v>0</v>
      </c>
      <c r="H254">
        <v>10</v>
      </c>
      <c r="I254">
        <v>0</v>
      </c>
      <c r="J254">
        <v>2014</v>
      </c>
      <c r="K254">
        <v>9</v>
      </c>
      <c r="L254" t="s">
        <v>11</v>
      </c>
      <c r="M254">
        <f>SUM(Pharma_Sales_Data[[#This Row],[M01AB]:[R06]])</f>
        <v>62.540000000000006</v>
      </c>
      <c r="N254" s="2">
        <f>Pharma_Sales_Data[[#This Row],[Total Drug Sales]]*150</f>
        <v>9381.0000000000018</v>
      </c>
      <c r="O254" s="2">
        <f>Pharma_Sales_Data[[#This Row],[Total Revenue]]*0.3</f>
        <v>2814.3000000000006</v>
      </c>
      <c r="P254" t="str">
        <f>IF(Pharma_Sales_Data[[#This Row],[Total Revenue]]&gt;20000,"High Value", IF(Pharma_Sales_Data[[#This Row],[Total Revenue]]&gt;=10000,"Medium Value","Low Value"))</f>
        <v>Low Value</v>
      </c>
    </row>
    <row r="255" spans="1:16" x14ac:dyDescent="0.35">
      <c r="A255" s="1">
        <v>41894</v>
      </c>
      <c r="B255">
        <v>2.68</v>
      </c>
      <c r="C255">
        <v>2.67</v>
      </c>
      <c r="D255">
        <v>1</v>
      </c>
      <c r="E255">
        <v>20</v>
      </c>
      <c r="F255">
        <v>19</v>
      </c>
      <c r="G255">
        <v>0</v>
      </c>
      <c r="H255">
        <v>8</v>
      </c>
      <c r="I255">
        <v>1</v>
      </c>
      <c r="J255">
        <v>2014</v>
      </c>
      <c r="K255">
        <v>9</v>
      </c>
      <c r="L255" t="s">
        <v>12</v>
      </c>
      <c r="M255">
        <f>SUM(Pharma_Sales_Data[[#This Row],[M01AB]:[R06]])</f>
        <v>54.35</v>
      </c>
      <c r="N255" s="2">
        <f>Pharma_Sales_Data[[#This Row],[Total Drug Sales]]*150</f>
        <v>8152.5</v>
      </c>
      <c r="O255" s="2">
        <f>Pharma_Sales_Data[[#This Row],[Total Revenue]]*0.3</f>
        <v>2445.75</v>
      </c>
      <c r="P255" t="str">
        <f>IF(Pharma_Sales_Data[[#This Row],[Total Revenue]]&gt;20000,"High Value", IF(Pharma_Sales_Data[[#This Row],[Total Revenue]]&gt;=10000,"Medium Value","Low Value"))</f>
        <v>Low Value</v>
      </c>
    </row>
    <row r="256" spans="1:16" x14ac:dyDescent="0.35">
      <c r="A256" s="1">
        <v>41895</v>
      </c>
      <c r="B256">
        <v>3</v>
      </c>
      <c r="C256">
        <v>5.36</v>
      </c>
      <c r="D256">
        <v>4.4000000000000004</v>
      </c>
      <c r="E256">
        <v>56.85</v>
      </c>
      <c r="F256">
        <v>20</v>
      </c>
      <c r="G256">
        <v>0</v>
      </c>
      <c r="H256">
        <v>1</v>
      </c>
      <c r="I256">
        <v>3</v>
      </c>
      <c r="J256">
        <v>2014</v>
      </c>
      <c r="K256">
        <v>9</v>
      </c>
      <c r="L256" t="s">
        <v>13</v>
      </c>
      <c r="M256">
        <f>SUM(Pharma_Sales_Data[[#This Row],[M01AB]:[R06]])</f>
        <v>93.61</v>
      </c>
      <c r="N256" s="2">
        <f>Pharma_Sales_Data[[#This Row],[Total Drug Sales]]*150</f>
        <v>14041.5</v>
      </c>
      <c r="O256" s="2">
        <f>Pharma_Sales_Data[[#This Row],[Total Revenue]]*0.3</f>
        <v>4212.45</v>
      </c>
      <c r="P256" t="str">
        <f>IF(Pharma_Sales_Data[[#This Row],[Total Revenue]]&gt;20000,"High Value", IF(Pharma_Sales_Data[[#This Row],[Total Revenue]]&gt;=10000,"Medium Value","Low Value"))</f>
        <v>Medium Value</v>
      </c>
    </row>
    <row r="257" spans="1:16" x14ac:dyDescent="0.35">
      <c r="A257" s="1">
        <v>41896</v>
      </c>
      <c r="B257">
        <v>1.34</v>
      </c>
      <c r="C257">
        <v>2</v>
      </c>
      <c r="D257">
        <v>2</v>
      </c>
      <c r="E257">
        <v>19.5</v>
      </c>
      <c r="F257">
        <v>6</v>
      </c>
      <c r="G257">
        <v>0</v>
      </c>
      <c r="H257">
        <v>6</v>
      </c>
      <c r="I257">
        <v>0</v>
      </c>
      <c r="J257">
        <v>2014</v>
      </c>
      <c r="K257">
        <v>9</v>
      </c>
      <c r="L257" t="s">
        <v>14</v>
      </c>
      <c r="M257">
        <f>SUM(Pharma_Sales_Data[[#This Row],[M01AB]:[R06]])</f>
        <v>36.840000000000003</v>
      </c>
      <c r="N257" s="2">
        <f>Pharma_Sales_Data[[#This Row],[Total Drug Sales]]*150</f>
        <v>5526.0000000000009</v>
      </c>
      <c r="O257" s="2">
        <f>Pharma_Sales_Data[[#This Row],[Total Revenue]]*0.3</f>
        <v>1657.8000000000002</v>
      </c>
      <c r="P257" t="str">
        <f>IF(Pharma_Sales_Data[[#This Row],[Total Revenue]]&gt;20000,"High Value", IF(Pharma_Sales_Data[[#This Row],[Total Revenue]]&gt;=10000,"Medium Value","Low Value"))</f>
        <v>Low Value</v>
      </c>
    </row>
    <row r="258" spans="1:16" x14ac:dyDescent="0.35">
      <c r="A258" s="1">
        <v>41897</v>
      </c>
      <c r="B258">
        <v>1.34</v>
      </c>
      <c r="C258">
        <v>3</v>
      </c>
      <c r="D258">
        <v>5.4</v>
      </c>
      <c r="E258">
        <v>28.2</v>
      </c>
      <c r="F258">
        <v>9</v>
      </c>
      <c r="G258">
        <v>0</v>
      </c>
      <c r="H258">
        <v>1</v>
      </c>
      <c r="I258">
        <v>0</v>
      </c>
      <c r="J258">
        <v>2014</v>
      </c>
      <c r="K258">
        <v>9</v>
      </c>
      <c r="L258" t="s">
        <v>15</v>
      </c>
      <c r="M258">
        <f>SUM(Pharma_Sales_Data[[#This Row],[M01AB]:[R06]])</f>
        <v>47.94</v>
      </c>
      <c r="N258" s="2">
        <f>Pharma_Sales_Data[[#This Row],[Total Drug Sales]]*150</f>
        <v>7191</v>
      </c>
      <c r="O258" s="2">
        <f>Pharma_Sales_Data[[#This Row],[Total Revenue]]*0.3</f>
        <v>2157.2999999999997</v>
      </c>
      <c r="P258" t="str">
        <f>IF(Pharma_Sales_Data[[#This Row],[Total Revenue]]&gt;20000,"High Value", IF(Pharma_Sales_Data[[#This Row],[Total Revenue]]&gt;=10000,"Medium Value","Low Value"))</f>
        <v>Low Value</v>
      </c>
    </row>
    <row r="259" spans="1:16" x14ac:dyDescent="0.35">
      <c r="A259" s="1">
        <v>41898</v>
      </c>
      <c r="B259">
        <v>4</v>
      </c>
      <c r="C259">
        <v>2.68</v>
      </c>
      <c r="D259">
        <v>0</v>
      </c>
      <c r="E259">
        <v>59.3</v>
      </c>
      <c r="F259">
        <v>13</v>
      </c>
      <c r="G259">
        <v>0</v>
      </c>
      <c r="H259">
        <v>0</v>
      </c>
      <c r="I259">
        <v>0</v>
      </c>
      <c r="J259">
        <v>2014</v>
      </c>
      <c r="K259">
        <v>9</v>
      </c>
      <c r="L259" t="s">
        <v>16</v>
      </c>
      <c r="M259">
        <f>SUM(Pharma_Sales_Data[[#This Row],[M01AB]:[R06]])</f>
        <v>78.97999999999999</v>
      </c>
      <c r="N259" s="2">
        <f>Pharma_Sales_Data[[#This Row],[Total Drug Sales]]*150</f>
        <v>11846.999999999998</v>
      </c>
      <c r="O259" s="2">
        <f>Pharma_Sales_Data[[#This Row],[Total Revenue]]*0.3</f>
        <v>3554.0999999999995</v>
      </c>
      <c r="P259" t="str">
        <f>IF(Pharma_Sales_Data[[#This Row],[Total Revenue]]&gt;20000,"High Value", IF(Pharma_Sales_Data[[#This Row],[Total Revenue]]&gt;=10000,"Medium Value","Low Value"))</f>
        <v>Medium Value</v>
      </c>
    </row>
    <row r="260" spans="1:16" x14ac:dyDescent="0.35">
      <c r="A260" s="1">
        <v>41899</v>
      </c>
      <c r="B260">
        <v>2.34</v>
      </c>
      <c r="C260">
        <v>6</v>
      </c>
      <c r="D260">
        <v>4</v>
      </c>
      <c r="E260">
        <v>39.6</v>
      </c>
      <c r="F260">
        <v>11</v>
      </c>
      <c r="G260">
        <v>2</v>
      </c>
      <c r="H260">
        <v>19</v>
      </c>
      <c r="I260">
        <v>4</v>
      </c>
      <c r="J260">
        <v>2014</v>
      </c>
      <c r="K260">
        <v>9</v>
      </c>
      <c r="L260" t="s">
        <v>17</v>
      </c>
      <c r="M260">
        <f>SUM(Pharma_Sales_Data[[#This Row],[M01AB]:[R06]])</f>
        <v>87.94</v>
      </c>
      <c r="N260" s="2">
        <f>Pharma_Sales_Data[[#This Row],[Total Drug Sales]]*150</f>
        <v>13191</v>
      </c>
      <c r="O260" s="2">
        <f>Pharma_Sales_Data[[#This Row],[Total Revenue]]*0.3</f>
        <v>3957.2999999999997</v>
      </c>
      <c r="P260" t="str">
        <f>IF(Pharma_Sales_Data[[#This Row],[Total Revenue]]&gt;20000,"High Value", IF(Pharma_Sales_Data[[#This Row],[Total Revenue]]&gt;=10000,"Medium Value","Low Value"))</f>
        <v>Medium Value</v>
      </c>
    </row>
    <row r="261" spans="1:16" x14ac:dyDescent="0.35">
      <c r="A261" s="1">
        <v>41900</v>
      </c>
      <c r="B261">
        <v>3</v>
      </c>
      <c r="C261">
        <v>2.02</v>
      </c>
      <c r="D261">
        <v>1</v>
      </c>
      <c r="E261">
        <v>44</v>
      </c>
      <c r="F261">
        <v>7</v>
      </c>
      <c r="G261">
        <v>0</v>
      </c>
      <c r="H261">
        <v>0</v>
      </c>
      <c r="I261">
        <v>1</v>
      </c>
      <c r="J261">
        <v>2014</v>
      </c>
      <c r="K261">
        <v>9</v>
      </c>
      <c r="L261" t="s">
        <v>11</v>
      </c>
      <c r="M261">
        <f>SUM(Pharma_Sales_Data[[#This Row],[M01AB]:[R06]])</f>
        <v>58.019999999999996</v>
      </c>
      <c r="N261" s="2">
        <f>Pharma_Sales_Data[[#This Row],[Total Drug Sales]]*150</f>
        <v>8703</v>
      </c>
      <c r="O261" s="2">
        <f>Pharma_Sales_Data[[#This Row],[Total Revenue]]*0.3</f>
        <v>2610.9</v>
      </c>
      <c r="P261" t="str">
        <f>IF(Pharma_Sales_Data[[#This Row],[Total Revenue]]&gt;20000,"High Value", IF(Pharma_Sales_Data[[#This Row],[Total Revenue]]&gt;=10000,"Medium Value","Low Value"))</f>
        <v>Low Value</v>
      </c>
    </row>
    <row r="262" spans="1:16" x14ac:dyDescent="0.35">
      <c r="A262" s="1">
        <v>41901</v>
      </c>
      <c r="B262">
        <v>2</v>
      </c>
      <c r="C262">
        <v>4.34</v>
      </c>
      <c r="D262">
        <v>7.8</v>
      </c>
      <c r="E262">
        <v>23</v>
      </c>
      <c r="F262">
        <v>8</v>
      </c>
      <c r="G262">
        <v>0</v>
      </c>
      <c r="H262">
        <v>22</v>
      </c>
      <c r="I262">
        <v>0</v>
      </c>
      <c r="J262">
        <v>2014</v>
      </c>
      <c r="K262">
        <v>9</v>
      </c>
      <c r="L262" t="s">
        <v>12</v>
      </c>
      <c r="M262">
        <f>SUM(Pharma_Sales_Data[[#This Row],[M01AB]:[R06]])</f>
        <v>67.14</v>
      </c>
      <c r="N262" s="2">
        <f>Pharma_Sales_Data[[#This Row],[Total Drug Sales]]*150</f>
        <v>10071</v>
      </c>
      <c r="O262" s="2">
        <f>Pharma_Sales_Data[[#This Row],[Total Revenue]]*0.3</f>
        <v>3021.2999999999997</v>
      </c>
      <c r="P262" t="str">
        <f>IF(Pharma_Sales_Data[[#This Row],[Total Revenue]]&gt;20000,"High Value", IF(Pharma_Sales_Data[[#This Row],[Total Revenue]]&gt;=10000,"Medium Value","Low Value"))</f>
        <v>Medium Value</v>
      </c>
    </row>
    <row r="263" spans="1:16" x14ac:dyDescent="0.35">
      <c r="A263" s="1">
        <v>41902</v>
      </c>
      <c r="B263">
        <v>4.34</v>
      </c>
      <c r="C263">
        <v>1.855</v>
      </c>
      <c r="D263">
        <v>4.5</v>
      </c>
      <c r="E263">
        <v>20.6</v>
      </c>
      <c r="F263">
        <v>14</v>
      </c>
      <c r="G263">
        <v>1</v>
      </c>
      <c r="H263">
        <v>2</v>
      </c>
      <c r="I263">
        <v>0</v>
      </c>
      <c r="J263">
        <v>2014</v>
      </c>
      <c r="K263">
        <v>9</v>
      </c>
      <c r="L263" t="s">
        <v>13</v>
      </c>
      <c r="M263">
        <f>SUM(Pharma_Sales_Data[[#This Row],[M01AB]:[R06]])</f>
        <v>48.295000000000002</v>
      </c>
      <c r="N263" s="2">
        <f>Pharma_Sales_Data[[#This Row],[Total Drug Sales]]*150</f>
        <v>7244.25</v>
      </c>
      <c r="O263" s="2">
        <f>Pharma_Sales_Data[[#This Row],[Total Revenue]]*0.3</f>
        <v>2173.2750000000001</v>
      </c>
      <c r="P263" t="str">
        <f>IF(Pharma_Sales_Data[[#This Row],[Total Revenue]]&gt;20000,"High Value", IF(Pharma_Sales_Data[[#This Row],[Total Revenue]]&gt;=10000,"Medium Value","Low Value"))</f>
        <v>Low Value</v>
      </c>
    </row>
    <row r="264" spans="1:16" x14ac:dyDescent="0.35">
      <c r="A264" s="1">
        <v>41903</v>
      </c>
      <c r="B264">
        <v>1</v>
      </c>
      <c r="C264">
        <v>3.02</v>
      </c>
      <c r="D264">
        <v>6</v>
      </c>
      <c r="E264">
        <v>12.4</v>
      </c>
      <c r="F264">
        <v>7</v>
      </c>
      <c r="G264">
        <v>0</v>
      </c>
      <c r="H264">
        <v>0</v>
      </c>
      <c r="I264">
        <v>3</v>
      </c>
      <c r="J264">
        <v>2014</v>
      </c>
      <c r="K264">
        <v>9</v>
      </c>
      <c r="L264" t="s">
        <v>14</v>
      </c>
      <c r="M264">
        <f>SUM(Pharma_Sales_Data[[#This Row],[M01AB]:[R06]])</f>
        <v>32.42</v>
      </c>
      <c r="N264" s="2">
        <f>Pharma_Sales_Data[[#This Row],[Total Drug Sales]]*150</f>
        <v>4863</v>
      </c>
      <c r="O264" s="2">
        <f>Pharma_Sales_Data[[#This Row],[Total Revenue]]*0.3</f>
        <v>1458.8999999999999</v>
      </c>
      <c r="P264" t="str">
        <f>IF(Pharma_Sales_Data[[#This Row],[Total Revenue]]&gt;20000,"High Value", IF(Pharma_Sales_Data[[#This Row],[Total Revenue]]&gt;=10000,"Medium Value","Low Value"))</f>
        <v>Low Value</v>
      </c>
    </row>
    <row r="265" spans="1:16" x14ac:dyDescent="0.35">
      <c r="A265" s="1">
        <v>41904</v>
      </c>
      <c r="B265">
        <v>3.34</v>
      </c>
      <c r="C265">
        <v>4</v>
      </c>
      <c r="D265">
        <v>5.5</v>
      </c>
      <c r="E265">
        <v>34.200000000000003</v>
      </c>
      <c r="F265">
        <v>10</v>
      </c>
      <c r="G265">
        <v>1</v>
      </c>
      <c r="H265">
        <v>0</v>
      </c>
      <c r="I265">
        <v>2</v>
      </c>
      <c r="J265">
        <v>2014</v>
      </c>
      <c r="K265">
        <v>9</v>
      </c>
      <c r="L265" t="s">
        <v>15</v>
      </c>
      <c r="M265">
        <f>SUM(Pharma_Sales_Data[[#This Row],[M01AB]:[R06]])</f>
        <v>60.040000000000006</v>
      </c>
      <c r="N265" s="2">
        <f>Pharma_Sales_Data[[#This Row],[Total Drug Sales]]*150</f>
        <v>9006.0000000000018</v>
      </c>
      <c r="O265" s="2">
        <f>Pharma_Sales_Data[[#This Row],[Total Revenue]]*0.3</f>
        <v>2701.8000000000006</v>
      </c>
      <c r="P265" t="str">
        <f>IF(Pharma_Sales_Data[[#This Row],[Total Revenue]]&gt;20000,"High Value", IF(Pharma_Sales_Data[[#This Row],[Total Revenue]]&gt;=10000,"Medium Value","Low Value"))</f>
        <v>Low Value</v>
      </c>
    </row>
    <row r="266" spans="1:16" x14ac:dyDescent="0.35">
      <c r="A266" s="1">
        <v>41905</v>
      </c>
      <c r="B266">
        <v>3</v>
      </c>
      <c r="C266">
        <v>3.34</v>
      </c>
      <c r="D266">
        <v>5.5</v>
      </c>
      <c r="E266">
        <v>26</v>
      </c>
      <c r="F266">
        <v>10</v>
      </c>
      <c r="G266">
        <v>0</v>
      </c>
      <c r="H266">
        <v>1</v>
      </c>
      <c r="I266">
        <v>2</v>
      </c>
      <c r="J266">
        <v>2014</v>
      </c>
      <c r="K266">
        <v>9</v>
      </c>
      <c r="L266" t="s">
        <v>16</v>
      </c>
      <c r="M266">
        <f>SUM(Pharma_Sales_Data[[#This Row],[M01AB]:[R06]])</f>
        <v>50.84</v>
      </c>
      <c r="N266" s="2">
        <f>Pharma_Sales_Data[[#This Row],[Total Drug Sales]]*150</f>
        <v>7626.0000000000009</v>
      </c>
      <c r="O266" s="2">
        <f>Pharma_Sales_Data[[#This Row],[Total Revenue]]*0.3</f>
        <v>2287.8000000000002</v>
      </c>
      <c r="P266" t="str">
        <f>IF(Pharma_Sales_Data[[#This Row],[Total Revenue]]&gt;20000,"High Value", IF(Pharma_Sales_Data[[#This Row],[Total Revenue]]&gt;=10000,"Medium Value","Low Value"))</f>
        <v>Low Value</v>
      </c>
    </row>
    <row r="267" spans="1:16" x14ac:dyDescent="0.35">
      <c r="A267" s="1">
        <v>41906</v>
      </c>
      <c r="B267">
        <v>6</v>
      </c>
      <c r="C267">
        <v>3.34</v>
      </c>
      <c r="D267">
        <v>1.4</v>
      </c>
      <c r="E267">
        <v>24.7</v>
      </c>
      <c r="F267">
        <v>14</v>
      </c>
      <c r="G267">
        <v>0</v>
      </c>
      <c r="H267">
        <v>0</v>
      </c>
      <c r="I267">
        <v>0</v>
      </c>
      <c r="J267">
        <v>2014</v>
      </c>
      <c r="K267">
        <v>9</v>
      </c>
      <c r="L267" t="s">
        <v>17</v>
      </c>
      <c r="M267">
        <f>SUM(Pharma_Sales_Data[[#This Row],[M01AB]:[R06]])</f>
        <v>49.44</v>
      </c>
      <c r="N267" s="2">
        <f>Pharma_Sales_Data[[#This Row],[Total Drug Sales]]*150</f>
        <v>7416</v>
      </c>
      <c r="O267" s="2">
        <f>Pharma_Sales_Data[[#This Row],[Total Revenue]]*0.3</f>
        <v>2224.7999999999997</v>
      </c>
      <c r="P267" t="str">
        <f>IF(Pharma_Sales_Data[[#This Row],[Total Revenue]]&gt;20000,"High Value", IF(Pharma_Sales_Data[[#This Row],[Total Revenue]]&gt;=10000,"Medium Value","Low Value"))</f>
        <v>Low Value</v>
      </c>
    </row>
    <row r="268" spans="1:16" x14ac:dyDescent="0.35">
      <c r="A268" s="1">
        <v>41907</v>
      </c>
      <c r="B268">
        <v>4.68</v>
      </c>
      <c r="C268">
        <v>6.34</v>
      </c>
      <c r="D268">
        <v>8.1999999999999993</v>
      </c>
      <c r="E268">
        <v>49.15</v>
      </c>
      <c r="F268">
        <v>15</v>
      </c>
      <c r="G268">
        <v>1</v>
      </c>
      <c r="H268">
        <v>1</v>
      </c>
      <c r="I268">
        <v>5</v>
      </c>
      <c r="J268">
        <v>2014</v>
      </c>
      <c r="K268">
        <v>9</v>
      </c>
      <c r="L268" t="s">
        <v>11</v>
      </c>
      <c r="M268">
        <f>SUM(Pharma_Sales_Data[[#This Row],[M01AB]:[R06]])</f>
        <v>90.37</v>
      </c>
      <c r="N268" s="2">
        <f>Pharma_Sales_Data[[#This Row],[Total Drug Sales]]*150</f>
        <v>13555.5</v>
      </c>
      <c r="O268" s="2">
        <f>Pharma_Sales_Data[[#This Row],[Total Revenue]]*0.3</f>
        <v>4066.6499999999996</v>
      </c>
      <c r="P268" t="str">
        <f>IF(Pharma_Sales_Data[[#This Row],[Total Revenue]]&gt;20000,"High Value", IF(Pharma_Sales_Data[[#This Row],[Total Revenue]]&gt;=10000,"Medium Value","Low Value"))</f>
        <v>Medium Value</v>
      </c>
    </row>
    <row r="269" spans="1:16" x14ac:dyDescent="0.35">
      <c r="A269" s="1">
        <v>41908</v>
      </c>
      <c r="B269">
        <v>4</v>
      </c>
      <c r="C269">
        <v>3.68</v>
      </c>
      <c r="D269">
        <v>3.5</v>
      </c>
      <c r="E269">
        <v>38</v>
      </c>
      <c r="F269">
        <v>22</v>
      </c>
      <c r="G269">
        <v>2</v>
      </c>
      <c r="H269">
        <v>0</v>
      </c>
      <c r="I269">
        <v>1</v>
      </c>
      <c r="J269">
        <v>2014</v>
      </c>
      <c r="K269">
        <v>9</v>
      </c>
      <c r="L269" t="s">
        <v>12</v>
      </c>
      <c r="M269">
        <f>SUM(Pharma_Sales_Data[[#This Row],[M01AB]:[R06]])</f>
        <v>74.180000000000007</v>
      </c>
      <c r="N269" s="2">
        <f>Pharma_Sales_Data[[#This Row],[Total Drug Sales]]*150</f>
        <v>11127.000000000002</v>
      </c>
      <c r="O269" s="2">
        <f>Pharma_Sales_Data[[#This Row],[Total Revenue]]*0.3</f>
        <v>3338.1000000000004</v>
      </c>
      <c r="P269" t="str">
        <f>IF(Pharma_Sales_Data[[#This Row],[Total Revenue]]&gt;20000,"High Value", IF(Pharma_Sales_Data[[#This Row],[Total Revenue]]&gt;=10000,"Medium Value","Low Value"))</f>
        <v>Medium Value</v>
      </c>
    </row>
    <row r="270" spans="1:16" x14ac:dyDescent="0.35">
      <c r="A270" s="1">
        <v>41909</v>
      </c>
      <c r="B270">
        <v>4</v>
      </c>
      <c r="C270">
        <v>2</v>
      </c>
      <c r="D270">
        <v>6</v>
      </c>
      <c r="E270">
        <v>46.3</v>
      </c>
      <c r="F270">
        <v>18</v>
      </c>
      <c r="G270">
        <v>0</v>
      </c>
      <c r="H270">
        <v>0</v>
      </c>
      <c r="I270">
        <v>4</v>
      </c>
      <c r="J270">
        <v>2014</v>
      </c>
      <c r="K270">
        <v>9</v>
      </c>
      <c r="L270" t="s">
        <v>13</v>
      </c>
      <c r="M270">
        <f>SUM(Pharma_Sales_Data[[#This Row],[M01AB]:[R06]])</f>
        <v>80.3</v>
      </c>
      <c r="N270" s="2">
        <f>Pharma_Sales_Data[[#This Row],[Total Drug Sales]]*150</f>
        <v>12045</v>
      </c>
      <c r="O270" s="2">
        <f>Pharma_Sales_Data[[#This Row],[Total Revenue]]*0.3</f>
        <v>3613.5</v>
      </c>
      <c r="P270" t="str">
        <f>IF(Pharma_Sales_Data[[#This Row],[Total Revenue]]&gt;20000,"High Value", IF(Pharma_Sales_Data[[#This Row],[Total Revenue]]&gt;=10000,"Medium Value","Low Value"))</f>
        <v>Medium Value</v>
      </c>
    </row>
    <row r="271" spans="1:16" x14ac:dyDescent="0.35">
      <c r="A271" s="1">
        <v>41910</v>
      </c>
      <c r="B271">
        <v>0.34</v>
      </c>
      <c r="C271">
        <v>2.68</v>
      </c>
      <c r="D271">
        <v>1</v>
      </c>
      <c r="E271">
        <v>21.2</v>
      </c>
      <c r="F271">
        <v>6</v>
      </c>
      <c r="G271">
        <v>0</v>
      </c>
      <c r="H271">
        <v>0</v>
      </c>
      <c r="I271">
        <v>2</v>
      </c>
      <c r="J271">
        <v>2014</v>
      </c>
      <c r="K271">
        <v>9</v>
      </c>
      <c r="L271" t="s">
        <v>14</v>
      </c>
      <c r="M271">
        <f>SUM(Pharma_Sales_Data[[#This Row],[M01AB]:[R06]])</f>
        <v>33.22</v>
      </c>
      <c r="N271" s="2">
        <f>Pharma_Sales_Data[[#This Row],[Total Drug Sales]]*150</f>
        <v>4983</v>
      </c>
      <c r="O271" s="2">
        <f>Pharma_Sales_Data[[#This Row],[Total Revenue]]*0.3</f>
        <v>1494.8999999999999</v>
      </c>
      <c r="P271" t="str">
        <f>IF(Pharma_Sales_Data[[#This Row],[Total Revenue]]&gt;20000,"High Value", IF(Pharma_Sales_Data[[#This Row],[Total Revenue]]&gt;=10000,"Medium Value","Low Value"))</f>
        <v>Low Value</v>
      </c>
    </row>
    <row r="272" spans="1:16" x14ac:dyDescent="0.35">
      <c r="A272" s="1">
        <v>41911</v>
      </c>
      <c r="B272">
        <v>7</v>
      </c>
      <c r="C272">
        <v>3.68</v>
      </c>
      <c r="D272">
        <v>2.2999999999999998</v>
      </c>
      <c r="E272">
        <v>29.8</v>
      </c>
      <c r="F272">
        <v>12</v>
      </c>
      <c r="G272">
        <v>0</v>
      </c>
      <c r="H272">
        <v>10</v>
      </c>
      <c r="I272">
        <v>4</v>
      </c>
      <c r="J272">
        <v>2014</v>
      </c>
      <c r="K272">
        <v>9</v>
      </c>
      <c r="L272" t="s">
        <v>15</v>
      </c>
      <c r="M272">
        <f>SUM(Pharma_Sales_Data[[#This Row],[M01AB]:[R06]])</f>
        <v>68.78</v>
      </c>
      <c r="N272" s="2">
        <f>Pharma_Sales_Data[[#This Row],[Total Drug Sales]]*150</f>
        <v>10317</v>
      </c>
      <c r="O272" s="2">
        <f>Pharma_Sales_Data[[#This Row],[Total Revenue]]*0.3</f>
        <v>3095.1</v>
      </c>
      <c r="P272" t="str">
        <f>IF(Pharma_Sales_Data[[#This Row],[Total Revenue]]&gt;20000,"High Value", IF(Pharma_Sales_Data[[#This Row],[Total Revenue]]&gt;=10000,"Medium Value","Low Value"))</f>
        <v>Medium Value</v>
      </c>
    </row>
    <row r="273" spans="1:16" x14ac:dyDescent="0.35">
      <c r="A273" s="1">
        <v>41912</v>
      </c>
      <c r="B273">
        <v>10</v>
      </c>
      <c r="C273">
        <v>5.34</v>
      </c>
      <c r="D273">
        <v>4</v>
      </c>
      <c r="E273">
        <v>61.3</v>
      </c>
      <c r="F273">
        <v>10</v>
      </c>
      <c r="G273">
        <v>2</v>
      </c>
      <c r="H273">
        <v>22</v>
      </c>
      <c r="I273">
        <v>2</v>
      </c>
      <c r="J273">
        <v>2014</v>
      </c>
      <c r="K273">
        <v>9</v>
      </c>
      <c r="L273" t="s">
        <v>16</v>
      </c>
      <c r="M273">
        <f>SUM(Pharma_Sales_Data[[#This Row],[M01AB]:[R06]])</f>
        <v>116.64</v>
      </c>
      <c r="N273" s="2">
        <f>Pharma_Sales_Data[[#This Row],[Total Drug Sales]]*150</f>
        <v>17496</v>
      </c>
      <c r="O273" s="2">
        <f>Pharma_Sales_Data[[#This Row],[Total Revenue]]*0.3</f>
        <v>5248.8</v>
      </c>
      <c r="P273" t="str">
        <f>IF(Pharma_Sales_Data[[#This Row],[Total Revenue]]&gt;20000,"High Value", IF(Pharma_Sales_Data[[#This Row],[Total Revenue]]&gt;=10000,"Medium Value","Low Value"))</f>
        <v>Medium Value</v>
      </c>
    </row>
    <row r="274" spans="1:16" x14ac:dyDescent="0.35">
      <c r="A274" s="1">
        <v>41913</v>
      </c>
      <c r="B274">
        <v>2.34</v>
      </c>
      <c r="C274">
        <v>0</v>
      </c>
      <c r="D274">
        <v>2.4</v>
      </c>
      <c r="E274">
        <v>44</v>
      </c>
      <c r="F274">
        <v>15</v>
      </c>
      <c r="G274">
        <v>0</v>
      </c>
      <c r="H274">
        <v>11</v>
      </c>
      <c r="I274">
        <v>2</v>
      </c>
      <c r="J274">
        <v>2014</v>
      </c>
      <c r="K274">
        <v>10</v>
      </c>
      <c r="L274" t="s">
        <v>17</v>
      </c>
      <c r="M274">
        <f>SUM(Pharma_Sales_Data[[#This Row],[M01AB]:[R06]])</f>
        <v>76.740000000000009</v>
      </c>
      <c r="N274" s="2">
        <f>Pharma_Sales_Data[[#This Row],[Total Drug Sales]]*150</f>
        <v>11511.000000000002</v>
      </c>
      <c r="O274" s="2">
        <f>Pharma_Sales_Data[[#This Row],[Total Revenue]]*0.3</f>
        <v>3453.3000000000006</v>
      </c>
      <c r="P274" t="str">
        <f>IF(Pharma_Sales_Data[[#This Row],[Total Revenue]]&gt;20000,"High Value", IF(Pharma_Sales_Data[[#This Row],[Total Revenue]]&gt;=10000,"Medium Value","Low Value"))</f>
        <v>Medium Value</v>
      </c>
    </row>
    <row r="275" spans="1:16" x14ac:dyDescent="0.35">
      <c r="A275" s="1">
        <v>41914</v>
      </c>
      <c r="B275">
        <v>2</v>
      </c>
      <c r="C275">
        <v>4.99</v>
      </c>
      <c r="D275">
        <v>5</v>
      </c>
      <c r="E275">
        <v>23.9</v>
      </c>
      <c r="F275">
        <v>11</v>
      </c>
      <c r="G275">
        <v>0</v>
      </c>
      <c r="H275">
        <v>2</v>
      </c>
      <c r="I275">
        <v>1</v>
      </c>
      <c r="J275">
        <v>2014</v>
      </c>
      <c r="K275">
        <v>10</v>
      </c>
      <c r="L275" t="s">
        <v>11</v>
      </c>
      <c r="M275">
        <f>SUM(Pharma_Sales_Data[[#This Row],[M01AB]:[R06]])</f>
        <v>49.89</v>
      </c>
      <c r="N275" s="2">
        <f>Pharma_Sales_Data[[#This Row],[Total Drug Sales]]*150</f>
        <v>7483.5</v>
      </c>
      <c r="O275" s="2">
        <f>Pharma_Sales_Data[[#This Row],[Total Revenue]]*0.3</f>
        <v>2245.0499999999997</v>
      </c>
      <c r="P275" t="str">
        <f>IF(Pharma_Sales_Data[[#This Row],[Total Revenue]]&gt;20000,"High Value", IF(Pharma_Sales_Data[[#This Row],[Total Revenue]]&gt;=10000,"Medium Value","Low Value"))</f>
        <v>Low Value</v>
      </c>
    </row>
    <row r="276" spans="1:16" x14ac:dyDescent="0.35">
      <c r="A276" s="1">
        <v>41915</v>
      </c>
      <c r="B276">
        <v>4.33</v>
      </c>
      <c r="C276">
        <v>1.34</v>
      </c>
      <c r="D276">
        <v>5.9</v>
      </c>
      <c r="E276">
        <v>44.14</v>
      </c>
      <c r="F276">
        <v>12</v>
      </c>
      <c r="G276">
        <v>0</v>
      </c>
      <c r="H276">
        <v>11</v>
      </c>
      <c r="I276">
        <v>2</v>
      </c>
      <c r="J276">
        <v>2014</v>
      </c>
      <c r="K276">
        <v>10</v>
      </c>
      <c r="L276" t="s">
        <v>12</v>
      </c>
      <c r="M276">
        <f>SUM(Pharma_Sales_Data[[#This Row],[M01AB]:[R06]])</f>
        <v>80.710000000000008</v>
      </c>
      <c r="N276" s="2">
        <f>Pharma_Sales_Data[[#This Row],[Total Drug Sales]]*150</f>
        <v>12106.500000000002</v>
      </c>
      <c r="O276" s="2">
        <f>Pharma_Sales_Data[[#This Row],[Total Revenue]]*0.3</f>
        <v>3631.9500000000003</v>
      </c>
      <c r="P276" t="str">
        <f>IF(Pharma_Sales_Data[[#This Row],[Total Revenue]]&gt;20000,"High Value", IF(Pharma_Sales_Data[[#This Row],[Total Revenue]]&gt;=10000,"Medium Value","Low Value"))</f>
        <v>Medium Value</v>
      </c>
    </row>
    <row r="277" spans="1:16" x14ac:dyDescent="0.35">
      <c r="A277" s="1">
        <v>41916</v>
      </c>
      <c r="B277">
        <v>4.68</v>
      </c>
      <c r="C277">
        <v>7.766</v>
      </c>
      <c r="D277">
        <v>8</v>
      </c>
      <c r="E277">
        <v>49.9</v>
      </c>
      <c r="F277">
        <v>12</v>
      </c>
      <c r="G277">
        <v>1</v>
      </c>
      <c r="H277">
        <v>25</v>
      </c>
      <c r="I277">
        <v>0</v>
      </c>
      <c r="J277">
        <v>2014</v>
      </c>
      <c r="K277">
        <v>10</v>
      </c>
      <c r="L277" t="s">
        <v>13</v>
      </c>
      <c r="M277">
        <f>SUM(Pharma_Sales_Data[[#This Row],[M01AB]:[R06]])</f>
        <v>108.346</v>
      </c>
      <c r="N277" s="2">
        <f>Pharma_Sales_Data[[#This Row],[Total Drug Sales]]*150</f>
        <v>16251.900000000001</v>
      </c>
      <c r="O277" s="2">
        <f>Pharma_Sales_Data[[#This Row],[Total Revenue]]*0.3</f>
        <v>4875.5700000000006</v>
      </c>
      <c r="P277" t="str">
        <f>IF(Pharma_Sales_Data[[#This Row],[Total Revenue]]&gt;20000,"High Value", IF(Pharma_Sales_Data[[#This Row],[Total Revenue]]&gt;=10000,"Medium Value","Low Value"))</f>
        <v>Medium Value</v>
      </c>
    </row>
    <row r="278" spans="1:16" x14ac:dyDescent="0.35">
      <c r="A278" s="1">
        <v>41917</v>
      </c>
      <c r="B278">
        <v>2</v>
      </c>
      <c r="C278">
        <v>3.34</v>
      </c>
      <c r="D278">
        <v>3</v>
      </c>
      <c r="E278">
        <v>19</v>
      </c>
      <c r="F278">
        <v>1</v>
      </c>
      <c r="G278">
        <v>0</v>
      </c>
      <c r="H278">
        <v>0</v>
      </c>
      <c r="I278">
        <v>3</v>
      </c>
      <c r="J278">
        <v>2014</v>
      </c>
      <c r="K278">
        <v>10</v>
      </c>
      <c r="L278" t="s">
        <v>14</v>
      </c>
      <c r="M278">
        <f>SUM(Pharma_Sales_Data[[#This Row],[M01AB]:[R06]])</f>
        <v>31.34</v>
      </c>
      <c r="N278" s="2">
        <f>Pharma_Sales_Data[[#This Row],[Total Drug Sales]]*150</f>
        <v>4701</v>
      </c>
      <c r="O278" s="2">
        <f>Pharma_Sales_Data[[#This Row],[Total Revenue]]*0.3</f>
        <v>1410.3</v>
      </c>
      <c r="P278" t="str">
        <f>IF(Pharma_Sales_Data[[#This Row],[Total Revenue]]&gt;20000,"High Value", IF(Pharma_Sales_Data[[#This Row],[Total Revenue]]&gt;=10000,"Medium Value","Low Value"))</f>
        <v>Low Value</v>
      </c>
    </row>
    <row r="279" spans="1:16" x14ac:dyDescent="0.35">
      <c r="A279" s="1">
        <v>41918</v>
      </c>
      <c r="B279">
        <v>5.34</v>
      </c>
      <c r="C279">
        <v>1.365</v>
      </c>
      <c r="D279">
        <v>2.4</v>
      </c>
      <c r="E279">
        <v>69.875</v>
      </c>
      <c r="F279">
        <v>13</v>
      </c>
      <c r="G279">
        <v>1</v>
      </c>
      <c r="H279">
        <v>0</v>
      </c>
      <c r="I279">
        <v>1</v>
      </c>
      <c r="J279">
        <v>2014</v>
      </c>
      <c r="K279">
        <v>10</v>
      </c>
      <c r="L279" t="s">
        <v>15</v>
      </c>
      <c r="M279">
        <f>SUM(Pharma_Sales_Data[[#This Row],[M01AB]:[R06]])</f>
        <v>93.98</v>
      </c>
      <c r="N279" s="2">
        <f>Pharma_Sales_Data[[#This Row],[Total Drug Sales]]*150</f>
        <v>14097</v>
      </c>
      <c r="O279" s="2">
        <f>Pharma_Sales_Data[[#This Row],[Total Revenue]]*0.3</f>
        <v>4229.0999999999995</v>
      </c>
      <c r="P279" t="str">
        <f>IF(Pharma_Sales_Data[[#This Row],[Total Revenue]]&gt;20000,"High Value", IF(Pharma_Sales_Data[[#This Row],[Total Revenue]]&gt;=10000,"Medium Value","Low Value"))</f>
        <v>Medium Value</v>
      </c>
    </row>
    <row r="280" spans="1:16" x14ac:dyDescent="0.35">
      <c r="A280" s="1">
        <v>41919</v>
      </c>
      <c r="B280">
        <v>3</v>
      </c>
      <c r="C280">
        <v>4.34</v>
      </c>
      <c r="D280">
        <v>2.2000000000000002</v>
      </c>
      <c r="E280">
        <v>41.7</v>
      </c>
      <c r="F280">
        <v>17</v>
      </c>
      <c r="G280">
        <v>1</v>
      </c>
      <c r="H280">
        <v>5</v>
      </c>
      <c r="I280">
        <v>0</v>
      </c>
      <c r="J280">
        <v>2014</v>
      </c>
      <c r="K280">
        <v>10</v>
      </c>
      <c r="L280" t="s">
        <v>16</v>
      </c>
      <c r="M280">
        <f>SUM(Pharma_Sales_Data[[#This Row],[M01AB]:[R06]])</f>
        <v>74.240000000000009</v>
      </c>
      <c r="N280" s="2">
        <f>Pharma_Sales_Data[[#This Row],[Total Drug Sales]]*150</f>
        <v>11136.000000000002</v>
      </c>
      <c r="O280" s="2">
        <f>Pharma_Sales_Data[[#This Row],[Total Revenue]]*0.3</f>
        <v>3340.8000000000006</v>
      </c>
      <c r="P280" t="str">
        <f>IF(Pharma_Sales_Data[[#This Row],[Total Revenue]]&gt;20000,"High Value", IF(Pharma_Sales_Data[[#This Row],[Total Revenue]]&gt;=10000,"Medium Value","Low Value"))</f>
        <v>Medium Value</v>
      </c>
    </row>
    <row r="281" spans="1:16" x14ac:dyDescent="0.35">
      <c r="A281" s="1">
        <v>41920</v>
      </c>
      <c r="B281">
        <v>3.68</v>
      </c>
      <c r="C281">
        <v>6</v>
      </c>
      <c r="D281">
        <v>7</v>
      </c>
      <c r="E281">
        <v>50</v>
      </c>
      <c r="F281">
        <v>17</v>
      </c>
      <c r="G281">
        <v>0</v>
      </c>
      <c r="H281">
        <v>0</v>
      </c>
      <c r="I281">
        <v>2</v>
      </c>
      <c r="J281">
        <v>2014</v>
      </c>
      <c r="K281">
        <v>10</v>
      </c>
      <c r="L281" t="s">
        <v>17</v>
      </c>
      <c r="M281">
        <f>SUM(Pharma_Sales_Data[[#This Row],[M01AB]:[R06]])</f>
        <v>85.68</v>
      </c>
      <c r="N281" s="2">
        <f>Pharma_Sales_Data[[#This Row],[Total Drug Sales]]*150</f>
        <v>12852.000000000002</v>
      </c>
      <c r="O281" s="2">
        <f>Pharma_Sales_Data[[#This Row],[Total Revenue]]*0.3</f>
        <v>3855.6000000000004</v>
      </c>
      <c r="P281" t="str">
        <f>IF(Pharma_Sales_Data[[#This Row],[Total Revenue]]&gt;20000,"High Value", IF(Pharma_Sales_Data[[#This Row],[Total Revenue]]&gt;=10000,"Medium Value","Low Value"))</f>
        <v>Medium Value</v>
      </c>
    </row>
    <row r="282" spans="1:16" x14ac:dyDescent="0.35">
      <c r="A282" s="1">
        <v>41921</v>
      </c>
      <c r="B282">
        <v>1</v>
      </c>
      <c r="C282">
        <v>4.6900000000000004</v>
      </c>
      <c r="D282">
        <v>6</v>
      </c>
      <c r="E282">
        <v>48.2</v>
      </c>
      <c r="F282">
        <v>10</v>
      </c>
      <c r="G282">
        <v>2</v>
      </c>
      <c r="H282">
        <v>5</v>
      </c>
      <c r="I282">
        <v>0</v>
      </c>
      <c r="J282">
        <v>2014</v>
      </c>
      <c r="K282">
        <v>10</v>
      </c>
      <c r="L282" t="s">
        <v>11</v>
      </c>
      <c r="M282">
        <f>SUM(Pharma_Sales_Data[[#This Row],[M01AB]:[R06]])</f>
        <v>76.89</v>
      </c>
      <c r="N282" s="2">
        <f>Pharma_Sales_Data[[#This Row],[Total Drug Sales]]*150</f>
        <v>11533.5</v>
      </c>
      <c r="O282" s="2">
        <f>Pharma_Sales_Data[[#This Row],[Total Revenue]]*0.3</f>
        <v>3460.0499999999997</v>
      </c>
      <c r="P282" t="str">
        <f>IF(Pharma_Sales_Data[[#This Row],[Total Revenue]]&gt;20000,"High Value", IF(Pharma_Sales_Data[[#This Row],[Total Revenue]]&gt;=10000,"Medium Value","Low Value"))</f>
        <v>Medium Value</v>
      </c>
    </row>
    <row r="283" spans="1:16" x14ac:dyDescent="0.35">
      <c r="A283" s="1">
        <v>41922</v>
      </c>
      <c r="B283">
        <v>4.34</v>
      </c>
      <c r="C283">
        <v>2.68</v>
      </c>
      <c r="D283">
        <v>9</v>
      </c>
      <c r="E283">
        <v>28.8</v>
      </c>
      <c r="F283">
        <v>24</v>
      </c>
      <c r="G283">
        <v>3</v>
      </c>
      <c r="H283">
        <v>6</v>
      </c>
      <c r="I283">
        <v>0.5</v>
      </c>
      <c r="J283">
        <v>2014</v>
      </c>
      <c r="K283">
        <v>10</v>
      </c>
      <c r="L283" t="s">
        <v>12</v>
      </c>
      <c r="M283">
        <f>SUM(Pharma_Sales_Data[[#This Row],[M01AB]:[R06]])</f>
        <v>78.319999999999993</v>
      </c>
      <c r="N283" s="2">
        <f>Pharma_Sales_Data[[#This Row],[Total Drug Sales]]*150</f>
        <v>11747.999999999998</v>
      </c>
      <c r="O283" s="2">
        <f>Pharma_Sales_Data[[#This Row],[Total Revenue]]*0.3</f>
        <v>3524.3999999999992</v>
      </c>
      <c r="P283" t="str">
        <f>IF(Pharma_Sales_Data[[#This Row],[Total Revenue]]&gt;20000,"High Value", IF(Pharma_Sales_Data[[#This Row],[Total Revenue]]&gt;=10000,"Medium Value","Low Value"))</f>
        <v>Medium Value</v>
      </c>
    </row>
    <row r="284" spans="1:16" x14ac:dyDescent="0.35">
      <c r="A284" s="1">
        <v>41923</v>
      </c>
      <c r="B284">
        <v>3.34</v>
      </c>
      <c r="C284">
        <v>3.68</v>
      </c>
      <c r="D284">
        <v>5</v>
      </c>
      <c r="E284">
        <v>35.9</v>
      </c>
      <c r="F284">
        <v>15</v>
      </c>
      <c r="G284">
        <v>0</v>
      </c>
      <c r="H284">
        <v>0</v>
      </c>
      <c r="I284">
        <v>5</v>
      </c>
      <c r="J284">
        <v>2014</v>
      </c>
      <c r="K284">
        <v>10</v>
      </c>
      <c r="L284" t="s">
        <v>13</v>
      </c>
      <c r="M284">
        <f>SUM(Pharma_Sales_Data[[#This Row],[M01AB]:[R06]])</f>
        <v>67.92</v>
      </c>
      <c r="N284" s="2">
        <f>Pharma_Sales_Data[[#This Row],[Total Drug Sales]]*150</f>
        <v>10188</v>
      </c>
      <c r="O284" s="2">
        <f>Pharma_Sales_Data[[#This Row],[Total Revenue]]*0.3</f>
        <v>3056.4</v>
      </c>
      <c r="P284" t="str">
        <f>IF(Pharma_Sales_Data[[#This Row],[Total Revenue]]&gt;20000,"High Value", IF(Pharma_Sales_Data[[#This Row],[Total Revenue]]&gt;=10000,"Medium Value","Low Value"))</f>
        <v>Medium Value</v>
      </c>
    </row>
    <row r="285" spans="1:16" x14ac:dyDescent="0.35">
      <c r="A285" s="1">
        <v>41924</v>
      </c>
      <c r="B285">
        <v>3</v>
      </c>
      <c r="C285">
        <v>0.33</v>
      </c>
      <c r="D285">
        <v>1.5</v>
      </c>
      <c r="E285">
        <v>22.5</v>
      </c>
      <c r="F285">
        <v>7</v>
      </c>
      <c r="G285">
        <v>0</v>
      </c>
      <c r="H285">
        <v>5</v>
      </c>
      <c r="I285">
        <v>2</v>
      </c>
      <c r="J285">
        <v>2014</v>
      </c>
      <c r="K285">
        <v>10</v>
      </c>
      <c r="L285" t="s">
        <v>14</v>
      </c>
      <c r="M285">
        <f>SUM(Pharma_Sales_Data[[#This Row],[M01AB]:[R06]])</f>
        <v>41.33</v>
      </c>
      <c r="N285" s="2">
        <f>Pharma_Sales_Data[[#This Row],[Total Drug Sales]]*150</f>
        <v>6199.5</v>
      </c>
      <c r="O285" s="2">
        <f>Pharma_Sales_Data[[#This Row],[Total Revenue]]*0.3</f>
        <v>1859.85</v>
      </c>
      <c r="P285" t="str">
        <f>IF(Pharma_Sales_Data[[#This Row],[Total Revenue]]&gt;20000,"High Value", IF(Pharma_Sales_Data[[#This Row],[Total Revenue]]&gt;=10000,"Medium Value","Low Value"))</f>
        <v>Low Value</v>
      </c>
    </row>
    <row r="286" spans="1:16" x14ac:dyDescent="0.35">
      <c r="A286" s="1">
        <v>41925</v>
      </c>
      <c r="B286">
        <v>1.68</v>
      </c>
      <c r="C286">
        <v>4</v>
      </c>
      <c r="D286">
        <v>6.2</v>
      </c>
      <c r="E286">
        <v>31.9</v>
      </c>
      <c r="F286">
        <v>11</v>
      </c>
      <c r="G286">
        <v>0</v>
      </c>
      <c r="H286">
        <v>1</v>
      </c>
      <c r="I286">
        <v>2</v>
      </c>
      <c r="J286">
        <v>2014</v>
      </c>
      <c r="K286">
        <v>10</v>
      </c>
      <c r="L286" t="s">
        <v>15</v>
      </c>
      <c r="M286">
        <f>SUM(Pharma_Sales_Data[[#This Row],[M01AB]:[R06]])</f>
        <v>57.78</v>
      </c>
      <c r="N286" s="2">
        <f>Pharma_Sales_Data[[#This Row],[Total Drug Sales]]*150</f>
        <v>8667</v>
      </c>
      <c r="O286" s="2">
        <f>Pharma_Sales_Data[[#This Row],[Total Revenue]]*0.3</f>
        <v>2600.1</v>
      </c>
      <c r="P286" t="str">
        <f>IF(Pharma_Sales_Data[[#This Row],[Total Revenue]]&gt;20000,"High Value", IF(Pharma_Sales_Data[[#This Row],[Total Revenue]]&gt;=10000,"Medium Value","Low Value"))</f>
        <v>Low Value</v>
      </c>
    </row>
    <row r="287" spans="1:16" x14ac:dyDescent="0.35">
      <c r="A287" s="1">
        <v>41926</v>
      </c>
      <c r="B287">
        <v>3</v>
      </c>
      <c r="C287">
        <v>5.41</v>
      </c>
      <c r="D287">
        <v>4.8</v>
      </c>
      <c r="E287">
        <v>31.8</v>
      </c>
      <c r="F287">
        <v>7</v>
      </c>
      <c r="G287">
        <v>0</v>
      </c>
      <c r="H287">
        <v>11</v>
      </c>
      <c r="I287">
        <v>0</v>
      </c>
      <c r="J287">
        <v>2014</v>
      </c>
      <c r="K287">
        <v>10</v>
      </c>
      <c r="L287" t="s">
        <v>16</v>
      </c>
      <c r="M287">
        <f>SUM(Pharma_Sales_Data[[#This Row],[M01AB]:[R06]])</f>
        <v>63.010000000000005</v>
      </c>
      <c r="N287" s="2">
        <f>Pharma_Sales_Data[[#This Row],[Total Drug Sales]]*150</f>
        <v>9451.5</v>
      </c>
      <c r="O287" s="2">
        <f>Pharma_Sales_Data[[#This Row],[Total Revenue]]*0.3</f>
        <v>2835.45</v>
      </c>
      <c r="P287" t="str">
        <f>IF(Pharma_Sales_Data[[#This Row],[Total Revenue]]&gt;20000,"High Value", IF(Pharma_Sales_Data[[#This Row],[Total Revenue]]&gt;=10000,"Medium Value","Low Value"))</f>
        <v>Low Value</v>
      </c>
    </row>
    <row r="288" spans="1:16" x14ac:dyDescent="0.35">
      <c r="A288" s="1">
        <v>41927</v>
      </c>
      <c r="B288">
        <v>1.33</v>
      </c>
      <c r="C288">
        <v>6.35</v>
      </c>
      <c r="D288">
        <v>3.5</v>
      </c>
      <c r="E288">
        <v>23.7</v>
      </c>
      <c r="F288">
        <v>14</v>
      </c>
      <c r="G288">
        <v>1</v>
      </c>
      <c r="H288">
        <v>2</v>
      </c>
      <c r="I288">
        <v>4</v>
      </c>
      <c r="J288">
        <v>2014</v>
      </c>
      <c r="K288">
        <v>10</v>
      </c>
      <c r="L288" t="s">
        <v>17</v>
      </c>
      <c r="M288">
        <f>SUM(Pharma_Sales_Data[[#This Row],[M01AB]:[R06]])</f>
        <v>55.879999999999995</v>
      </c>
      <c r="N288" s="2">
        <f>Pharma_Sales_Data[[#This Row],[Total Drug Sales]]*150</f>
        <v>8382</v>
      </c>
      <c r="O288" s="2">
        <f>Pharma_Sales_Data[[#This Row],[Total Revenue]]*0.3</f>
        <v>2514.6</v>
      </c>
      <c r="P288" t="str">
        <f>IF(Pharma_Sales_Data[[#This Row],[Total Revenue]]&gt;20000,"High Value", IF(Pharma_Sales_Data[[#This Row],[Total Revenue]]&gt;=10000,"Medium Value","Low Value"))</f>
        <v>Low Value</v>
      </c>
    </row>
    <row r="289" spans="1:16" x14ac:dyDescent="0.35">
      <c r="A289" s="1">
        <v>41928</v>
      </c>
      <c r="B289">
        <v>6.7750000000000004</v>
      </c>
      <c r="C289">
        <v>3.5103124999999999</v>
      </c>
      <c r="D289">
        <v>2.9375</v>
      </c>
      <c r="E289">
        <v>58.921875</v>
      </c>
      <c r="F289">
        <v>9.0625</v>
      </c>
      <c r="G289">
        <v>0.625</v>
      </c>
      <c r="H289">
        <v>5</v>
      </c>
      <c r="I289">
        <v>2.1875</v>
      </c>
      <c r="J289">
        <v>2014</v>
      </c>
      <c r="K289">
        <v>10</v>
      </c>
      <c r="L289" t="s">
        <v>11</v>
      </c>
      <c r="M289">
        <f>SUM(Pharma_Sales_Data[[#This Row],[M01AB]:[R06]])</f>
        <v>89.019687500000003</v>
      </c>
      <c r="N289" s="2">
        <f>Pharma_Sales_Data[[#This Row],[Total Drug Sales]]*150</f>
        <v>13352.953125</v>
      </c>
      <c r="O289" s="2">
        <f>Pharma_Sales_Data[[#This Row],[Total Revenue]]*0.3</f>
        <v>4005.8859374999997</v>
      </c>
      <c r="P289" t="str">
        <f>IF(Pharma_Sales_Data[[#This Row],[Total Revenue]]&gt;20000,"High Value", IF(Pharma_Sales_Data[[#This Row],[Total Revenue]]&gt;=10000,"Medium Value","Low Value"))</f>
        <v>Medium Value</v>
      </c>
    </row>
    <row r="290" spans="1:16" x14ac:dyDescent="0.35">
      <c r="A290" s="1">
        <v>41929</v>
      </c>
      <c r="B290">
        <v>3</v>
      </c>
      <c r="C290">
        <v>2.34</v>
      </c>
      <c r="D290">
        <v>3.4</v>
      </c>
      <c r="E290">
        <v>42</v>
      </c>
      <c r="F290">
        <v>22</v>
      </c>
      <c r="G290">
        <v>3</v>
      </c>
      <c r="H290">
        <v>0</v>
      </c>
      <c r="I290">
        <v>2</v>
      </c>
      <c r="J290">
        <v>2014</v>
      </c>
      <c r="K290">
        <v>10</v>
      </c>
      <c r="L290" t="s">
        <v>12</v>
      </c>
      <c r="M290">
        <f>SUM(Pharma_Sales_Data[[#This Row],[M01AB]:[R06]])</f>
        <v>77.740000000000009</v>
      </c>
      <c r="N290" s="2">
        <f>Pharma_Sales_Data[[#This Row],[Total Drug Sales]]*150</f>
        <v>11661.000000000002</v>
      </c>
      <c r="O290" s="2">
        <f>Pharma_Sales_Data[[#This Row],[Total Revenue]]*0.3</f>
        <v>3498.3000000000006</v>
      </c>
      <c r="P290" t="str">
        <f>IF(Pharma_Sales_Data[[#This Row],[Total Revenue]]&gt;20000,"High Value", IF(Pharma_Sales_Data[[#This Row],[Total Revenue]]&gt;=10000,"Medium Value","Low Value"))</f>
        <v>Medium Value</v>
      </c>
    </row>
    <row r="291" spans="1:16" x14ac:dyDescent="0.35">
      <c r="A291" s="1">
        <v>41930</v>
      </c>
      <c r="B291">
        <v>4</v>
      </c>
      <c r="C291">
        <v>6</v>
      </c>
      <c r="D291">
        <v>5.5</v>
      </c>
      <c r="E291">
        <v>21.4</v>
      </c>
      <c r="F291">
        <v>24</v>
      </c>
      <c r="G291">
        <v>0</v>
      </c>
      <c r="H291">
        <v>3</v>
      </c>
      <c r="I291">
        <v>2</v>
      </c>
      <c r="J291">
        <v>2014</v>
      </c>
      <c r="K291">
        <v>10</v>
      </c>
      <c r="L291" t="s">
        <v>13</v>
      </c>
      <c r="M291">
        <f>SUM(Pharma_Sales_Data[[#This Row],[M01AB]:[R06]])</f>
        <v>65.900000000000006</v>
      </c>
      <c r="N291" s="2">
        <f>Pharma_Sales_Data[[#This Row],[Total Drug Sales]]*150</f>
        <v>9885</v>
      </c>
      <c r="O291" s="2">
        <f>Pharma_Sales_Data[[#This Row],[Total Revenue]]*0.3</f>
        <v>2965.5</v>
      </c>
      <c r="P291" t="str">
        <f>IF(Pharma_Sales_Data[[#This Row],[Total Revenue]]&gt;20000,"High Value", IF(Pharma_Sales_Data[[#This Row],[Total Revenue]]&gt;=10000,"Medium Value","Low Value"))</f>
        <v>Low Value</v>
      </c>
    </row>
    <row r="292" spans="1:16" x14ac:dyDescent="0.35">
      <c r="A292" s="1">
        <v>41931</v>
      </c>
      <c r="B292">
        <v>3.33</v>
      </c>
      <c r="C292">
        <v>3</v>
      </c>
      <c r="D292">
        <v>2</v>
      </c>
      <c r="E292">
        <v>13.9</v>
      </c>
      <c r="F292">
        <v>9</v>
      </c>
      <c r="G292">
        <v>0</v>
      </c>
      <c r="H292">
        <v>6</v>
      </c>
      <c r="I292">
        <v>1</v>
      </c>
      <c r="J292">
        <v>2014</v>
      </c>
      <c r="K292">
        <v>10</v>
      </c>
      <c r="L292" t="s">
        <v>14</v>
      </c>
      <c r="M292">
        <f>SUM(Pharma_Sales_Data[[#This Row],[M01AB]:[R06]])</f>
        <v>38.230000000000004</v>
      </c>
      <c r="N292" s="2">
        <f>Pharma_Sales_Data[[#This Row],[Total Drug Sales]]*150</f>
        <v>5734.5000000000009</v>
      </c>
      <c r="O292" s="2">
        <f>Pharma_Sales_Data[[#This Row],[Total Revenue]]*0.3</f>
        <v>1720.3500000000001</v>
      </c>
      <c r="P292" t="str">
        <f>IF(Pharma_Sales_Data[[#This Row],[Total Revenue]]&gt;20000,"High Value", IF(Pharma_Sales_Data[[#This Row],[Total Revenue]]&gt;=10000,"Medium Value","Low Value"))</f>
        <v>Low Value</v>
      </c>
    </row>
    <row r="293" spans="1:16" x14ac:dyDescent="0.35">
      <c r="A293" s="1">
        <v>41932</v>
      </c>
      <c r="B293">
        <v>3.34</v>
      </c>
      <c r="C293">
        <v>5.66</v>
      </c>
      <c r="D293">
        <v>7.3</v>
      </c>
      <c r="E293">
        <v>35.4</v>
      </c>
      <c r="F293">
        <v>25</v>
      </c>
      <c r="G293">
        <v>2</v>
      </c>
      <c r="H293">
        <v>0</v>
      </c>
      <c r="I293">
        <v>1</v>
      </c>
      <c r="J293">
        <v>2014</v>
      </c>
      <c r="K293">
        <v>10</v>
      </c>
      <c r="L293" t="s">
        <v>15</v>
      </c>
      <c r="M293">
        <f>SUM(Pharma_Sales_Data[[#This Row],[M01AB]:[R06]])</f>
        <v>79.7</v>
      </c>
      <c r="N293" s="2">
        <f>Pharma_Sales_Data[[#This Row],[Total Drug Sales]]*150</f>
        <v>11955</v>
      </c>
      <c r="O293" s="2">
        <f>Pharma_Sales_Data[[#This Row],[Total Revenue]]*0.3</f>
        <v>3586.5</v>
      </c>
      <c r="P293" t="str">
        <f>IF(Pharma_Sales_Data[[#This Row],[Total Revenue]]&gt;20000,"High Value", IF(Pharma_Sales_Data[[#This Row],[Total Revenue]]&gt;=10000,"Medium Value","Low Value"))</f>
        <v>Medium Value</v>
      </c>
    </row>
    <row r="294" spans="1:16" x14ac:dyDescent="0.35">
      <c r="A294" s="1">
        <v>41933</v>
      </c>
      <c r="B294">
        <v>2.34</v>
      </c>
      <c r="C294">
        <v>4.34</v>
      </c>
      <c r="D294">
        <v>6.4</v>
      </c>
      <c r="E294">
        <v>14.3</v>
      </c>
      <c r="F294">
        <v>11</v>
      </c>
      <c r="G294">
        <v>0</v>
      </c>
      <c r="H294">
        <v>20</v>
      </c>
      <c r="I294">
        <v>1</v>
      </c>
      <c r="J294">
        <v>2014</v>
      </c>
      <c r="K294">
        <v>10</v>
      </c>
      <c r="L294" t="s">
        <v>16</v>
      </c>
      <c r="M294">
        <f>SUM(Pharma_Sales_Data[[#This Row],[M01AB]:[R06]])</f>
        <v>59.38</v>
      </c>
      <c r="N294" s="2">
        <f>Pharma_Sales_Data[[#This Row],[Total Drug Sales]]*150</f>
        <v>8907</v>
      </c>
      <c r="O294" s="2">
        <f>Pharma_Sales_Data[[#This Row],[Total Revenue]]*0.3</f>
        <v>2672.1</v>
      </c>
      <c r="P294" t="str">
        <f>IF(Pharma_Sales_Data[[#This Row],[Total Revenue]]&gt;20000,"High Value", IF(Pharma_Sales_Data[[#This Row],[Total Revenue]]&gt;=10000,"Medium Value","Low Value"))</f>
        <v>Low Value</v>
      </c>
    </row>
    <row r="295" spans="1:16" x14ac:dyDescent="0.35">
      <c r="A295" s="1">
        <v>41934</v>
      </c>
      <c r="B295">
        <v>3.33</v>
      </c>
      <c r="C295">
        <v>2</v>
      </c>
      <c r="D295">
        <v>2.6</v>
      </c>
      <c r="E295">
        <v>20.9</v>
      </c>
      <c r="F295">
        <v>7</v>
      </c>
      <c r="G295">
        <v>0</v>
      </c>
      <c r="H295">
        <v>2</v>
      </c>
      <c r="I295">
        <v>1</v>
      </c>
      <c r="J295">
        <v>2014</v>
      </c>
      <c r="K295">
        <v>10</v>
      </c>
      <c r="L295" t="s">
        <v>17</v>
      </c>
      <c r="M295">
        <f>SUM(Pharma_Sales_Data[[#This Row],[M01AB]:[R06]])</f>
        <v>38.83</v>
      </c>
      <c r="N295" s="2">
        <f>Pharma_Sales_Data[[#This Row],[Total Drug Sales]]*150</f>
        <v>5824.5</v>
      </c>
      <c r="O295" s="2">
        <f>Pharma_Sales_Data[[#This Row],[Total Revenue]]*0.3</f>
        <v>1747.35</v>
      </c>
      <c r="P295" t="str">
        <f>IF(Pharma_Sales_Data[[#This Row],[Total Revenue]]&gt;20000,"High Value", IF(Pharma_Sales_Data[[#This Row],[Total Revenue]]&gt;=10000,"Medium Value","Low Value"))</f>
        <v>Low Value</v>
      </c>
    </row>
    <row r="296" spans="1:16" x14ac:dyDescent="0.35">
      <c r="A296" s="1">
        <v>41935</v>
      </c>
      <c r="B296">
        <v>1.34</v>
      </c>
      <c r="C296">
        <v>4.33</v>
      </c>
      <c r="D296">
        <v>0</v>
      </c>
      <c r="E296">
        <v>32.200000000000003</v>
      </c>
      <c r="F296">
        <v>7</v>
      </c>
      <c r="G296">
        <v>1</v>
      </c>
      <c r="H296">
        <v>0</v>
      </c>
      <c r="I296">
        <v>0</v>
      </c>
      <c r="J296">
        <v>2014</v>
      </c>
      <c r="K296">
        <v>10</v>
      </c>
      <c r="L296" t="s">
        <v>11</v>
      </c>
      <c r="M296">
        <f>SUM(Pharma_Sales_Data[[#This Row],[M01AB]:[R06]])</f>
        <v>45.870000000000005</v>
      </c>
      <c r="N296" s="2">
        <f>Pharma_Sales_Data[[#This Row],[Total Drug Sales]]*150</f>
        <v>6880.5000000000009</v>
      </c>
      <c r="O296" s="2">
        <f>Pharma_Sales_Data[[#This Row],[Total Revenue]]*0.3</f>
        <v>2064.15</v>
      </c>
      <c r="P296" t="str">
        <f>IF(Pharma_Sales_Data[[#This Row],[Total Revenue]]&gt;20000,"High Value", IF(Pharma_Sales_Data[[#This Row],[Total Revenue]]&gt;=10000,"Medium Value","Low Value"))</f>
        <v>Low Value</v>
      </c>
    </row>
    <row r="297" spans="1:16" x14ac:dyDescent="0.35">
      <c r="A297" s="1">
        <v>41936</v>
      </c>
      <c r="B297">
        <v>3.67</v>
      </c>
      <c r="C297">
        <v>2.67</v>
      </c>
      <c r="D297">
        <v>6.3</v>
      </c>
      <c r="E297">
        <v>49.4</v>
      </c>
      <c r="F297">
        <v>18</v>
      </c>
      <c r="G297">
        <v>0</v>
      </c>
      <c r="H297">
        <v>5</v>
      </c>
      <c r="I297">
        <v>1</v>
      </c>
      <c r="J297">
        <v>2014</v>
      </c>
      <c r="K297">
        <v>10</v>
      </c>
      <c r="L297" t="s">
        <v>12</v>
      </c>
      <c r="M297">
        <f>SUM(Pharma_Sales_Data[[#This Row],[M01AB]:[R06]])</f>
        <v>86.039999999999992</v>
      </c>
      <c r="N297" s="2">
        <f>Pharma_Sales_Data[[#This Row],[Total Drug Sales]]*150</f>
        <v>12905.999999999998</v>
      </c>
      <c r="O297" s="2">
        <f>Pharma_Sales_Data[[#This Row],[Total Revenue]]*0.3</f>
        <v>3871.7999999999993</v>
      </c>
      <c r="P297" t="str">
        <f>IF(Pharma_Sales_Data[[#This Row],[Total Revenue]]&gt;20000,"High Value", IF(Pharma_Sales_Data[[#This Row],[Total Revenue]]&gt;=10000,"Medium Value","Low Value"))</f>
        <v>Medium Value</v>
      </c>
    </row>
    <row r="298" spans="1:16" x14ac:dyDescent="0.35">
      <c r="A298" s="1">
        <v>41937</v>
      </c>
      <c r="B298">
        <v>2.33</v>
      </c>
      <c r="C298">
        <v>5.14</v>
      </c>
      <c r="D298">
        <v>1</v>
      </c>
      <c r="E298">
        <v>31</v>
      </c>
      <c r="F298">
        <v>21</v>
      </c>
      <c r="G298">
        <v>0</v>
      </c>
      <c r="H298">
        <v>2</v>
      </c>
      <c r="I298">
        <v>5</v>
      </c>
      <c r="J298">
        <v>2014</v>
      </c>
      <c r="K298">
        <v>10</v>
      </c>
      <c r="L298" t="s">
        <v>13</v>
      </c>
      <c r="M298">
        <f>SUM(Pharma_Sales_Data[[#This Row],[M01AB]:[R06]])</f>
        <v>67.47</v>
      </c>
      <c r="N298" s="2">
        <f>Pharma_Sales_Data[[#This Row],[Total Drug Sales]]*150</f>
        <v>10120.5</v>
      </c>
      <c r="O298" s="2">
        <f>Pharma_Sales_Data[[#This Row],[Total Revenue]]*0.3</f>
        <v>3036.15</v>
      </c>
      <c r="P298" t="str">
        <f>IF(Pharma_Sales_Data[[#This Row],[Total Revenue]]&gt;20000,"High Value", IF(Pharma_Sales_Data[[#This Row],[Total Revenue]]&gt;=10000,"Medium Value","Low Value"))</f>
        <v>Medium Value</v>
      </c>
    </row>
    <row r="299" spans="1:16" x14ac:dyDescent="0.35">
      <c r="A299" s="1">
        <v>41938</v>
      </c>
      <c r="B299">
        <v>3.34</v>
      </c>
      <c r="C299">
        <v>1</v>
      </c>
      <c r="D299">
        <v>1.6</v>
      </c>
      <c r="E299">
        <v>30.4</v>
      </c>
      <c r="F299">
        <v>6</v>
      </c>
      <c r="G299">
        <v>0</v>
      </c>
      <c r="H299">
        <v>1</v>
      </c>
      <c r="I299">
        <v>1</v>
      </c>
      <c r="J299">
        <v>2014</v>
      </c>
      <c r="K299">
        <v>10</v>
      </c>
      <c r="L299" t="s">
        <v>14</v>
      </c>
      <c r="M299">
        <f>SUM(Pharma_Sales_Data[[#This Row],[M01AB]:[R06]])</f>
        <v>44.339999999999996</v>
      </c>
      <c r="N299" s="2">
        <f>Pharma_Sales_Data[[#This Row],[Total Drug Sales]]*150</f>
        <v>6650.9999999999991</v>
      </c>
      <c r="O299" s="2">
        <f>Pharma_Sales_Data[[#This Row],[Total Revenue]]*0.3</f>
        <v>1995.2999999999997</v>
      </c>
      <c r="P299" t="str">
        <f>IF(Pharma_Sales_Data[[#This Row],[Total Revenue]]&gt;20000,"High Value", IF(Pharma_Sales_Data[[#This Row],[Total Revenue]]&gt;=10000,"Medium Value","Low Value"))</f>
        <v>Low Value</v>
      </c>
    </row>
    <row r="300" spans="1:16" x14ac:dyDescent="0.35">
      <c r="A300" s="1">
        <v>41939</v>
      </c>
      <c r="B300">
        <v>8.34</v>
      </c>
      <c r="C300">
        <v>4.55</v>
      </c>
      <c r="D300">
        <v>4</v>
      </c>
      <c r="E300">
        <v>25.3</v>
      </c>
      <c r="F300">
        <v>17</v>
      </c>
      <c r="G300">
        <v>1</v>
      </c>
      <c r="H300">
        <v>3</v>
      </c>
      <c r="I300">
        <v>0</v>
      </c>
      <c r="J300">
        <v>2014</v>
      </c>
      <c r="K300">
        <v>10</v>
      </c>
      <c r="L300" t="s">
        <v>15</v>
      </c>
      <c r="M300">
        <f>SUM(Pharma_Sales_Data[[#This Row],[M01AB]:[R06]])</f>
        <v>63.19</v>
      </c>
      <c r="N300" s="2">
        <f>Pharma_Sales_Data[[#This Row],[Total Drug Sales]]*150</f>
        <v>9478.5</v>
      </c>
      <c r="O300" s="2">
        <f>Pharma_Sales_Data[[#This Row],[Total Revenue]]*0.3</f>
        <v>2843.5499999999997</v>
      </c>
      <c r="P300" t="str">
        <f>IF(Pharma_Sales_Data[[#This Row],[Total Revenue]]&gt;20000,"High Value", IF(Pharma_Sales_Data[[#This Row],[Total Revenue]]&gt;=10000,"Medium Value","Low Value"))</f>
        <v>Low Value</v>
      </c>
    </row>
    <row r="301" spans="1:16" x14ac:dyDescent="0.35">
      <c r="A301" s="1">
        <v>41940</v>
      </c>
      <c r="B301">
        <v>4</v>
      </c>
      <c r="C301">
        <v>3.48</v>
      </c>
      <c r="D301">
        <v>10</v>
      </c>
      <c r="E301">
        <v>40.4</v>
      </c>
      <c r="F301">
        <v>23</v>
      </c>
      <c r="G301">
        <v>0</v>
      </c>
      <c r="H301">
        <v>0</v>
      </c>
      <c r="I301">
        <v>2</v>
      </c>
      <c r="J301">
        <v>2014</v>
      </c>
      <c r="K301">
        <v>10</v>
      </c>
      <c r="L301" t="s">
        <v>16</v>
      </c>
      <c r="M301">
        <f>SUM(Pharma_Sales_Data[[#This Row],[M01AB]:[R06]])</f>
        <v>82.88</v>
      </c>
      <c r="N301" s="2">
        <f>Pharma_Sales_Data[[#This Row],[Total Drug Sales]]*150</f>
        <v>12432</v>
      </c>
      <c r="O301" s="2">
        <f>Pharma_Sales_Data[[#This Row],[Total Revenue]]*0.3</f>
        <v>3729.6</v>
      </c>
      <c r="P301" t="str">
        <f>IF(Pharma_Sales_Data[[#This Row],[Total Revenue]]&gt;20000,"High Value", IF(Pharma_Sales_Data[[#This Row],[Total Revenue]]&gt;=10000,"Medium Value","Low Value"))</f>
        <v>Medium Value</v>
      </c>
    </row>
    <row r="302" spans="1:16" x14ac:dyDescent="0.35">
      <c r="A302" s="1">
        <v>41941</v>
      </c>
      <c r="B302">
        <v>5</v>
      </c>
      <c r="C302">
        <v>1</v>
      </c>
      <c r="D302">
        <v>6.6</v>
      </c>
      <c r="E302">
        <v>41</v>
      </c>
      <c r="F302">
        <v>20</v>
      </c>
      <c r="G302">
        <v>2</v>
      </c>
      <c r="H302">
        <v>27</v>
      </c>
      <c r="I302">
        <v>1</v>
      </c>
      <c r="J302">
        <v>2014</v>
      </c>
      <c r="K302">
        <v>10</v>
      </c>
      <c r="L302" t="s">
        <v>17</v>
      </c>
      <c r="M302">
        <f>SUM(Pharma_Sales_Data[[#This Row],[M01AB]:[R06]])</f>
        <v>103.6</v>
      </c>
      <c r="N302" s="2">
        <f>Pharma_Sales_Data[[#This Row],[Total Drug Sales]]*150</f>
        <v>15540</v>
      </c>
      <c r="O302" s="2">
        <f>Pharma_Sales_Data[[#This Row],[Total Revenue]]*0.3</f>
        <v>4662</v>
      </c>
      <c r="P302" t="str">
        <f>IF(Pharma_Sales_Data[[#This Row],[Total Revenue]]&gt;20000,"High Value", IF(Pharma_Sales_Data[[#This Row],[Total Revenue]]&gt;=10000,"Medium Value","Low Value"))</f>
        <v>Medium Value</v>
      </c>
    </row>
    <row r="303" spans="1:16" x14ac:dyDescent="0.35">
      <c r="A303" s="1">
        <v>41942</v>
      </c>
      <c r="B303">
        <v>0</v>
      </c>
      <c r="C303">
        <v>1</v>
      </c>
      <c r="D303">
        <v>5</v>
      </c>
      <c r="E303">
        <v>20.3</v>
      </c>
      <c r="F303">
        <v>11</v>
      </c>
      <c r="G303">
        <v>1</v>
      </c>
      <c r="H303">
        <v>2</v>
      </c>
      <c r="I303">
        <v>0</v>
      </c>
      <c r="J303">
        <v>2014</v>
      </c>
      <c r="K303">
        <v>10</v>
      </c>
      <c r="L303" t="s">
        <v>11</v>
      </c>
      <c r="M303">
        <f>SUM(Pharma_Sales_Data[[#This Row],[M01AB]:[R06]])</f>
        <v>40.299999999999997</v>
      </c>
      <c r="N303" s="2">
        <f>Pharma_Sales_Data[[#This Row],[Total Drug Sales]]*150</f>
        <v>6045</v>
      </c>
      <c r="O303" s="2">
        <f>Pharma_Sales_Data[[#This Row],[Total Revenue]]*0.3</f>
        <v>1813.5</v>
      </c>
      <c r="P303" t="str">
        <f>IF(Pharma_Sales_Data[[#This Row],[Total Revenue]]&gt;20000,"High Value", IF(Pharma_Sales_Data[[#This Row],[Total Revenue]]&gt;=10000,"Medium Value","Low Value"))</f>
        <v>Low Value</v>
      </c>
    </row>
    <row r="304" spans="1:16" x14ac:dyDescent="0.35">
      <c r="A304" s="1">
        <v>41943</v>
      </c>
      <c r="B304">
        <v>2</v>
      </c>
      <c r="C304">
        <v>2.4500000000000002</v>
      </c>
      <c r="D304">
        <v>4</v>
      </c>
      <c r="E304">
        <v>31</v>
      </c>
      <c r="F304">
        <v>16</v>
      </c>
      <c r="G304">
        <v>0</v>
      </c>
      <c r="H304">
        <v>0</v>
      </c>
      <c r="I304">
        <v>2</v>
      </c>
      <c r="J304">
        <v>2014</v>
      </c>
      <c r="K304">
        <v>10</v>
      </c>
      <c r="L304" t="s">
        <v>12</v>
      </c>
      <c r="M304">
        <f>SUM(Pharma_Sales_Data[[#This Row],[M01AB]:[R06]])</f>
        <v>57.45</v>
      </c>
      <c r="N304" s="2">
        <f>Pharma_Sales_Data[[#This Row],[Total Drug Sales]]*150</f>
        <v>8617.5</v>
      </c>
      <c r="O304" s="2">
        <f>Pharma_Sales_Data[[#This Row],[Total Revenue]]*0.3</f>
        <v>2585.25</v>
      </c>
      <c r="P304" t="str">
        <f>IF(Pharma_Sales_Data[[#This Row],[Total Revenue]]&gt;20000,"High Value", IF(Pharma_Sales_Data[[#This Row],[Total Revenue]]&gt;=10000,"Medium Value","Low Value"))</f>
        <v>Low Value</v>
      </c>
    </row>
    <row r="305" spans="1:16" x14ac:dyDescent="0.35">
      <c r="A305" s="1">
        <v>41944</v>
      </c>
      <c r="B305">
        <v>2.33</v>
      </c>
      <c r="C305">
        <v>2.34</v>
      </c>
      <c r="D305">
        <v>3.5</v>
      </c>
      <c r="E305">
        <v>43.8</v>
      </c>
      <c r="F305">
        <v>22</v>
      </c>
      <c r="G305">
        <v>0</v>
      </c>
      <c r="H305">
        <v>7</v>
      </c>
      <c r="I305">
        <v>1</v>
      </c>
      <c r="J305">
        <v>2014</v>
      </c>
      <c r="K305">
        <v>11</v>
      </c>
      <c r="L305" t="s">
        <v>13</v>
      </c>
      <c r="M305">
        <f>SUM(Pharma_Sales_Data[[#This Row],[M01AB]:[R06]])</f>
        <v>81.97</v>
      </c>
      <c r="N305" s="2">
        <f>Pharma_Sales_Data[[#This Row],[Total Drug Sales]]*150</f>
        <v>12295.5</v>
      </c>
      <c r="O305" s="2">
        <f>Pharma_Sales_Data[[#This Row],[Total Revenue]]*0.3</f>
        <v>3688.6499999999996</v>
      </c>
      <c r="P305" t="str">
        <f>IF(Pharma_Sales_Data[[#This Row],[Total Revenue]]&gt;20000,"High Value", IF(Pharma_Sales_Data[[#This Row],[Total Revenue]]&gt;=10000,"Medium Value","Low Value"))</f>
        <v>Medium Value</v>
      </c>
    </row>
    <row r="306" spans="1:16" x14ac:dyDescent="0.35">
      <c r="A306" s="1">
        <v>41945</v>
      </c>
      <c r="B306">
        <v>4</v>
      </c>
      <c r="C306">
        <v>0</v>
      </c>
      <c r="D306">
        <v>1</v>
      </c>
      <c r="E306">
        <v>2</v>
      </c>
      <c r="F306">
        <v>3.5</v>
      </c>
      <c r="G306">
        <v>0</v>
      </c>
      <c r="H306">
        <v>0</v>
      </c>
      <c r="I306">
        <v>1</v>
      </c>
      <c r="J306">
        <v>2014</v>
      </c>
      <c r="K306">
        <v>11</v>
      </c>
      <c r="L306" t="s">
        <v>14</v>
      </c>
      <c r="M306">
        <f>SUM(Pharma_Sales_Data[[#This Row],[M01AB]:[R06]])</f>
        <v>11.5</v>
      </c>
      <c r="N306" s="2">
        <f>Pharma_Sales_Data[[#This Row],[Total Drug Sales]]*150</f>
        <v>1725</v>
      </c>
      <c r="O306" s="2">
        <f>Pharma_Sales_Data[[#This Row],[Total Revenue]]*0.3</f>
        <v>517.5</v>
      </c>
      <c r="P306" t="str">
        <f>IF(Pharma_Sales_Data[[#This Row],[Total Revenue]]&gt;20000,"High Value", IF(Pharma_Sales_Data[[#This Row],[Total Revenue]]&gt;=10000,"Medium Value","Low Value"))</f>
        <v>Low Value</v>
      </c>
    </row>
    <row r="307" spans="1:16" x14ac:dyDescent="0.35">
      <c r="A307" s="1">
        <v>41946</v>
      </c>
      <c r="B307">
        <v>7</v>
      </c>
      <c r="C307">
        <v>4.33</v>
      </c>
      <c r="D307">
        <v>1</v>
      </c>
      <c r="E307">
        <v>27.8</v>
      </c>
      <c r="F307">
        <v>19</v>
      </c>
      <c r="G307">
        <v>0</v>
      </c>
      <c r="H307">
        <v>5</v>
      </c>
      <c r="I307">
        <v>1</v>
      </c>
      <c r="J307">
        <v>2014</v>
      </c>
      <c r="K307">
        <v>11</v>
      </c>
      <c r="L307" t="s">
        <v>15</v>
      </c>
      <c r="M307">
        <f>SUM(Pharma_Sales_Data[[#This Row],[M01AB]:[R06]])</f>
        <v>65.13</v>
      </c>
      <c r="N307" s="2">
        <f>Pharma_Sales_Data[[#This Row],[Total Drug Sales]]*150</f>
        <v>9769.5</v>
      </c>
      <c r="O307" s="2">
        <f>Pharma_Sales_Data[[#This Row],[Total Revenue]]*0.3</f>
        <v>2930.85</v>
      </c>
      <c r="P307" t="str">
        <f>IF(Pharma_Sales_Data[[#This Row],[Total Revenue]]&gt;20000,"High Value", IF(Pharma_Sales_Data[[#This Row],[Total Revenue]]&gt;=10000,"Medium Value","Low Value"))</f>
        <v>Low Value</v>
      </c>
    </row>
    <row r="308" spans="1:16" x14ac:dyDescent="0.35">
      <c r="A308" s="1">
        <v>41947</v>
      </c>
      <c r="B308">
        <v>6.33</v>
      </c>
      <c r="C308">
        <v>1</v>
      </c>
      <c r="D308">
        <v>5.2</v>
      </c>
      <c r="E308">
        <v>26.5</v>
      </c>
      <c r="F308">
        <v>15</v>
      </c>
      <c r="G308">
        <v>0</v>
      </c>
      <c r="H308">
        <v>0</v>
      </c>
      <c r="I308">
        <v>1</v>
      </c>
      <c r="J308">
        <v>2014</v>
      </c>
      <c r="K308">
        <v>11</v>
      </c>
      <c r="L308" t="s">
        <v>16</v>
      </c>
      <c r="M308">
        <f>SUM(Pharma_Sales_Data[[#This Row],[M01AB]:[R06]])</f>
        <v>55.03</v>
      </c>
      <c r="N308" s="2">
        <f>Pharma_Sales_Data[[#This Row],[Total Drug Sales]]*150</f>
        <v>8254.5</v>
      </c>
      <c r="O308" s="2">
        <f>Pharma_Sales_Data[[#This Row],[Total Revenue]]*0.3</f>
        <v>2476.35</v>
      </c>
      <c r="P308" t="str">
        <f>IF(Pharma_Sales_Data[[#This Row],[Total Revenue]]&gt;20000,"High Value", IF(Pharma_Sales_Data[[#This Row],[Total Revenue]]&gt;=10000,"Medium Value","Low Value"))</f>
        <v>Low Value</v>
      </c>
    </row>
    <row r="309" spans="1:16" x14ac:dyDescent="0.35">
      <c r="A309" s="1">
        <v>41948</v>
      </c>
      <c r="B309">
        <v>0</v>
      </c>
      <c r="C309">
        <v>1.68</v>
      </c>
      <c r="D309">
        <v>4</v>
      </c>
      <c r="E309">
        <v>27</v>
      </c>
      <c r="F309">
        <v>19</v>
      </c>
      <c r="G309">
        <v>3</v>
      </c>
      <c r="H309">
        <v>1</v>
      </c>
      <c r="I309">
        <v>0</v>
      </c>
      <c r="J309">
        <v>2014</v>
      </c>
      <c r="K309">
        <v>11</v>
      </c>
      <c r="L309" t="s">
        <v>17</v>
      </c>
      <c r="M309">
        <f>SUM(Pharma_Sales_Data[[#This Row],[M01AB]:[R06]])</f>
        <v>55.68</v>
      </c>
      <c r="N309" s="2">
        <f>Pharma_Sales_Data[[#This Row],[Total Drug Sales]]*150</f>
        <v>8352</v>
      </c>
      <c r="O309" s="2">
        <f>Pharma_Sales_Data[[#This Row],[Total Revenue]]*0.3</f>
        <v>2505.6</v>
      </c>
      <c r="P309" t="str">
        <f>IF(Pharma_Sales_Data[[#This Row],[Total Revenue]]&gt;20000,"High Value", IF(Pharma_Sales_Data[[#This Row],[Total Revenue]]&gt;=10000,"Medium Value","Low Value"))</f>
        <v>Low Value</v>
      </c>
    </row>
    <row r="310" spans="1:16" x14ac:dyDescent="0.35">
      <c r="A310" s="1">
        <v>41949</v>
      </c>
      <c r="B310">
        <v>6</v>
      </c>
      <c r="C310">
        <v>2.34</v>
      </c>
      <c r="D310">
        <v>5.2</v>
      </c>
      <c r="E310">
        <v>23.4</v>
      </c>
      <c r="F310">
        <v>23</v>
      </c>
      <c r="G310">
        <v>1</v>
      </c>
      <c r="H310">
        <v>0</v>
      </c>
      <c r="I310">
        <v>0</v>
      </c>
      <c r="J310">
        <v>2014</v>
      </c>
      <c r="K310">
        <v>11</v>
      </c>
      <c r="L310" t="s">
        <v>11</v>
      </c>
      <c r="M310">
        <f>SUM(Pharma_Sales_Data[[#This Row],[M01AB]:[R06]])</f>
        <v>60.94</v>
      </c>
      <c r="N310" s="2">
        <f>Pharma_Sales_Data[[#This Row],[Total Drug Sales]]*150</f>
        <v>9141</v>
      </c>
      <c r="O310" s="2">
        <f>Pharma_Sales_Data[[#This Row],[Total Revenue]]*0.3</f>
        <v>2742.2999999999997</v>
      </c>
      <c r="P310" t="str">
        <f>IF(Pharma_Sales_Data[[#This Row],[Total Revenue]]&gt;20000,"High Value", IF(Pharma_Sales_Data[[#This Row],[Total Revenue]]&gt;=10000,"Medium Value","Low Value"))</f>
        <v>Low Value</v>
      </c>
    </row>
    <row r="311" spans="1:16" x14ac:dyDescent="0.35">
      <c r="A311" s="1">
        <v>41950</v>
      </c>
      <c r="B311">
        <v>6</v>
      </c>
      <c r="C311">
        <v>10.34</v>
      </c>
      <c r="D311">
        <v>5.5</v>
      </c>
      <c r="E311">
        <v>15.8</v>
      </c>
      <c r="F311">
        <v>32</v>
      </c>
      <c r="G311">
        <v>1</v>
      </c>
      <c r="H311">
        <v>0</v>
      </c>
      <c r="I311">
        <v>1</v>
      </c>
      <c r="J311">
        <v>2014</v>
      </c>
      <c r="K311">
        <v>11</v>
      </c>
      <c r="L311" t="s">
        <v>12</v>
      </c>
      <c r="M311">
        <f>SUM(Pharma_Sales_Data[[#This Row],[M01AB]:[R06]])</f>
        <v>71.64</v>
      </c>
      <c r="N311" s="2">
        <f>Pharma_Sales_Data[[#This Row],[Total Drug Sales]]*150</f>
        <v>10746</v>
      </c>
      <c r="O311" s="2">
        <f>Pharma_Sales_Data[[#This Row],[Total Revenue]]*0.3</f>
        <v>3223.7999999999997</v>
      </c>
      <c r="P311" t="str">
        <f>IF(Pharma_Sales_Data[[#This Row],[Total Revenue]]&gt;20000,"High Value", IF(Pharma_Sales_Data[[#This Row],[Total Revenue]]&gt;=10000,"Medium Value","Low Value"))</f>
        <v>Medium Value</v>
      </c>
    </row>
    <row r="312" spans="1:16" x14ac:dyDescent="0.35">
      <c r="A312" s="1">
        <v>41951</v>
      </c>
      <c r="B312">
        <v>12</v>
      </c>
      <c r="C312">
        <v>7.02</v>
      </c>
      <c r="D312">
        <v>6</v>
      </c>
      <c r="E312">
        <v>34.4</v>
      </c>
      <c r="F312">
        <v>24</v>
      </c>
      <c r="G312">
        <v>0</v>
      </c>
      <c r="H312">
        <v>17</v>
      </c>
      <c r="I312">
        <v>2.2000000000000002</v>
      </c>
      <c r="J312">
        <v>2014</v>
      </c>
      <c r="K312">
        <v>11</v>
      </c>
      <c r="L312" t="s">
        <v>13</v>
      </c>
      <c r="M312">
        <f>SUM(Pharma_Sales_Data[[#This Row],[M01AB]:[R06]])</f>
        <v>102.62</v>
      </c>
      <c r="N312" s="2">
        <f>Pharma_Sales_Data[[#This Row],[Total Drug Sales]]*150</f>
        <v>15393</v>
      </c>
      <c r="O312" s="2">
        <f>Pharma_Sales_Data[[#This Row],[Total Revenue]]*0.3</f>
        <v>4617.8999999999996</v>
      </c>
      <c r="P312" t="str">
        <f>IF(Pharma_Sales_Data[[#This Row],[Total Revenue]]&gt;20000,"High Value", IF(Pharma_Sales_Data[[#This Row],[Total Revenue]]&gt;=10000,"Medium Value","Low Value"))</f>
        <v>Medium Value</v>
      </c>
    </row>
    <row r="313" spans="1:16" x14ac:dyDescent="0.35">
      <c r="A313" s="1">
        <v>41952</v>
      </c>
      <c r="B313">
        <v>3.34</v>
      </c>
      <c r="C313">
        <v>4.34</v>
      </c>
      <c r="D313">
        <v>2.9</v>
      </c>
      <c r="E313">
        <v>23</v>
      </c>
      <c r="F313">
        <v>20</v>
      </c>
      <c r="G313">
        <v>0</v>
      </c>
      <c r="H313">
        <v>2</v>
      </c>
      <c r="I313">
        <v>1</v>
      </c>
      <c r="J313">
        <v>2014</v>
      </c>
      <c r="K313">
        <v>11</v>
      </c>
      <c r="L313" t="s">
        <v>14</v>
      </c>
      <c r="M313">
        <f>SUM(Pharma_Sales_Data[[#This Row],[M01AB]:[R06]])</f>
        <v>56.58</v>
      </c>
      <c r="N313" s="2">
        <f>Pharma_Sales_Data[[#This Row],[Total Drug Sales]]*150</f>
        <v>8487</v>
      </c>
      <c r="O313" s="2">
        <f>Pharma_Sales_Data[[#This Row],[Total Revenue]]*0.3</f>
        <v>2546.1</v>
      </c>
      <c r="P313" t="str">
        <f>IF(Pharma_Sales_Data[[#This Row],[Total Revenue]]&gt;20000,"High Value", IF(Pharma_Sales_Data[[#This Row],[Total Revenue]]&gt;=10000,"Medium Value","Low Value"))</f>
        <v>Low Value</v>
      </c>
    </row>
    <row r="314" spans="1:16" x14ac:dyDescent="0.35">
      <c r="A314" s="1">
        <v>41953</v>
      </c>
      <c r="B314">
        <v>1</v>
      </c>
      <c r="C314">
        <v>5.32</v>
      </c>
      <c r="D314">
        <v>3.3</v>
      </c>
      <c r="E314">
        <v>24.3</v>
      </c>
      <c r="F314">
        <v>13</v>
      </c>
      <c r="G314">
        <v>0</v>
      </c>
      <c r="H314">
        <v>7</v>
      </c>
      <c r="I314">
        <v>1</v>
      </c>
      <c r="J314">
        <v>2014</v>
      </c>
      <c r="K314">
        <v>11</v>
      </c>
      <c r="L314" t="s">
        <v>15</v>
      </c>
      <c r="M314">
        <f>SUM(Pharma_Sales_Data[[#This Row],[M01AB]:[R06]])</f>
        <v>54.92</v>
      </c>
      <c r="N314" s="2">
        <f>Pharma_Sales_Data[[#This Row],[Total Drug Sales]]*150</f>
        <v>8238</v>
      </c>
      <c r="O314" s="2">
        <f>Pharma_Sales_Data[[#This Row],[Total Revenue]]*0.3</f>
        <v>2471.4</v>
      </c>
      <c r="P314" t="str">
        <f>IF(Pharma_Sales_Data[[#This Row],[Total Revenue]]&gt;20000,"High Value", IF(Pharma_Sales_Data[[#This Row],[Total Revenue]]&gt;=10000,"Medium Value","Low Value"))</f>
        <v>Low Value</v>
      </c>
    </row>
    <row r="315" spans="1:16" x14ac:dyDescent="0.35">
      <c r="A315" s="1">
        <v>41954</v>
      </c>
      <c r="B315">
        <v>8</v>
      </c>
      <c r="C315">
        <v>4</v>
      </c>
      <c r="D315">
        <v>2</v>
      </c>
      <c r="E315">
        <v>23</v>
      </c>
      <c r="F315">
        <v>18</v>
      </c>
      <c r="G315">
        <v>0</v>
      </c>
      <c r="H315">
        <v>8</v>
      </c>
      <c r="I315">
        <v>2</v>
      </c>
      <c r="J315">
        <v>2014</v>
      </c>
      <c r="K315">
        <v>11</v>
      </c>
      <c r="L315" t="s">
        <v>16</v>
      </c>
      <c r="M315">
        <f>SUM(Pharma_Sales_Data[[#This Row],[M01AB]:[R06]])</f>
        <v>65</v>
      </c>
      <c r="N315" s="2">
        <f>Pharma_Sales_Data[[#This Row],[Total Drug Sales]]*150</f>
        <v>9750</v>
      </c>
      <c r="O315" s="2">
        <f>Pharma_Sales_Data[[#This Row],[Total Revenue]]*0.3</f>
        <v>2925</v>
      </c>
      <c r="P315" t="str">
        <f>IF(Pharma_Sales_Data[[#This Row],[Total Revenue]]&gt;20000,"High Value", IF(Pharma_Sales_Data[[#This Row],[Total Revenue]]&gt;=10000,"Medium Value","Low Value"))</f>
        <v>Low Value</v>
      </c>
    </row>
    <row r="316" spans="1:16" x14ac:dyDescent="0.35">
      <c r="A316" s="1">
        <v>41955</v>
      </c>
      <c r="B316">
        <v>3</v>
      </c>
      <c r="C316">
        <v>5</v>
      </c>
      <c r="D316">
        <v>4</v>
      </c>
      <c r="E316">
        <v>25</v>
      </c>
      <c r="F316">
        <v>16</v>
      </c>
      <c r="G316">
        <v>0</v>
      </c>
      <c r="H316">
        <v>3</v>
      </c>
      <c r="I316">
        <v>0</v>
      </c>
      <c r="J316">
        <v>2014</v>
      </c>
      <c r="K316">
        <v>11</v>
      </c>
      <c r="L316" t="s">
        <v>17</v>
      </c>
      <c r="M316">
        <f>SUM(Pharma_Sales_Data[[#This Row],[M01AB]:[R06]])</f>
        <v>56</v>
      </c>
      <c r="N316" s="2">
        <f>Pharma_Sales_Data[[#This Row],[Total Drug Sales]]*150</f>
        <v>8400</v>
      </c>
      <c r="O316" s="2">
        <f>Pharma_Sales_Data[[#This Row],[Total Revenue]]*0.3</f>
        <v>2520</v>
      </c>
      <c r="P316" t="str">
        <f>IF(Pharma_Sales_Data[[#This Row],[Total Revenue]]&gt;20000,"High Value", IF(Pharma_Sales_Data[[#This Row],[Total Revenue]]&gt;=10000,"Medium Value","Low Value"))</f>
        <v>Low Value</v>
      </c>
    </row>
    <row r="317" spans="1:16" x14ac:dyDescent="0.35">
      <c r="A317" s="1">
        <v>41956</v>
      </c>
      <c r="B317">
        <v>8</v>
      </c>
      <c r="C317">
        <v>2</v>
      </c>
      <c r="D317">
        <v>5</v>
      </c>
      <c r="E317">
        <v>33.200000000000003</v>
      </c>
      <c r="F317">
        <v>10</v>
      </c>
      <c r="G317">
        <v>0</v>
      </c>
      <c r="H317">
        <v>0</v>
      </c>
      <c r="I317">
        <v>2.2000000000000002</v>
      </c>
      <c r="J317">
        <v>2014</v>
      </c>
      <c r="K317">
        <v>11</v>
      </c>
      <c r="L317" t="s">
        <v>11</v>
      </c>
      <c r="M317">
        <f>SUM(Pharma_Sales_Data[[#This Row],[M01AB]:[R06]])</f>
        <v>60.400000000000006</v>
      </c>
      <c r="N317" s="2">
        <f>Pharma_Sales_Data[[#This Row],[Total Drug Sales]]*150</f>
        <v>9060</v>
      </c>
      <c r="O317" s="2">
        <f>Pharma_Sales_Data[[#This Row],[Total Revenue]]*0.3</f>
        <v>2718</v>
      </c>
      <c r="P317" t="str">
        <f>IF(Pharma_Sales_Data[[#This Row],[Total Revenue]]&gt;20000,"High Value", IF(Pharma_Sales_Data[[#This Row],[Total Revenue]]&gt;=10000,"Medium Value","Low Value"))</f>
        <v>Low Value</v>
      </c>
    </row>
    <row r="318" spans="1:16" x14ac:dyDescent="0.35">
      <c r="A318" s="1">
        <v>41957</v>
      </c>
      <c r="B318">
        <v>5.34</v>
      </c>
      <c r="C318">
        <v>0</v>
      </c>
      <c r="D318">
        <v>6</v>
      </c>
      <c r="E318">
        <v>29.4</v>
      </c>
      <c r="F318">
        <v>20</v>
      </c>
      <c r="G318">
        <v>1</v>
      </c>
      <c r="H318">
        <v>2</v>
      </c>
      <c r="I318">
        <v>3</v>
      </c>
      <c r="J318">
        <v>2014</v>
      </c>
      <c r="K318">
        <v>11</v>
      </c>
      <c r="L318" t="s">
        <v>12</v>
      </c>
      <c r="M318">
        <f>SUM(Pharma_Sales_Data[[#This Row],[M01AB]:[R06]])</f>
        <v>66.739999999999995</v>
      </c>
      <c r="N318" s="2">
        <f>Pharma_Sales_Data[[#This Row],[Total Drug Sales]]*150</f>
        <v>10011</v>
      </c>
      <c r="O318" s="2">
        <f>Pharma_Sales_Data[[#This Row],[Total Revenue]]*0.3</f>
        <v>3003.2999999999997</v>
      </c>
      <c r="P318" t="str">
        <f>IF(Pharma_Sales_Data[[#This Row],[Total Revenue]]&gt;20000,"High Value", IF(Pharma_Sales_Data[[#This Row],[Total Revenue]]&gt;=10000,"Medium Value","Low Value"))</f>
        <v>Medium Value</v>
      </c>
    </row>
    <row r="319" spans="1:16" x14ac:dyDescent="0.35">
      <c r="A319" s="1">
        <v>41958</v>
      </c>
      <c r="B319">
        <v>4.33</v>
      </c>
      <c r="C319">
        <v>5.34</v>
      </c>
      <c r="D319">
        <v>5</v>
      </c>
      <c r="E319">
        <v>23.6</v>
      </c>
      <c r="F319">
        <v>20</v>
      </c>
      <c r="G319">
        <v>2</v>
      </c>
      <c r="H319">
        <v>2</v>
      </c>
      <c r="I319">
        <v>2</v>
      </c>
      <c r="J319">
        <v>2014</v>
      </c>
      <c r="K319">
        <v>11</v>
      </c>
      <c r="L319" t="s">
        <v>13</v>
      </c>
      <c r="M319">
        <f>SUM(Pharma_Sales_Data[[#This Row],[M01AB]:[R06]])</f>
        <v>64.27000000000001</v>
      </c>
      <c r="N319" s="2">
        <f>Pharma_Sales_Data[[#This Row],[Total Drug Sales]]*150</f>
        <v>9640.5000000000018</v>
      </c>
      <c r="O319" s="2">
        <f>Pharma_Sales_Data[[#This Row],[Total Revenue]]*0.3</f>
        <v>2892.1500000000005</v>
      </c>
      <c r="P319" t="str">
        <f>IF(Pharma_Sales_Data[[#This Row],[Total Revenue]]&gt;20000,"High Value", IF(Pharma_Sales_Data[[#This Row],[Total Revenue]]&gt;=10000,"Medium Value","Low Value"))</f>
        <v>Low Value</v>
      </c>
    </row>
    <row r="320" spans="1:16" x14ac:dyDescent="0.35">
      <c r="A320" s="1">
        <v>41959</v>
      </c>
      <c r="B320">
        <v>2</v>
      </c>
      <c r="C320">
        <v>2.68</v>
      </c>
      <c r="D320">
        <v>6</v>
      </c>
      <c r="E320">
        <v>18.600000000000001</v>
      </c>
      <c r="F320">
        <v>13</v>
      </c>
      <c r="G320">
        <v>1</v>
      </c>
      <c r="H320">
        <v>0</v>
      </c>
      <c r="I320">
        <v>0</v>
      </c>
      <c r="J320">
        <v>2014</v>
      </c>
      <c r="K320">
        <v>11</v>
      </c>
      <c r="L320" t="s">
        <v>14</v>
      </c>
      <c r="M320">
        <f>SUM(Pharma_Sales_Data[[#This Row],[M01AB]:[R06]])</f>
        <v>43.28</v>
      </c>
      <c r="N320" s="2">
        <f>Pharma_Sales_Data[[#This Row],[Total Drug Sales]]*150</f>
        <v>6492</v>
      </c>
      <c r="O320" s="2">
        <f>Pharma_Sales_Data[[#This Row],[Total Revenue]]*0.3</f>
        <v>1947.6</v>
      </c>
      <c r="P320" t="str">
        <f>IF(Pharma_Sales_Data[[#This Row],[Total Revenue]]&gt;20000,"High Value", IF(Pharma_Sales_Data[[#This Row],[Total Revenue]]&gt;=10000,"Medium Value","Low Value"))</f>
        <v>Low Value</v>
      </c>
    </row>
    <row r="321" spans="1:16" x14ac:dyDescent="0.35">
      <c r="A321" s="1">
        <v>41960</v>
      </c>
      <c r="B321">
        <v>9</v>
      </c>
      <c r="C321">
        <v>5.01</v>
      </c>
      <c r="D321">
        <v>5.5</v>
      </c>
      <c r="E321">
        <v>23</v>
      </c>
      <c r="F321">
        <v>23</v>
      </c>
      <c r="G321">
        <v>1</v>
      </c>
      <c r="H321">
        <v>10</v>
      </c>
      <c r="I321">
        <v>0.2</v>
      </c>
      <c r="J321">
        <v>2014</v>
      </c>
      <c r="K321">
        <v>11</v>
      </c>
      <c r="L321" t="s">
        <v>15</v>
      </c>
      <c r="M321">
        <f>SUM(Pharma_Sales_Data[[#This Row],[M01AB]:[R06]])</f>
        <v>76.709999999999994</v>
      </c>
      <c r="N321" s="2">
        <f>Pharma_Sales_Data[[#This Row],[Total Drug Sales]]*150</f>
        <v>11506.499999999998</v>
      </c>
      <c r="O321" s="2">
        <f>Pharma_Sales_Data[[#This Row],[Total Revenue]]*0.3</f>
        <v>3451.9499999999994</v>
      </c>
      <c r="P321" t="str">
        <f>IF(Pharma_Sales_Data[[#This Row],[Total Revenue]]&gt;20000,"High Value", IF(Pharma_Sales_Data[[#This Row],[Total Revenue]]&gt;=10000,"Medium Value","Low Value"))</f>
        <v>Medium Value</v>
      </c>
    </row>
    <row r="322" spans="1:16" x14ac:dyDescent="0.35">
      <c r="A322" s="1">
        <v>41961</v>
      </c>
      <c r="B322">
        <v>2.67</v>
      </c>
      <c r="C322">
        <v>2</v>
      </c>
      <c r="D322">
        <v>5</v>
      </c>
      <c r="E322">
        <v>19.3</v>
      </c>
      <c r="F322">
        <v>10.5</v>
      </c>
      <c r="G322">
        <v>1</v>
      </c>
      <c r="H322">
        <v>0</v>
      </c>
      <c r="I322">
        <v>1</v>
      </c>
      <c r="J322">
        <v>2014</v>
      </c>
      <c r="K322">
        <v>11</v>
      </c>
      <c r="L322" t="s">
        <v>16</v>
      </c>
      <c r="M322">
        <f>SUM(Pharma_Sales_Data[[#This Row],[M01AB]:[R06]])</f>
        <v>41.47</v>
      </c>
      <c r="N322" s="2">
        <f>Pharma_Sales_Data[[#This Row],[Total Drug Sales]]*150</f>
        <v>6220.5</v>
      </c>
      <c r="O322" s="2">
        <f>Pharma_Sales_Data[[#This Row],[Total Revenue]]*0.3</f>
        <v>1866.1499999999999</v>
      </c>
      <c r="P322" t="str">
        <f>IF(Pharma_Sales_Data[[#This Row],[Total Revenue]]&gt;20000,"High Value", IF(Pharma_Sales_Data[[#This Row],[Total Revenue]]&gt;=10000,"Medium Value","Low Value"))</f>
        <v>Low Value</v>
      </c>
    </row>
    <row r="323" spans="1:16" x14ac:dyDescent="0.35">
      <c r="A323" s="1">
        <v>41962</v>
      </c>
      <c r="B323">
        <v>1.34</v>
      </c>
      <c r="C323">
        <v>3.67</v>
      </c>
      <c r="D323">
        <v>10</v>
      </c>
      <c r="E323">
        <v>32</v>
      </c>
      <c r="F323">
        <v>17</v>
      </c>
      <c r="G323">
        <v>0</v>
      </c>
      <c r="H323">
        <v>10</v>
      </c>
      <c r="I323">
        <v>4</v>
      </c>
      <c r="J323">
        <v>2014</v>
      </c>
      <c r="K323">
        <v>11</v>
      </c>
      <c r="L323" t="s">
        <v>17</v>
      </c>
      <c r="M323">
        <f>SUM(Pharma_Sales_Data[[#This Row],[M01AB]:[R06]])</f>
        <v>78.009999999999991</v>
      </c>
      <c r="N323" s="2">
        <f>Pharma_Sales_Data[[#This Row],[Total Drug Sales]]*150</f>
        <v>11701.499999999998</v>
      </c>
      <c r="O323" s="2">
        <f>Pharma_Sales_Data[[#This Row],[Total Revenue]]*0.3</f>
        <v>3510.4499999999994</v>
      </c>
      <c r="P323" t="str">
        <f>IF(Pharma_Sales_Data[[#This Row],[Total Revenue]]&gt;20000,"High Value", IF(Pharma_Sales_Data[[#This Row],[Total Revenue]]&gt;=10000,"Medium Value","Low Value"))</f>
        <v>Medium Value</v>
      </c>
    </row>
    <row r="324" spans="1:16" x14ac:dyDescent="0.35">
      <c r="A324" s="1">
        <v>41963</v>
      </c>
      <c r="B324">
        <v>4</v>
      </c>
      <c r="C324">
        <v>7</v>
      </c>
      <c r="D324">
        <v>5</v>
      </c>
      <c r="E324">
        <v>18.8</v>
      </c>
      <c r="F324">
        <v>13</v>
      </c>
      <c r="G324">
        <v>0</v>
      </c>
      <c r="H324">
        <v>8</v>
      </c>
      <c r="I324">
        <v>0</v>
      </c>
      <c r="J324">
        <v>2014</v>
      </c>
      <c r="K324">
        <v>11</v>
      </c>
      <c r="L324" t="s">
        <v>11</v>
      </c>
      <c r="M324">
        <f>SUM(Pharma_Sales_Data[[#This Row],[M01AB]:[R06]])</f>
        <v>55.8</v>
      </c>
      <c r="N324" s="2">
        <f>Pharma_Sales_Data[[#This Row],[Total Drug Sales]]*150</f>
        <v>8370</v>
      </c>
      <c r="O324" s="2">
        <f>Pharma_Sales_Data[[#This Row],[Total Revenue]]*0.3</f>
        <v>2511</v>
      </c>
      <c r="P324" t="str">
        <f>IF(Pharma_Sales_Data[[#This Row],[Total Revenue]]&gt;20000,"High Value", IF(Pharma_Sales_Data[[#This Row],[Total Revenue]]&gt;=10000,"Medium Value","Low Value"))</f>
        <v>Low Value</v>
      </c>
    </row>
    <row r="325" spans="1:16" x14ac:dyDescent="0.35">
      <c r="A325" s="1">
        <v>41964</v>
      </c>
      <c r="B325">
        <v>1.34</v>
      </c>
      <c r="C325">
        <v>1.34</v>
      </c>
      <c r="D325">
        <v>3</v>
      </c>
      <c r="E325">
        <v>22.4</v>
      </c>
      <c r="F325">
        <v>16</v>
      </c>
      <c r="G325">
        <v>0</v>
      </c>
      <c r="H325">
        <v>2</v>
      </c>
      <c r="I325">
        <v>1</v>
      </c>
      <c r="J325">
        <v>2014</v>
      </c>
      <c r="K325">
        <v>11</v>
      </c>
      <c r="L325" t="s">
        <v>12</v>
      </c>
      <c r="M325">
        <f>SUM(Pharma_Sales_Data[[#This Row],[M01AB]:[R06]])</f>
        <v>47.08</v>
      </c>
      <c r="N325" s="2">
        <f>Pharma_Sales_Data[[#This Row],[Total Drug Sales]]*150</f>
        <v>7062</v>
      </c>
      <c r="O325" s="2">
        <f>Pharma_Sales_Data[[#This Row],[Total Revenue]]*0.3</f>
        <v>2118.6</v>
      </c>
      <c r="P325" t="str">
        <f>IF(Pharma_Sales_Data[[#This Row],[Total Revenue]]&gt;20000,"High Value", IF(Pharma_Sales_Data[[#This Row],[Total Revenue]]&gt;=10000,"Medium Value","Low Value"))</f>
        <v>Low Value</v>
      </c>
    </row>
    <row r="326" spans="1:16" x14ac:dyDescent="0.35">
      <c r="A326" s="1">
        <v>41965</v>
      </c>
      <c r="B326">
        <v>6</v>
      </c>
      <c r="C326">
        <v>2.34</v>
      </c>
      <c r="D326">
        <v>3</v>
      </c>
      <c r="E326">
        <v>23.7</v>
      </c>
      <c r="F326">
        <v>15</v>
      </c>
      <c r="G326">
        <v>1</v>
      </c>
      <c r="H326">
        <v>8</v>
      </c>
      <c r="I326">
        <v>1.4</v>
      </c>
      <c r="J326">
        <v>2014</v>
      </c>
      <c r="K326">
        <v>11</v>
      </c>
      <c r="L326" t="s">
        <v>13</v>
      </c>
      <c r="M326">
        <f>SUM(Pharma_Sales_Data[[#This Row],[M01AB]:[R06]])</f>
        <v>60.44</v>
      </c>
      <c r="N326" s="2">
        <f>Pharma_Sales_Data[[#This Row],[Total Drug Sales]]*150</f>
        <v>9066</v>
      </c>
      <c r="O326" s="2">
        <f>Pharma_Sales_Data[[#This Row],[Total Revenue]]*0.3</f>
        <v>2719.7999999999997</v>
      </c>
      <c r="P326" t="str">
        <f>IF(Pharma_Sales_Data[[#This Row],[Total Revenue]]&gt;20000,"High Value", IF(Pharma_Sales_Data[[#This Row],[Total Revenue]]&gt;=10000,"Medium Value","Low Value"))</f>
        <v>Low Value</v>
      </c>
    </row>
    <row r="327" spans="1:16" x14ac:dyDescent="0.35">
      <c r="A327" s="1">
        <v>41966</v>
      </c>
      <c r="B327">
        <v>4</v>
      </c>
      <c r="C327">
        <v>3.68</v>
      </c>
      <c r="D327">
        <v>6</v>
      </c>
      <c r="E327">
        <v>22.3</v>
      </c>
      <c r="F327">
        <v>11</v>
      </c>
      <c r="G327">
        <v>0</v>
      </c>
      <c r="H327">
        <v>0</v>
      </c>
      <c r="I327">
        <v>1.1000000000000001</v>
      </c>
      <c r="J327">
        <v>2014</v>
      </c>
      <c r="K327">
        <v>11</v>
      </c>
      <c r="L327" t="s">
        <v>14</v>
      </c>
      <c r="M327">
        <f>SUM(Pharma_Sales_Data[[#This Row],[M01AB]:[R06]])</f>
        <v>48.080000000000005</v>
      </c>
      <c r="N327" s="2">
        <f>Pharma_Sales_Data[[#This Row],[Total Drug Sales]]*150</f>
        <v>7212.0000000000009</v>
      </c>
      <c r="O327" s="2">
        <f>Pharma_Sales_Data[[#This Row],[Total Revenue]]*0.3</f>
        <v>2163.6000000000004</v>
      </c>
      <c r="P327" t="str">
        <f>IF(Pharma_Sales_Data[[#This Row],[Total Revenue]]&gt;20000,"High Value", IF(Pharma_Sales_Data[[#This Row],[Total Revenue]]&gt;=10000,"Medium Value","Low Value"))</f>
        <v>Low Value</v>
      </c>
    </row>
    <row r="328" spans="1:16" x14ac:dyDescent="0.35">
      <c r="A328" s="1">
        <v>41967</v>
      </c>
      <c r="B328">
        <v>4</v>
      </c>
      <c r="C328">
        <v>3</v>
      </c>
      <c r="D328">
        <v>6</v>
      </c>
      <c r="E328">
        <v>30.6</v>
      </c>
      <c r="F328">
        <v>19</v>
      </c>
      <c r="G328">
        <v>1</v>
      </c>
      <c r="H328">
        <v>1</v>
      </c>
      <c r="I328">
        <v>2.1</v>
      </c>
      <c r="J328">
        <v>2014</v>
      </c>
      <c r="K328">
        <v>11</v>
      </c>
      <c r="L328" t="s">
        <v>15</v>
      </c>
      <c r="M328">
        <f>SUM(Pharma_Sales_Data[[#This Row],[M01AB]:[R06]])</f>
        <v>66.699999999999989</v>
      </c>
      <c r="N328" s="2">
        <f>Pharma_Sales_Data[[#This Row],[Total Drug Sales]]*150</f>
        <v>10004.999999999998</v>
      </c>
      <c r="O328" s="2">
        <f>Pharma_Sales_Data[[#This Row],[Total Revenue]]*0.3</f>
        <v>3001.4999999999995</v>
      </c>
      <c r="P328" t="str">
        <f>IF(Pharma_Sales_Data[[#This Row],[Total Revenue]]&gt;20000,"High Value", IF(Pharma_Sales_Data[[#This Row],[Total Revenue]]&gt;=10000,"Medium Value","Low Value"))</f>
        <v>Medium Value</v>
      </c>
    </row>
    <row r="329" spans="1:16" x14ac:dyDescent="0.35">
      <c r="A329" s="1">
        <v>41968</v>
      </c>
      <c r="B329">
        <v>5.36</v>
      </c>
      <c r="C329">
        <v>1.68</v>
      </c>
      <c r="D329">
        <v>2</v>
      </c>
      <c r="E329">
        <v>19.2</v>
      </c>
      <c r="F329">
        <v>18</v>
      </c>
      <c r="G329">
        <v>0</v>
      </c>
      <c r="H329">
        <v>2</v>
      </c>
      <c r="I329">
        <v>3</v>
      </c>
      <c r="J329">
        <v>2014</v>
      </c>
      <c r="K329">
        <v>11</v>
      </c>
      <c r="L329" t="s">
        <v>16</v>
      </c>
      <c r="M329">
        <f>SUM(Pharma_Sales_Data[[#This Row],[M01AB]:[R06]])</f>
        <v>51.239999999999995</v>
      </c>
      <c r="N329" s="2">
        <f>Pharma_Sales_Data[[#This Row],[Total Drug Sales]]*150</f>
        <v>7685.9999999999991</v>
      </c>
      <c r="O329" s="2">
        <f>Pharma_Sales_Data[[#This Row],[Total Revenue]]*0.3</f>
        <v>2305.7999999999997</v>
      </c>
      <c r="P329" t="str">
        <f>IF(Pharma_Sales_Data[[#This Row],[Total Revenue]]&gt;20000,"High Value", IF(Pharma_Sales_Data[[#This Row],[Total Revenue]]&gt;=10000,"Medium Value","Low Value"))</f>
        <v>Low Value</v>
      </c>
    </row>
    <row r="330" spans="1:16" x14ac:dyDescent="0.35">
      <c r="A330" s="1">
        <v>41969</v>
      </c>
      <c r="B330">
        <v>3</v>
      </c>
      <c r="C330">
        <v>5</v>
      </c>
      <c r="D330">
        <v>6</v>
      </c>
      <c r="E330">
        <v>21</v>
      </c>
      <c r="F330">
        <v>13</v>
      </c>
      <c r="G330">
        <v>3</v>
      </c>
      <c r="H330">
        <v>11</v>
      </c>
      <c r="I330">
        <v>2</v>
      </c>
      <c r="J330">
        <v>2014</v>
      </c>
      <c r="K330">
        <v>11</v>
      </c>
      <c r="L330" t="s">
        <v>17</v>
      </c>
      <c r="M330">
        <f>SUM(Pharma_Sales_Data[[#This Row],[M01AB]:[R06]])</f>
        <v>64</v>
      </c>
      <c r="N330" s="2">
        <f>Pharma_Sales_Data[[#This Row],[Total Drug Sales]]*150</f>
        <v>9600</v>
      </c>
      <c r="O330" s="2">
        <f>Pharma_Sales_Data[[#This Row],[Total Revenue]]*0.3</f>
        <v>2880</v>
      </c>
      <c r="P330" t="str">
        <f>IF(Pharma_Sales_Data[[#This Row],[Total Revenue]]&gt;20000,"High Value", IF(Pharma_Sales_Data[[#This Row],[Total Revenue]]&gt;=10000,"Medium Value","Low Value"))</f>
        <v>Low Value</v>
      </c>
    </row>
    <row r="331" spans="1:16" x14ac:dyDescent="0.35">
      <c r="A331" s="1">
        <v>41970</v>
      </c>
      <c r="B331">
        <v>7</v>
      </c>
      <c r="C331">
        <v>3.67</v>
      </c>
      <c r="D331">
        <v>2.2999999999999998</v>
      </c>
      <c r="E331">
        <v>21.2</v>
      </c>
      <c r="F331">
        <v>9</v>
      </c>
      <c r="G331">
        <v>1</v>
      </c>
      <c r="H331">
        <v>4</v>
      </c>
      <c r="I331">
        <v>3</v>
      </c>
      <c r="J331">
        <v>2014</v>
      </c>
      <c r="K331">
        <v>11</v>
      </c>
      <c r="L331" t="s">
        <v>11</v>
      </c>
      <c r="M331">
        <f>SUM(Pharma_Sales_Data[[#This Row],[M01AB]:[R06]])</f>
        <v>51.17</v>
      </c>
      <c r="N331" s="2">
        <f>Pharma_Sales_Data[[#This Row],[Total Drug Sales]]*150</f>
        <v>7675.5</v>
      </c>
      <c r="O331" s="2">
        <f>Pharma_Sales_Data[[#This Row],[Total Revenue]]*0.3</f>
        <v>2302.65</v>
      </c>
      <c r="P331" t="str">
        <f>IF(Pharma_Sales_Data[[#This Row],[Total Revenue]]&gt;20000,"High Value", IF(Pharma_Sales_Data[[#This Row],[Total Revenue]]&gt;=10000,"Medium Value","Low Value"))</f>
        <v>Low Value</v>
      </c>
    </row>
    <row r="332" spans="1:16" x14ac:dyDescent="0.35">
      <c r="A332" s="1">
        <v>41971</v>
      </c>
      <c r="B332">
        <v>3.02</v>
      </c>
      <c r="C332">
        <v>1.4</v>
      </c>
      <c r="D332">
        <v>15</v>
      </c>
      <c r="E332">
        <v>15.9</v>
      </c>
      <c r="F332">
        <v>12</v>
      </c>
      <c r="G332">
        <v>1</v>
      </c>
      <c r="H332">
        <v>2</v>
      </c>
      <c r="I332">
        <v>1</v>
      </c>
      <c r="J332">
        <v>2014</v>
      </c>
      <c r="K332">
        <v>11</v>
      </c>
      <c r="L332" t="s">
        <v>12</v>
      </c>
      <c r="M332">
        <f>SUM(Pharma_Sales_Data[[#This Row],[M01AB]:[R06]])</f>
        <v>51.32</v>
      </c>
      <c r="N332" s="2">
        <f>Pharma_Sales_Data[[#This Row],[Total Drug Sales]]*150</f>
        <v>7698</v>
      </c>
      <c r="O332" s="2">
        <f>Pharma_Sales_Data[[#This Row],[Total Revenue]]*0.3</f>
        <v>2309.4</v>
      </c>
      <c r="P332" t="str">
        <f>IF(Pharma_Sales_Data[[#This Row],[Total Revenue]]&gt;20000,"High Value", IF(Pharma_Sales_Data[[#This Row],[Total Revenue]]&gt;=10000,"Medium Value","Low Value"))</f>
        <v>Low Value</v>
      </c>
    </row>
    <row r="333" spans="1:16" x14ac:dyDescent="0.35">
      <c r="A333" s="1">
        <v>41972</v>
      </c>
      <c r="B333">
        <v>3</v>
      </c>
      <c r="C333">
        <v>2.0099999999999998</v>
      </c>
      <c r="D333">
        <v>3.3</v>
      </c>
      <c r="E333">
        <v>31</v>
      </c>
      <c r="F333">
        <v>16</v>
      </c>
      <c r="G333">
        <v>0</v>
      </c>
      <c r="H333">
        <v>0</v>
      </c>
      <c r="I333">
        <v>5</v>
      </c>
      <c r="J333">
        <v>2014</v>
      </c>
      <c r="K333">
        <v>11</v>
      </c>
      <c r="L333" t="s">
        <v>13</v>
      </c>
      <c r="M333">
        <f>SUM(Pharma_Sales_Data[[#This Row],[M01AB]:[R06]])</f>
        <v>60.31</v>
      </c>
      <c r="N333" s="2">
        <f>Pharma_Sales_Data[[#This Row],[Total Drug Sales]]*150</f>
        <v>9046.5</v>
      </c>
      <c r="O333" s="2">
        <f>Pharma_Sales_Data[[#This Row],[Total Revenue]]*0.3</f>
        <v>2713.95</v>
      </c>
      <c r="P333" t="str">
        <f>IF(Pharma_Sales_Data[[#This Row],[Total Revenue]]&gt;20000,"High Value", IF(Pharma_Sales_Data[[#This Row],[Total Revenue]]&gt;=10000,"Medium Value","Low Value"))</f>
        <v>Low Value</v>
      </c>
    </row>
    <row r="334" spans="1:16" x14ac:dyDescent="0.35">
      <c r="A334" s="1">
        <v>41973</v>
      </c>
      <c r="B334">
        <v>5.68</v>
      </c>
      <c r="C334">
        <v>1.33</v>
      </c>
      <c r="D334">
        <v>5</v>
      </c>
      <c r="E334">
        <v>22.6</v>
      </c>
      <c r="F334">
        <v>9</v>
      </c>
      <c r="G334">
        <v>1</v>
      </c>
      <c r="H334">
        <v>0</v>
      </c>
      <c r="I334">
        <v>2</v>
      </c>
      <c r="J334">
        <v>2014</v>
      </c>
      <c r="K334">
        <v>11</v>
      </c>
      <c r="L334" t="s">
        <v>14</v>
      </c>
      <c r="M334">
        <f>SUM(Pharma_Sales_Data[[#This Row],[M01AB]:[R06]])</f>
        <v>46.61</v>
      </c>
      <c r="N334" s="2">
        <f>Pharma_Sales_Data[[#This Row],[Total Drug Sales]]*150</f>
        <v>6991.5</v>
      </c>
      <c r="O334" s="2">
        <f>Pharma_Sales_Data[[#This Row],[Total Revenue]]*0.3</f>
        <v>2097.4499999999998</v>
      </c>
      <c r="P334" t="str">
        <f>IF(Pharma_Sales_Data[[#This Row],[Total Revenue]]&gt;20000,"High Value", IF(Pharma_Sales_Data[[#This Row],[Total Revenue]]&gt;=10000,"Medium Value","Low Value"))</f>
        <v>Low Value</v>
      </c>
    </row>
    <row r="335" spans="1:16" x14ac:dyDescent="0.35">
      <c r="A335" s="1">
        <v>41974</v>
      </c>
      <c r="B335">
        <v>4.34</v>
      </c>
      <c r="C335">
        <v>4.01</v>
      </c>
      <c r="D335">
        <v>0</v>
      </c>
      <c r="E335">
        <v>36.4</v>
      </c>
      <c r="F335">
        <v>19</v>
      </c>
      <c r="G335">
        <v>0</v>
      </c>
      <c r="H335">
        <v>2</v>
      </c>
      <c r="I335">
        <v>2</v>
      </c>
      <c r="J335">
        <v>2014</v>
      </c>
      <c r="K335">
        <v>12</v>
      </c>
      <c r="L335" t="s">
        <v>15</v>
      </c>
      <c r="M335">
        <f>SUM(Pharma_Sales_Data[[#This Row],[M01AB]:[R06]])</f>
        <v>67.75</v>
      </c>
      <c r="N335" s="2">
        <f>Pharma_Sales_Data[[#This Row],[Total Drug Sales]]*150</f>
        <v>10162.5</v>
      </c>
      <c r="O335" s="2">
        <f>Pharma_Sales_Data[[#This Row],[Total Revenue]]*0.3</f>
        <v>3048.75</v>
      </c>
      <c r="P335" t="str">
        <f>IF(Pharma_Sales_Data[[#This Row],[Total Revenue]]&gt;20000,"High Value", IF(Pharma_Sales_Data[[#This Row],[Total Revenue]]&gt;=10000,"Medium Value","Low Value"))</f>
        <v>Medium Value</v>
      </c>
    </row>
    <row r="336" spans="1:16" x14ac:dyDescent="0.35">
      <c r="A336" s="1">
        <v>41975</v>
      </c>
      <c r="B336">
        <v>6.99</v>
      </c>
      <c r="C336">
        <v>4.33</v>
      </c>
      <c r="D336">
        <v>3.7</v>
      </c>
      <c r="E336">
        <v>7.8</v>
      </c>
      <c r="F336">
        <v>26</v>
      </c>
      <c r="G336">
        <v>0</v>
      </c>
      <c r="H336">
        <v>4</v>
      </c>
      <c r="I336">
        <v>1</v>
      </c>
      <c r="J336">
        <v>2014</v>
      </c>
      <c r="K336">
        <v>12</v>
      </c>
      <c r="L336" t="s">
        <v>16</v>
      </c>
      <c r="M336">
        <f>SUM(Pharma_Sales_Data[[#This Row],[M01AB]:[R06]])</f>
        <v>53.82</v>
      </c>
      <c r="N336" s="2">
        <f>Pharma_Sales_Data[[#This Row],[Total Drug Sales]]*150</f>
        <v>8073</v>
      </c>
      <c r="O336" s="2">
        <f>Pharma_Sales_Data[[#This Row],[Total Revenue]]*0.3</f>
        <v>2421.9</v>
      </c>
      <c r="P336" t="str">
        <f>IF(Pharma_Sales_Data[[#This Row],[Total Revenue]]&gt;20000,"High Value", IF(Pharma_Sales_Data[[#This Row],[Total Revenue]]&gt;=10000,"Medium Value","Low Value"))</f>
        <v>Low Value</v>
      </c>
    </row>
    <row r="337" spans="1:16" x14ac:dyDescent="0.35">
      <c r="A337" s="1">
        <v>41976</v>
      </c>
      <c r="B337">
        <v>4</v>
      </c>
      <c r="C337">
        <v>3.33</v>
      </c>
      <c r="D337">
        <v>5</v>
      </c>
      <c r="E337">
        <v>16.600000000000001</v>
      </c>
      <c r="F337">
        <v>23</v>
      </c>
      <c r="G337">
        <v>2</v>
      </c>
      <c r="H337">
        <v>13</v>
      </c>
      <c r="I337">
        <v>3.2</v>
      </c>
      <c r="J337">
        <v>2014</v>
      </c>
      <c r="K337">
        <v>12</v>
      </c>
      <c r="L337" t="s">
        <v>17</v>
      </c>
      <c r="M337">
        <f>SUM(Pharma_Sales_Data[[#This Row],[M01AB]:[R06]])</f>
        <v>70.13000000000001</v>
      </c>
      <c r="N337" s="2">
        <f>Pharma_Sales_Data[[#This Row],[Total Drug Sales]]*150</f>
        <v>10519.500000000002</v>
      </c>
      <c r="O337" s="2">
        <f>Pharma_Sales_Data[[#This Row],[Total Revenue]]*0.3</f>
        <v>3155.8500000000004</v>
      </c>
      <c r="P337" t="str">
        <f>IF(Pharma_Sales_Data[[#This Row],[Total Revenue]]&gt;20000,"High Value", IF(Pharma_Sales_Data[[#This Row],[Total Revenue]]&gt;=10000,"Medium Value","Low Value"))</f>
        <v>Medium Value</v>
      </c>
    </row>
    <row r="338" spans="1:16" x14ac:dyDescent="0.35">
      <c r="A338" s="1">
        <v>41977</v>
      </c>
      <c r="B338">
        <v>3</v>
      </c>
      <c r="C338">
        <v>4.34</v>
      </c>
      <c r="D338">
        <v>3.6</v>
      </c>
      <c r="E338">
        <v>28.7</v>
      </c>
      <c r="F338">
        <v>16</v>
      </c>
      <c r="G338">
        <v>1</v>
      </c>
      <c r="H338">
        <v>1</v>
      </c>
      <c r="I338">
        <v>0</v>
      </c>
      <c r="J338">
        <v>2014</v>
      </c>
      <c r="K338">
        <v>12</v>
      </c>
      <c r="L338" t="s">
        <v>11</v>
      </c>
      <c r="M338">
        <f>SUM(Pharma_Sales_Data[[#This Row],[M01AB]:[R06]])</f>
        <v>57.64</v>
      </c>
      <c r="N338" s="2">
        <f>Pharma_Sales_Data[[#This Row],[Total Drug Sales]]*150</f>
        <v>8646</v>
      </c>
      <c r="O338" s="2">
        <f>Pharma_Sales_Data[[#This Row],[Total Revenue]]*0.3</f>
        <v>2593.7999999999997</v>
      </c>
      <c r="P338" t="str">
        <f>IF(Pharma_Sales_Data[[#This Row],[Total Revenue]]&gt;20000,"High Value", IF(Pharma_Sales_Data[[#This Row],[Total Revenue]]&gt;=10000,"Medium Value","Low Value"))</f>
        <v>Low Value</v>
      </c>
    </row>
    <row r="339" spans="1:16" x14ac:dyDescent="0.35">
      <c r="A339" s="1">
        <v>41978</v>
      </c>
      <c r="B339">
        <v>2.02</v>
      </c>
      <c r="C339">
        <v>5.68</v>
      </c>
      <c r="D339">
        <v>1</v>
      </c>
      <c r="E339">
        <v>28.1</v>
      </c>
      <c r="F339">
        <v>15</v>
      </c>
      <c r="G339">
        <v>1</v>
      </c>
      <c r="H339">
        <v>1</v>
      </c>
      <c r="I339">
        <v>2.2000000000000002</v>
      </c>
      <c r="J339">
        <v>2014</v>
      </c>
      <c r="K339">
        <v>12</v>
      </c>
      <c r="L339" t="s">
        <v>12</v>
      </c>
      <c r="M339">
        <f>SUM(Pharma_Sales_Data[[#This Row],[M01AB]:[R06]])</f>
        <v>56</v>
      </c>
      <c r="N339" s="2">
        <f>Pharma_Sales_Data[[#This Row],[Total Drug Sales]]*150</f>
        <v>8400</v>
      </c>
      <c r="O339" s="2">
        <f>Pharma_Sales_Data[[#This Row],[Total Revenue]]*0.3</f>
        <v>2520</v>
      </c>
      <c r="P339" t="str">
        <f>IF(Pharma_Sales_Data[[#This Row],[Total Revenue]]&gt;20000,"High Value", IF(Pharma_Sales_Data[[#This Row],[Total Revenue]]&gt;=10000,"Medium Value","Low Value"))</f>
        <v>Low Value</v>
      </c>
    </row>
    <row r="340" spans="1:16" x14ac:dyDescent="0.35">
      <c r="A340" s="1">
        <v>41979</v>
      </c>
      <c r="B340">
        <v>3.34</v>
      </c>
      <c r="C340">
        <v>3.68</v>
      </c>
      <c r="D340">
        <v>1</v>
      </c>
      <c r="E340">
        <v>12.4</v>
      </c>
      <c r="F340">
        <v>9</v>
      </c>
      <c r="G340">
        <v>0</v>
      </c>
      <c r="H340">
        <v>7</v>
      </c>
      <c r="I340">
        <v>1</v>
      </c>
      <c r="J340">
        <v>2014</v>
      </c>
      <c r="K340">
        <v>12</v>
      </c>
      <c r="L340" t="s">
        <v>13</v>
      </c>
      <c r="M340">
        <f>SUM(Pharma_Sales_Data[[#This Row],[M01AB]:[R06]])</f>
        <v>37.42</v>
      </c>
      <c r="N340" s="2">
        <f>Pharma_Sales_Data[[#This Row],[Total Drug Sales]]*150</f>
        <v>5613</v>
      </c>
      <c r="O340" s="2">
        <f>Pharma_Sales_Data[[#This Row],[Total Revenue]]*0.3</f>
        <v>1683.8999999999999</v>
      </c>
      <c r="P340" t="str">
        <f>IF(Pharma_Sales_Data[[#This Row],[Total Revenue]]&gt;20000,"High Value", IF(Pharma_Sales_Data[[#This Row],[Total Revenue]]&gt;=10000,"Medium Value","Low Value"))</f>
        <v>Low Value</v>
      </c>
    </row>
    <row r="341" spans="1:16" x14ac:dyDescent="0.35">
      <c r="A341" s="1">
        <v>41980</v>
      </c>
      <c r="B341">
        <v>5</v>
      </c>
      <c r="C341">
        <v>4.9109999999999996</v>
      </c>
      <c r="D341">
        <v>4</v>
      </c>
      <c r="E341">
        <v>45.7</v>
      </c>
      <c r="F341">
        <v>6</v>
      </c>
      <c r="G341">
        <v>0</v>
      </c>
      <c r="H341">
        <v>12</v>
      </c>
      <c r="I341">
        <v>0</v>
      </c>
      <c r="J341">
        <v>2014</v>
      </c>
      <c r="K341">
        <v>12</v>
      </c>
      <c r="L341" t="s">
        <v>14</v>
      </c>
      <c r="M341">
        <f>SUM(Pharma_Sales_Data[[#This Row],[M01AB]:[R06]])</f>
        <v>77.611000000000004</v>
      </c>
      <c r="N341" s="2">
        <f>Pharma_Sales_Data[[#This Row],[Total Drug Sales]]*150</f>
        <v>11641.650000000001</v>
      </c>
      <c r="O341" s="2">
        <f>Pharma_Sales_Data[[#This Row],[Total Revenue]]*0.3</f>
        <v>3492.4950000000003</v>
      </c>
      <c r="P341" t="str">
        <f>IF(Pharma_Sales_Data[[#This Row],[Total Revenue]]&gt;20000,"High Value", IF(Pharma_Sales_Data[[#This Row],[Total Revenue]]&gt;=10000,"Medium Value","Low Value"))</f>
        <v>Medium Value</v>
      </c>
    </row>
    <row r="342" spans="1:16" x14ac:dyDescent="0.35">
      <c r="A342" s="1">
        <v>41981</v>
      </c>
      <c r="B342">
        <v>1</v>
      </c>
      <c r="C342">
        <v>3.33</v>
      </c>
      <c r="D342">
        <v>2</v>
      </c>
      <c r="E342">
        <v>20.3</v>
      </c>
      <c r="F342">
        <v>9</v>
      </c>
      <c r="G342">
        <v>0</v>
      </c>
      <c r="H342">
        <v>0</v>
      </c>
      <c r="I342">
        <v>0</v>
      </c>
      <c r="J342">
        <v>2014</v>
      </c>
      <c r="K342">
        <v>12</v>
      </c>
      <c r="L342" t="s">
        <v>15</v>
      </c>
      <c r="M342">
        <f>SUM(Pharma_Sales_Data[[#This Row],[M01AB]:[R06]])</f>
        <v>35.630000000000003</v>
      </c>
      <c r="N342" s="2">
        <f>Pharma_Sales_Data[[#This Row],[Total Drug Sales]]*150</f>
        <v>5344.5</v>
      </c>
      <c r="O342" s="2">
        <f>Pharma_Sales_Data[[#This Row],[Total Revenue]]*0.3</f>
        <v>1603.35</v>
      </c>
      <c r="P342" t="str">
        <f>IF(Pharma_Sales_Data[[#This Row],[Total Revenue]]&gt;20000,"High Value", IF(Pharma_Sales_Data[[#This Row],[Total Revenue]]&gt;=10000,"Medium Value","Low Value"))</f>
        <v>Low Value</v>
      </c>
    </row>
    <row r="343" spans="1:16" x14ac:dyDescent="0.35">
      <c r="A343" s="1">
        <v>41982</v>
      </c>
      <c r="B343">
        <v>1</v>
      </c>
      <c r="C343">
        <v>2.34</v>
      </c>
      <c r="D343">
        <v>7</v>
      </c>
      <c r="E343">
        <v>27.28</v>
      </c>
      <c r="F343">
        <v>12</v>
      </c>
      <c r="G343">
        <v>1</v>
      </c>
      <c r="H343">
        <v>0</v>
      </c>
      <c r="I343">
        <v>2</v>
      </c>
      <c r="J343">
        <v>2014</v>
      </c>
      <c r="K343">
        <v>12</v>
      </c>
      <c r="L343" t="s">
        <v>16</v>
      </c>
      <c r="M343">
        <f>SUM(Pharma_Sales_Data[[#This Row],[M01AB]:[R06]])</f>
        <v>52.620000000000005</v>
      </c>
      <c r="N343" s="2">
        <f>Pharma_Sales_Data[[#This Row],[Total Drug Sales]]*150</f>
        <v>7893.0000000000009</v>
      </c>
      <c r="O343" s="2">
        <f>Pharma_Sales_Data[[#This Row],[Total Revenue]]*0.3</f>
        <v>2367.9</v>
      </c>
      <c r="P343" t="str">
        <f>IF(Pharma_Sales_Data[[#This Row],[Total Revenue]]&gt;20000,"High Value", IF(Pharma_Sales_Data[[#This Row],[Total Revenue]]&gt;=10000,"Medium Value","Low Value"))</f>
        <v>Low Value</v>
      </c>
    </row>
    <row r="344" spans="1:16" x14ac:dyDescent="0.35">
      <c r="A344" s="1">
        <v>41983</v>
      </c>
      <c r="B344">
        <v>3.34</v>
      </c>
      <c r="C344">
        <v>3</v>
      </c>
      <c r="D344">
        <v>2</v>
      </c>
      <c r="E344">
        <v>51.2</v>
      </c>
      <c r="F344">
        <v>28</v>
      </c>
      <c r="G344">
        <v>3</v>
      </c>
      <c r="H344">
        <v>6</v>
      </c>
      <c r="I344">
        <v>0</v>
      </c>
      <c r="J344">
        <v>2014</v>
      </c>
      <c r="K344">
        <v>12</v>
      </c>
      <c r="L344" t="s">
        <v>17</v>
      </c>
      <c r="M344">
        <f>SUM(Pharma_Sales_Data[[#This Row],[M01AB]:[R06]])</f>
        <v>96.54</v>
      </c>
      <c r="N344" s="2">
        <f>Pharma_Sales_Data[[#This Row],[Total Drug Sales]]*150</f>
        <v>14481.000000000002</v>
      </c>
      <c r="O344" s="2">
        <f>Pharma_Sales_Data[[#This Row],[Total Revenue]]*0.3</f>
        <v>4344.3</v>
      </c>
      <c r="P344" t="str">
        <f>IF(Pharma_Sales_Data[[#This Row],[Total Revenue]]&gt;20000,"High Value", IF(Pharma_Sales_Data[[#This Row],[Total Revenue]]&gt;=10000,"Medium Value","Low Value"))</f>
        <v>Medium Value</v>
      </c>
    </row>
    <row r="345" spans="1:16" x14ac:dyDescent="0.35">
      <c r="A345" s="1">
        <v>41984</v>
      </c>
      <c r="B345">
        <v>2.34</v>
      </c>
      <c r="C345">
        <v>5.33</v>
      </c>
      <c r="D345">
        <v>7</v>
      </c>
      <c r="E345">
        <v>16.3</v>
      </c>
      <c r="F345">
        <v>21</v>
      </c>
      <c r="G345">
        <v>2</v>
      </c>
      <c r="H345">
        <v>0</v>
      </c>
      <c r="I345">
        <v>0</v>
      </c>
      <c r="J345">
        <v>2014</v>
      </c>
      <c r="K345">
        <v>12</v>
      </c>
      <c r="L345" t="s">
        <v>11</v>
      </c>
      <c r="M345">
        <f>SUM(Pharma_Sales_Data[[#This Row],[M01AB]:[R06]])</f>
        <v>53.97</v>
      </c>
      <c r="N345" s="2">
        <f>Pharma_Sales_Data[[#This Row],[Total Drug Sales]]*150</f>
        <v>8095.5</v>
      </c>
      <c r="O345" s="2">
        <f>Pharma_Sales_Data[[#This Row],[Total Revenue]]*0.3</f>
        <v>2428.65</v>
      </c>
      <c r="P345" t="str">
        <f>IF(Pharma_Sales_Data[[#This Row],[Total Revenue]]&gt;20000,"High Value", IF(Pharma_Sales_Data[[#This Row],[Total Revenue]]&gt;=10000,"Medium Value","Low Value"))</f>
        <v>Low Value</v>
      </c>
    </row>
    <row r="346" spans="1:16" x14ac:dyDescent="0.35">
      <c r="A346" s="1">
        <v>41985</v>
      </c>
      <c r="B346">
        <v>6.34</v>
      </c>
      <c r="C346">
        <v>2.34</v>
      </c>
      <c r="D346">
        <v>5.6</v>
      </c>
      <c r="E346">
        <v>41.4</v>
      </c>
      <c r="F346">
        <v>18</v>
      </c>
      <c r="G346">
        <v>0</v>
      </c>
      <c r="H346">
        <v>2</v>
      </c>
      <c r="I346">
        <v>0</v>
      </c>
      <c r="J346">
        <v>2014</v>
      </c>
      <c r="K346">
        <v>12</v>
      </c>
      <c r="L346" t="s">
        <v>12</v>
      </c>
      <c r="M346">
        <f>SUM(Pharma_Sales_Data[[#This Row],[M01AB]:[R06]])</f>
        <v>75.680000000000007</v>
      </c>
      <c r="N346" s="2">
        <f>Pharma_Sales_Data[[#This Row],[Total Drug Sales]]*150</f>
        <v>11352.000000000002</v>
      </c>
      <c r="O346" s="2">
        <f>Pharma_Sales_Data[[#This Row],[Total Revenue]]*0.3</f>
        <v>3405.6000000000004</v>
      </c>
      <c r="P346" t="str">
        <f>IF(Pharma_Sales_Data[[#This Row],[Total Revenue]]&gt;20000,"High Value", IF(Pharma_Sales_Data[[#This Row],[Total Revenue]]&gt;=10000,"Medium Value","Low Value"))</f>
        <v>Medium Value</v>
      </c>
    </row>
    <row r="347" spans="1:16" x14ac:dyDescent="0.35">
      <c r="A347" s="1">
        <v>41986</v>
      </c>
      <c r="B347">
        <v>1</v>
      </c>
      <c r="C347">
        <v>3.34</v>
      </c>
      <c r="D347">
        <v>2.4</v>
      </c>
      <c r="E347">
        <v>25.1</v>
      </c>
      <c r="F347">
        <v>11</v>
      </c>
      <c r="G347">
        <v>1</v>
      </c>
      <c r="H347">
        <v>7</v>
      </c>
      <c r="I347">
        <v>0</v>
      </c>
      <c r="J347">
        <v>2014</v>
      </c>
      <c r="K347">
        <v>12</v>
      </c>
      <c r="L347" t="s">
        <v>13</v>
      </c>
      <c r="M347">
        <f>SUM(Pharma_Sales_Data[[#This Row],[M01AB]:[R06]])</f>
        <v>50.84</v>
      </c>
      <c r="N347" s="2">
        <f>Pharma_Sales_Data[[#This Row],[Total Drug Sales]]*150</f>
        <v>7626.0000000000009</v>
      </c>
      <c r="O347" s="2">
        <f>Pharma_Sales_Data[[#This Row],[Total Revenue]]*0.3</f>
        <v>2287.8000000000002</v>
      </c>
      <c r="P347" t="str">
        <f>IF(Pharma_Sales_Data[[#This Row],[Total Revenue]]&gt;20000,"High Value", IF(Pharma_Sales_Data[[#This Row],[Total Revenue]]&gt;=10000,"Medium Value","Low Value"))</f>
        <v>Low Value</v>
      </c>
    </row>
    <row r="348" spans="1:16" x14ac:dyDescent="0.35">
      <c r="A348" s="1">
        <v>41987</v>
      </c>
      <c r="B348">
        <v>10</v>
      </c>
      <c r="C348">
        <v>2.34</v>
      </c>
      <c r="D348">
        <v>4.4000000000000004</v>
      </c>
      <c r="E348">
        <v>40</v>
      </c>
      <c r="F348">
        <v>10</v>
      </c>
      <c r="G348">
        <v>0</v>
      </c>
      <c r="H348">
        <v>6</v>
      </c>
      <c r="I348">
        <v>1</v>
      </c>
      <c r="J348">
        <v>2014</v>
      </c>
      <c r="K348">
        <v>12</v>
      </c>
      <c r="L348" t="s">
        <v>14</v>
      </c>
      <c r="M348">
        <f>SUM(Pharma_Sales_Data[[#This Row],[M01AB]:[R06]])</f>
        <v>73.740000000000009</v>
      </c>
      <c r="N348" s="2">
        <f>Pharma_Sales_Data[[#This Row],[Total Drug Sales]]*150</f>
        <v>11061.000000000002</v>
      </c>
      <c r="O348" s="2">
        <f>Pharma_Sales_Data[[#This Row],[Total Revenue]]*0.3</f>
        <v>3318.3000000000006</v>
      </c>
      <c r="P348" t="str">
        <f>IF(Pharma_Sales_Data[[#This Row],[Total Revenue]]&gt;20000,"High Value", IF(Pharma_Sales_Data[[#This Row],[Total Revenue]]&gt;=10000,"Medium Value","Low Value"))</f>
        <v>Medium Value</v>
      </c>
    </row>
    <row r="349" spans="1:16" x14ac:dyDescent="0.35">
      <c r="A349" s="1">
        <v>41988</v>
      </c>
      <c r="B349">
        <v>5.34</v>
      </c>
      <c r="C349">
        <v>4.0199999999999996</v>
      </c>
      <c r="D349">
        <v>7.64</v>
      </c>
      <c r="E349">
        <v>42.2</v>
      </c>
      <c r="F349">
        <v>14</v>
      </c>
      <c r="G349">
        <v>1</v>
      </c>
      <c r="H349">
        <v>9</v>
      </c>
      <c r="I349">
        <v>1</v>
      </c>
      <c r="J349">
        <v>2014</v>
      </c>
      <c r="K349">
        <v>12</v>
      </c>
      <c r="L349" t="s">
        <v>15</v>
      </c>
      <c r="M349">
        <f>SUM(Pharma_Sales_Data[[#This Row],[M01AB]:[R06]])</f>
        <v>84.2</v>
      </c>
      <c r="N349" s="2">
        <f>Pharma_Sales_Data[[#This Row],[Total Drug Sales]]*150</f>
        <v>12630</v>
      </c>
      <c r="O349" s="2">
        <f>Pharma_Sales_Data[[#This Row],[Total Revenue]]*0.3</f>
        <v>3789</v>
      </c>
      <c r="P349" t="str">
        <f>IF(Pharma_Sales_Data[[#This Row],[Total Revenue]]&gt;20000,"High Value", IF(Pharma_Sales_Data[[#This Row],[Total Revenue]]&gt;=10000,"Medium Value","Low Value"))</f>
        <v>Medium Value</v>
      </c>
    </row>
    <row r="350" spans="1:16" x14ac:dyDescent="0.35">
      <c r="A350" s="1">
        <v>41989</v>
      </c>
      <c r="B350">
        <v>6.34</v>
      </c>
      <c r="C350">
        <v>1.34</v>
      </c>
      <c r="D350">
        <v>6.2</v>
      </c>
      <c r="E350">
        <v>23</v>
      </c>
      <c r="F350">
        <v>23</v>
      </c>
      <c r="G350">
        <v>3</v>
      </c>
      <c r="H350">
        <v>4</v>
      </c>
      <c r="I350">
        <v>1</v>
      </c>
      <c r="J350">
        <v>2014</v>
      </c>
      <c r="K350">
        <v>12</v>
      </c>
      <c r="L350" t="s">
        <v>16</v>
      </c>
      <c r="M350">
        <f>SUM(Pharma_Sales_Data[[#This Row],[M01AB]:[R06]])</f>
        <v>67.88</v>
      </c>
      <c r="N350" s="2">
        <f>Pharma_Sales_Data[[#This Row],[Total Drug Sales]]*150</f>
        <v>10182</v>
      </c>
      <c r="O350" s="2">
        <f>Pharma_Sales_Data[[#This Row],[Total Revenue]]*0.3</f>
        <v>3054.6</v>
      </c>
      <c r="P350" t="str">
        <f>IF(Pharma_Sales_Data[[#This Row],[Total Revenue]]&gt;20000,"High Value", IF(Pharma_Sales_Data[[#This Row],[Total Revenue]]&gt;=10000,"Medium Value","Low Value"))</f>
        <v>Medium Value</v>
      </c>
    </row>
    <row r="351" spans="1:16" x14ac:dyDescent="0.35">
      <c r="A351" s="1">
        <v>41990</v>
      </c>
      <c r="B351">
        <v>3</v>
      </c>
      <c r="C351">
        <v>3.67</v>
      </c>
      <c r="D351">
        <v>3.5</v>
      </c>
      <c r="E351">
        <v>28</v>
      </c>
      <c r="F351">
        <v>17</v>
      </c>
      <c r="G351">
        <v>2</v>
      </c>
      <c r="H351">
        <v>8</v>
      </c>
      <c r="I351">
        <v>0</v>
      </c>
      <c r="J351">
        <v>2014</v>
      </c>
      <c r="K351">
        <v>12</v>
      </c>
      <c r="L351" t="s">
        <v>17</v>
      </c>
      <c r="M351">
        <f>SUM(Pharma_Sales_Data[[#This Row],[M01AB]:[R06]])</f>
        <v>65.17</v>
      </c>
      <c r="N351" s="2">
        <f>Pharma_Sales_Data[[#This Row],[Total Drug Sales]]*150</f>
        <v>9775.5</v>
      </c>
      <c r="O351" s="2">
        <f>Pharma_Sales_Data[[#This Row],[Total Revenue]]*0.3</f>
        <v>2932.65</v>
      </c>
      <c r="P351" t="str">
        <f>IF(Pharma_Sales_Data[[#This Row],[Total Revenue]]&gt;20000,"High Value", IF(Pharma_Sales_Data[[#This Row],[Total Revenue]]&gt;=10000,"Medium Value","Low Value"))</f>
        <v>Low Value</v>
      </c>
    </row>
    <row r="352" spans="1:16" x14ac:dyDescent="0.35">
      <c r="A352" s="1">
        <v>41991</v>
      </c>
      <c r="B352">
        <v>5</v>
      </c>
      <c r="C352">
        <v>3.67</v>
      </c>
      <c r="D352">
        <v>3</v>
      </c>
      <c r="E352">
        <v>26.6</v>
      </c>
      <c r="F352">
        <v>9</v>
      </c>
      <c r="G352">
        <v>0</v>
      </c>
      <c r="H352">
        <v>0</v>
      </c>
      <c r="I352">
        <v>0</v>
      </c>
      <c r="J352">
        <v>2014</v>
      </c>
      <c r="K352">
        <v>12</v>
      </c>
      <c r="L352" t="s">
        <v>11</v>
      </c>
      <c r="M352">
        <f>SUM(Pharma_Sales_Data[[#This Row],[M01AB]:[R06]])</f>
        <v>47.27</v>
      </c>
      <c r="N352" s="2">
        <f>Pharma_Sales_Data[[#This Row],[Total Drug Sales]]*150</f>
        <v>7090.5000000000009</v>
      </c>
      <c r="O352" s="2">
        <f>Pharma_Sales_Data[[#This Row],[Total Revenue]]*0.3</f>
        <v>2127.15</v>
      </c>
      <c r="P352" t="str">
        <f>IF(Pharma_Sales_Data[[#This Row],[Total Revenue]]&gt;20000,"High Value", IF(Pharma_Sales_Data[[#This Row],[Total Revenue]]&gt;=10000,"Medium Value","Low Value"))</f>
        <v>Low Value</v>
      </c>
    </row>
    <row r="353" spans="1:16" x14ac:dyDescent="0.35">
      <c r="A353" s="1">
        <v>41992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2014</v>
      </c>
      <c r="K353">
        <v>12</v>
      </c>
      <c r="L353" t="s">
        <v>12</v>
      </c>
      <c r="M353">
        <f>SUM(Pharma_Sales_Data[[#This Row],[M01AB]:[R06]])</f>
        <v>0</v>
      </c>
      <c r="N353" s="2">
        <f>Pharma_Sales_Data[[#This Row],[Total Drug Sales]]*150</f>
        <v>0</v>
      </c>
      <c r="O353" s="2">
        <f>Pharma_Sales_Data[[#This Row],[Total Revenue]]*0.3</f>
        <v>0</v>
      </c>
      <c r="P353" t="str">
        <f>IF(Pharma_Sales_Data[[#This Row],[Total Revenue]]&gt;20000,"High Value", IF(Pharma_Sales_Data[[#This Row],[Total Revenue]]&gt;=10000,"Medium Value","Low Value"))</f>
        <v>Low Value</v>
      </c>
    </row>
    <row r="354" spans="1:16" x14ac:dyDescent="0.35">
      <c r="A354" s="1">
        <v>41993</v>
      </c>
      <c r="B354">
        <v>1</v>
      </c>
      <c r="C354">
        <v>3.66</v>
      </c>
      <c r="D354">
        <v>2</v>
      </c>
      <c r="E354">
        <v>31.3</v>
      </c>
      <c r="F354">
        <v>9</v>
      </c>
      <c r="G354">
        <v>0</v>
      </c>
      <c r="H354">
        <v>0</v>
      </c>
      <c r="I354">
        <v>3</v>
      </c>
      <c r="J354">
        <v>2014</v>
      </c>
      <c r="K354">
        <v>12</v>
      </c>
      <c r="L354" t="s">
        <v>13</v>
      </c>
      <c r="M354">
        <f>SUM(Pharma_Sales_Data[[#This Row],[M01AB]:[R06]])</f>
        <v>49.96</v>
      </c>
      <c r="N354" s="2">
        <f>Pharma_Sales_Data[[#This Row],[Total Drug Sales]]*150</f>
        <v>7494</v>
      </c>
      <c r="O354" s="2">
        <f>Pharma_Sales_Data[[#This Row],[Total Revenue]]*0.3</f>
        <v>2248.1999999999998</v>
      </c>
      <c r="P354" t="str">
        <f>IF(Pharma_Sales_Data[[#This Row],[Total Revenue]]&gt;20000,"High Value", IF(Pharma_Sales_Data[[#This Row],[Total Revenue]]&gt;=10000,"Medium Value","Low Value"))</f>
        <v>Low Value</v>
      </c>
    </row>
    <row r="355" spans="1:16" x14ac:dyDescent="0.35">
      <c r="A355" s="1">
        <v>41994</v>
      </c>
      <c r="B355">
        <v>4.33</v>
      </c>
      <c r="C355">
        <v>4.33</v>
      </c>
      <c r="D355">
        <v>2</v>
      </c>
      <c r="E355">
        <v>52.5</v>
      </c>
      <c r="F355">
        <v>6</v>
      </c>
      <c r="G355">
        <v>0</v>
      </c>
      <c r="H355">
        <v>10</v>
      </c>
      <c r="I355">
        <v>1</v>
      </c>
      <c r="J355">
        <v>2014</v>
      </c>
      <c r="K355">
        <v>12</v>
      </c>
      <c r="L355" t="s">
        <v>14</v>
      </c>
      <c r="M355">
        <f>SUM(Pharma_Sales_Data[[#This Row],[M01AB]:[R06]])</f>
        <v>80.16</v>
      </c>
      <c r="N355" s="2">
        <f>Pharma_Sales_Data[[#This Row],[Total Drug Sales]]*150</f>
        <v>12024</v>
      </c>
      <c r="O355" s="2">
        <f>Pharma_Sales_Data[[#This Row],[Total Revenue]]*0.3</f>
        <v>3607.2</v>
      </c>
      <c r="P355" t="str">
        <f>IF(Pharma_Sales_Data[[#This Row],[Total Revenue]]&gt;20000,"High Value", IF(Pharma_Sales_Data[[#This Row],[Total Revenue]]&gt;=10000,"Medium Value","Low Value"))</f>
        <v>Medium Value</v>
      </c>
    </row>
    <row r="356" spans="1:16" x14ac:dyDescent="0.35">
      <c r="A356" s="1">
        <v>41995</v>
      </c>
      <c r="B356">
        <v>3.34</v>
      </c>
      <c r="C356">
        <v>4.68</v>
      </c>
      <c r="D356">
        <v>2.2839999999999998</v>
      </c>
      <c r="E356">
        <v>19.600000000000001</v>
      </c>
      <c r="F356">
        <v>43</v>
      </c>
      <c r="G356">
        <v>1</v>
      </c>
      <c r="H356">
        <v>13</v>
      </c>
      <c r="I356">
        <v>4</v>
      </c>
      <c r="J356">
        <v>2014</v>
      </c>
      <c r="K356">
        <v>12</v>
      </c>
      <c r="L356" t="s">
        <v>15</v>
      </c>
      <c r="M356">
        <f>SUM(Pharma_Sales_Data[[#This Row],[M01AB]:[R06]])</f>
        <v>90.903999999999996</v>
      </c>
      <c r="N356" s="2">
        <f>Pharma_Sales_Data[[#This Row],[Total Drug Sales]]*150</f>
        <v>13635.599999999999</v>
      </c>
      <c r="O356" s="2">
        <f>Pharma_Sales_Data[[#This Row],[Total Revenue]]*0.3</f>
        <v>4090.6799999999994</v>
      </c>
      <c r="P356" t="str">
        <f>IF(Pharma_Sales_Data[[#This Row],[Total Revenue]]&gt;20000,"High Value", IF(Pharma_Sales_Data[[#This Row],[Total Revenue]]&gt;=10000,"Medium Value","Low Value"))</f>
        <v>Medium Value</v>
      </c>
    </row>
    <row r="357" spans="1:16" x14ac:dyDescent="0.35">
      <c r="A357" s="1">
        <v>41996</v>
      </c>
      <c r="B357">
        <v>10.5</v>
      </c>
      <c r="C357">
        <v>3</v>
      </c>
      <c r="D357">
        <v>4.5999999999999996</v>
      </c>
      <c r="E357">
        <v>40.4</v>
      </c>
      <c r="F357">
        <v>13</v>
      </c>
      <c r="G357">
        <v>2</v>
      </c>
      <c r="H357">
        <v>15</v>
      </c>
      <c r="I357">
        <v>0</v>
      </c>
      <c r="J357">
        <v>2014</v>
      </c>
      <c r="K357">
        <v>12</v>
      </c>
      <c r="L357" t="s">
        <v>16</v>
      </c>
      <c r="M357">
        <f>SUM(Pharma_Sales_Data[[#This Row],[M01AB]:[R06]])</f>
        <v>88.5</v>
      </c>
      <c r="N357" s="2">
        <f>Pharma_Sales_Data[[#This Row],[Total Drug Sales]]*150</f>
        <v>13275</v>
      </c>
      <c r="O357" s="2">
        <f>Pharma_Sales_Data[[#This Row],[Total Revenue]]*0.3</f>
        <v>3982.5</v>
      </c>
      <c r="P357" t="str">
        <f>IF(Pharma_Sales_Data[[#This Row],[Total Revenue]]&gt;20000,"High Value", IF(Pharma_Sales_Data[[#This Row],[Total Revenue]]&gt;=10000,"Medium Value","Low Value"))</f>
        <v>Medium Value</v>
      </c>
    </row>
    <row r="358" spans="1:16" x14ac:dyDescent="0.35">
      <c r="A358" s="1">
        <v>41997</v>
      </c>
      <c r="B358">
        <v>1</v>
      </c>
      <c r="C358">
        <v>3</v>
      </c>
      <c r="D358">
        <v>1</v>
      </c>
      <c r="E358">
        <v>41.6</v>
      </c>
      <c r="F358">
        <v>16</v>
      </c>
      <c r="G358">
        <v>0</v>
      </c>
      <c r="H358">
        <v>2</v>
      </c>
      <c r="I358">
        <v>2</v>
      </c>
      <c r="J358">
        <v>2014</v>
      </c>
      <c r="K358">
        <v>12</v>
      </c>
      <c r="L358" t="s">
        <v>17</v>
      </c>
      <c r="M358">
        <f>SUM(Pharma_Sales_Data[[#This Row],[M01AB]:[R06]])</f>
        <v>66.599999999999994</v>
      </c>
      <c r="N358" s="2">
        <f>Pharma_Sales_Data[[#This Row],[Total Drug Sales]]*150</f>
        <v>9990</v>
      </c>
      <c r="O358" s="2">
        <f>Pharma_Sales_Data[[#This Row],[Total Revenue]]*0.3</f>
        <v>2997</v>
      </c>
      <c r="P358" t="str">
        <f>IF(Pharma_Sales_Data[[#This Row],[Total Revenue]]&gt;20000,"High Value", IF(Pharma_Sales_Data[[#This Row],[Total Revenue]]&gt;=10000,"Medium Value","Low Value"))</f>
        <v>Low Value</v>
      </c>
    </row>
    <row r="359" spans="1:16" x14ac:dyDescent="0.35">
      <c r="A359" s="1">
        <v>41998</v>
      </c>
      <c r="B359">
        <v>8.34</v>
      </c>
      <c r="C359">
        <v>2</v>
      </c>
      <c r="D359">
        <v>9.5</v>
      </c>
      <c r="E359">
        <v>31</v>
      </c>
      <c r="F359">
        <v>16</v>
      </c>
      <c r="G359">
        <v>0</v>
      </c>
      <c r="H359">
        <v>2</v>
      </c>
      <c r="I359">
        <v>2</v>
      </c>
      <c r="J359">
        <v>2014</v>
      </c>
      <c r="K359">
        <v>12</v>
      </c>
      <c r="L359" t="s">
        <v>11</v>
      </c>
      <c r="M359">
        <f>SUM(Pharma_Sales_Data[[#This Row],[M01AB]:[R06]])</f>
        <v>70.84</v>
      </c>
      <c r="N359" s="2">
        <f>Pharma_Sales_Data[[#This Row],[Total Drug Sales]]*150</f>
        <v>10626</v>
      </c>
      <c r="O359" s="2">
        <f>Pharma_Sales_Data[[#This Row],[Total Revenue]]*0.3</f>
        <v>3187.7999999999997</v>
      </c>
      <c r="P359" t="str">
        <f>IF(Pharma_Sales_Data[[#This Row],[Total Revenue]]&gt;20000,"High Value", IF(Pharma_Sales_Data[[#This Row],[Total Revenue]]&gt;=10000,"Medium Value","Low Value"))</f>
        <v>Medium Value</v>
      </c>
    </row>
    <row r="360" spans="1:16" x14ac:dyDescent="0.35">
      <c r="A360" s="1">
        <v>41999</v>
      </c>
      <c r="B360">
        <v>3.33</v>
      </c>
      <c r="C360">
        <v>4.01</v>
      </c>
      <c r="D360">
        <v>3</v>
      </c>
      <c r="E360">
        <v>30.7</v>
      </c>
      <c r="F360">
        <v>25</v>
      </c>
      <c r="G360">
        <v>1</v>
      </c>
      <c r="H360">
        <v>0</v>
      </c>
      <c r="I360">
        <v>0</v>
      </c>
      <c r="J360">
        <v>2014</v>
      </c>
      <c r="K360">
        <v>12</v>
      </c>
      <c r="L360" t="s">
        <v>12</v>
      </c>
      <c r="M360">
        <f>SUM(Pharma_Sales_Data[[#This Row],[M01AB]:[R06]])</f>
        <v>67.039999999999992</v>
      </c>
      <c r="N360" s="2">
        <f>Pharma_Sales_Data[[#This Row],[Total Drug Sales]]*150</f>
        <v>10055.999999999998</v>
      </c>
      <c r="O360" s="2">
        <f>Pharma_Sales_Data[[#This Row],[Total Revenue]]*0.3</f>
        <v>3016.7999999999993</v>
      </c>
      <c r="P360" t="str">
        <f>IF(Pharma_Sales_Data[[#This Row],[Total Revenue]]&gt;20000,"High Value", IF(Pharma_Sales_Data[[#This Row],[Total Revenue]]&gt;=10000,"Medium Value","Low Value"))</f>
        <v>Medium Value</v>
      </c>
    </row>
    <row r="361" spans="1:16" x14ac:dyDescent="0.35">
      <c r="A361" s="1">
        <v>42000</v>
      </c>
      <c r="B361">
        <v>7.33</v>
      </c>
      <c r="C361">
        <v>5.34</v>
      </c>
      <c r="D361">
        <v>4.4000000000000004</v>
      </c>
      <c r="E361">
        <v>39</v>
      </c>
      <c r="F361">
        <v>26</v>
      </c>
      <c r="G361">
        <v>0</v>
      </c>
      <c r="H361">
        <v>9</v>
      </c>
      <c r="I361">
        <v>3</v>
      </c>
      <c r="J361">
        <v>2014</v>
      </c>
      <c r="K361">
        <v>12</v>
      </c>
      <c r="L361" t="s">
        <v>13</v>
      </c>
      <c r="M361">
        <f>SUM(Pharma_Sales_Data[[#This Row],[M01AB]:[R06]])</f>
        <v>94.07</v>
      </c>
      <c r="N361" s="2">
        <f>Pharma_Sales_Data[[#This Row],[Total Drug Sales]]*150</f>
        <v>14110.499999999998</v>
      </c>
      <c r="O361" s="2">
        <f>Pharma_Sales_Data[[#This Row],[Total Revenue]]*0.3</f>
        <v>4233.1499999999996</v>
      </c>
      <c r="P361" t="str">
        <f>IF(Pharma_Sales_Data[[#This Row],[Total Revenue]]&gt;20000,"High Value", IF(Pharma_Sales_Data[[#This Row],[Total Revenue]]&gt;=10000,"Medium Value","Low Value"))</f>
        <v>Medium Value</v>
      </c>
    </row>
    <row r="362" spans="1:16" x14ac:dyDescent="0.35">
      <c r="A362" s="1">
        <v>42001</v>
      </c>
      <c r="B362">
        <v>2.34</v>
      </c>
      <c r="C362">
        <v>10.76</v>
      </c>
      <c r="D362">
        <v>3</v>
      </c>
      <c r="E362">
        <v>80.400000000000006</v>
      </c>
      <c r="F362">
        <v>15</v>
      </c>
      <c r="G362">
        <v>0</v>
      </c>
      <c r="H362">
        <v>13</v>
      </c>
      <c r="I362">
        <v>1</v>
      </c>
      <c r="J362">
        <v>2014</v>
      </c>
      <c r="K362">
        <v>12</v>
      </c>
      <c r="L362" t="s">
        <v>14</v>
      </c>
      <c r="M362">
        <f>SUM(Pharma_Sales_Data[[#This Row],[M01AB]:[R06]])</f>
        <v>125.5</v>
      </c>
      <c r="N362" s="2">
        <f>Pharma_Sales_Data[[#This Row],[Total Drug Sales]]*150</f>
        <v>18825</v>
      </c>
      <c r="O362" s="2">
        <f>Pharma_Sales_Data[[#This Row],[Total Revenue]]*0.3</f>
        <v>5647.5</v>
      </c>
      <c r="P362" t="str">
        <f>IF(Pharma_Sales_Data[[#This Row],[Total Revenue]]&gt;20000,"High Value", IF(Pharma_Sales_Data[[#This Row],[Total Revenue]]&gt;=10000,"Medium Value","Low Value"))</f>
        <v>Medium Value</v>
      </c>
    </row>
    <row r="363" spans="1:16" x14ac:dyDescent="0.35">
      <c r="A363" s="1">
        <v>42002</v>
      </c>
      <c r="B363">
        <v>2.33</v>
      </c>
      <c r="C363">
        <v>3.66</v>
      </c>
      <c r="D363">
        <v>4</v>
      </c>
      <c r="E363">
        <v>40</v>
      </c>
      <c r="F363">
        <v>5</v>
      </c>
      <c r="G363">
        <v>1</v>
      </c>
      <c r="H363">
        <v>2</v>
      </c>
      <c r="I363">
        <v>0</v>
      </c>
      <c r="J363">
        <v>2014</v>
      </c>
      <c r="K363">
        <v>12</v>
      </c>
      <c r="L363" t="s">
        <v>15</v>
      </c>
      <c r="M363">
        <f>SUM(Pharma_Sales_Data[[#This Row],[M01AB]:[R06]])</f>
        <v>57.99</v>
      </c>
      <c r="N363" s="2">
        <f>Pharma_Sales_Data[[#This Row],[Total Drug Sales]]*150</f>
        <v>8698.5</v>
      </c>
      <c r="O363" s="2">
        <f>Pharma_Sales_Data[[#This Row],[Total Revenue]]*0.3</f>
        <v>2609.5499999999997</v>
      </c>
      <c r="P363" t="str">
        <f>IF(Pharma_Sales_Data[[#This Row],[Total Revenue]]&gt;20000,"High Value", IF(Pharma_Sales_Data[[#This Row],[Total Revenue]]&gt;=10000,"Medium Value","Low Value"))</f>
        <v>Low Value</v>
      </c>
    </row>
    <row r="364" spans="1:16" x14ac:dyDescent="0.35">
      <c r="A364" s="1">
        <v>42003</v>
      </c>
      <c r="B364">
        <v>9</v>
      </c>
      <c r="C364">
        <v>5.63</v>
      </c>
      <c r="D364">
        <v>3.8</v>
      </c>
      <c r="E364">
        <v>51</v>
      </c>
      <c r="F364">
        <v>18</v>
      </c>
      <c r="G364">
        <v>0</v>
      </c>
      <c r="H364">
        <v>5</v>
      </c>
      <c r="I364">
        <v>2</v>
      </c>
      <c r="J364">
        <v>2014</v>
      </c>
      <c r="K364">
        <v>12</v>
      </c>
      <c r="L364" t="s">
        <v>16</v>
      </c>
      <c r="M364">
        <f>SUM(Pharma_Sales_Data[[#This Row],[M01AB]:[R06]])</f>
        <v>94.43</v>
      </c>
      <c r="N364" s="2">
        <f>Pharma_Sales_Data[[#This Row],[Total Drug Sales]]*150</f>
        <v>14164.500000000002</v>
      </c>
      <c r="O364" s="2">
        <f>Pharma_Sales_Data[[#This Row],[Total Revenue]]*0.3</f>
        <v>4249.3500000000004</v>
      </c>
      <c r="P364" t="str">
        <f>IF(Pharma_Sales_Data[[#This Row],[Total Revenue]]&gt;20000,"High Value", IF(Pharma_Sales_Data[[#This Row],[Total Revenue]]&gt;=10000,"Medium Value","Low Value"))</f>
        <v>Medium Value</v>
      </c>
    </row>
    <row r="365" spans="1:16" x14ac:dyDescent="0.35">
      <c r="A365" s="1">
        <v>42004</v>
      </c>
      <c r="B365">
        <v>5.67</v>
      </c>
      <c r="C365">
        <v>6.33</v>
      </c>
      <c r="D365">
        <v>2.5</v>
      </c>
      <c r="E365">
        <v>41.08</v>
      </c>
      <c r="F365">
        <v>14</v>
      </c>
      <c r="G365">
        <v>3</v>
      </c>
      <c r="H365">
        <v>10</v>
      </c>
      <c r="I365">
        <v>1</v>
      </c>
      <c r="J365">
        <v>2014</v>
      </c>
      <c r="K365">
        <v>12</v>
      </c>
      <c r="L365" t="s">
        <v>17</v>
      </c>
      <c r="M365">
        <f>SUM(Pharma_Sales_Data[[#This Row],[M01AB]:[R06]])</f>
        <v>83.58</v>
      </c>
      <c r="N365" s="2">
        <f>Pharma_Sales_Data[[#This Row],[Total Drug Sales]]*150</f>
        <v>12537</v>
      </c>
      <c r="O365" s="2">
        <f>Pharma_Sales_Data[[#This Row],[Total Revenue]]*0.3</f>
        <v>3761.1</v>
      </c>
      <c r="P365" t="str">
        <f>IF(Pharma_Sales_Data[[#This Row],[Total Revenue]]&gt;20000,"High Value", IF(Pharma_Sales_Data[[#This Row],[Total Revenue]]&gt;=10000,"Medium Value","Low Value"))</f>
        <v>Medium Value</v>
      </c>
    </row>
    <row r="366" spans="1:16" x14ac:dyDescent="0.35">
      <c r="A366" s="1">
        <v>42005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2015</v>
      </c>
      <c r="K366">
        <v>1</v>
      </c>
      <c r="L366" t="s">
        <v>11</v>
      </c>
      <c r="M366">
        <f>SUM(Pharma_Sales_Data[[#This Row],[M01AB]:[R06]])</f>
        <v>0</v>
      </c>
      <c r="N366" s="2">
        <f>Pharma_Sales_Data[[#This Row],[Total Drug Sales]]*150</f>
        <v>0</v>
      </c>
      <c r="O366" s="2">
        <f>Pharma_Sales_Data[[#This Row],[Total Revenue]]*0.3</f>
        <v>0</v>
      </c>
      <c r="P366" t="str">
        <f>IF(Pharma_Sales_Data[[#This Row],[Total Revenue]]&gt;20000,"High Value", IF(Pharma_Sales_Data[[#This Row],[Total Revenue]]&gt;=10000,"Medium Value","Low Value"))</f>
        <v>Low Value</v>
      </c>
    </row>
    <row r="367" spans="1:16" x14ac:dyDescent="0.35">
      <c r="A367" s="1">
        <v>42006</v>
      </c>
      <c r="B367">
        <v>6</v>
      </c>
      <c r="C367">
        <v>5.33</v>
      </c>
      <c r="D367">
        <v>4.9000000000000004</v>
      </c>
      <c r="E367">
        <v>50.8</v>
      </c>
      <c r="F367">
        <v>13</v>
      </c>
      <c r="G367">
        <v>0</v>
      </c>
      <c r="H367">
        <v>6.25</v>
      </c>
      <c r="I367">
        <v>2</v>
      </c>
      <c r="J367">
        <v>2015</v>
      </c>
      <c r="K367">
        <v>1</v>
      </c>
      <c r="L367" t="s">
        <v>12</v>
      </c>
      <c r="M367">
        <f>SUM(Pharma_Sales_Data[[#This Row],[M01AB]:[R06]])</f>
        <v>88.28</v>
      </c>
      <c r="N367" s="2">
        <f>Pharma_Sales_Data[[#This Row],[Total Drug Sales]]*150</f>
        <v>13242</v>
      </c>
      <c r="O367" s="2">
        <f>Pharma_Sales_Data[[#This Row],[Total Revenue]]*0.3</f>
        <v>3972.6</v>
      </c>
      <c r="P367" t="str">
        <f>IF(Pharma_Sales_Data[[#This Row],[Total Revenue]]&gt;20000,"High Value", IF(Pharma_Sales_Data[[#This Row],[Total Revenue]]&gt;=10000,"Medium Value","Low Value"))</f>
        <v>Medium Value</v>
      </c>
    </row>
    <row r="368" spans="1:16" x14ac:dyDescent="0.35">
      <c r="A368" s="1">
        <v>42007</v>
      </c>
      <c r="B368">
        <v>9</v>
      </c>
      <c r="C368">
        <v>4.67</v>
      </c>
      <c r="D368">
        <v>6</v>
      </c>
      <c r="E368">
        <v>57.24</v>
      </c>
      <c r="F368">
        <v>11</v>
      </c>
      <c r="G368">
        <v>3</v>
      </c>
      <c r="H368">
        <v>0</v>
      </c>
      <c r="I368">
        <v>4</v>
      </c>
      <c r="J368">
        <v>2015</v>
      </c>
      <c r="K368">
        <v>1</v>
      </c>
      <c r="L368" t="s">
        <v>13</v>
      </c>
      <c r="M368">
        <f>SUM(Pharma_Sales_Data[[#This Row],[M01AB]:[R06]])</f>
        <v>94.91</v>
      </c>
      <c r="N368" s="2">
        <f>Pharma_Sales_Data[[#This Row],[Total Drug Sales]]*150</f>
        <v>14236.5</v>
      </c>
      <c r="O368" s="2">
        <f>Pharma_Sales_Data[[#This Row],[Total Revenue]]*0.3</f>
        <v>4270.95</v>
      </c>
      <c r="P368" t="str">
        <f>IF(Pharma_Sales_Data[[#This Row],[Total Revenue]]&gt;20000,"High Value", IF(Pharma_Sales_Data[[#This Row],[Total Revenue]]&gt;=10000,"Medium Value","Low Value"))</f>
        <v>Medium Value</v>
      </c>
    </row>
    <row r="369" spans="1:16" x14ac:dyDescent="0.35">
      <c r="A369" s="1">
        <v>42008</v>
      </c>
      <c r="B369">
        <v>4.68</v>
      </c>
      <c r="C369">
        <v>8.92</v>
      </c>
      <c r="D369">
        <v>3.5</v>
      </c>
      <c r="E369">
        <v>60.1</v>
      </c>
      <c r="F369">
        <v>4</v>
      </c>
      <c r="G369">
        <v>0</v>
      </c>
      <c r="H369">
        <v>2</v>
      </c>
      <c r="I369">
        <v>1</v>
      </c>
      <c r="J369">
        <v>2015</v>
      </c>
      <c r="K369">
        <v>1</v>
      </c>
      <c r="L369" t="s">
        <v>14</v>
      </c>
      <c r="M369">
        <f>SUM(Pharma_Sales_Data[[#This Row],[M01AB]:[R06]])</f>
        <v>84.2</v>
      </c>
      <c r="N369" s="2">
        <f>Pharma_Sales_Data[[#This Row],[Total Drug Sales]]*150</f>
        <v>12630</v>
      </c>
      <c r="O369" s="2">
        <f>Pharma_Sales_Data[[#This Row],[Total Revenue]]*0.3</f>
        <v>3789</v>
      </c>
      <c r="P369" t="str">
        <f>IF(Pharma_Sales_Data[[#This Row],[Total Revenue]]&gt;20000,"High Value", IF(Pharma_Sales_Data[[#This Row],[Total Revenue]]&gt;=10000,"Medium Value","Low Value"))</f>
        <v>Medium Value</v>
      </c>
    </row>
    <row r="370" spans="1:16" x14ac:dyDescent="0.35">
      <c r="A370" s="1">
        <v>42009</v>
      </c>
      <c r="B370">
        <v>2.34</v>
      </c>
      <c r="C370">
        <v>3.32</v>
      </c>
      <c r="D370">
        <v>1</v>
      </c>
      <c r="E370">
        <v>33.6</v>
      </c>
      <c r="F370">
        <v>14</v>
      </c>
      <c r="G370">
        <v>0</v>
      </c>
      <c r="H370">
        <v>16</v>
      </c>
      <c r="I370">
        <v>3</v>
      </c>
      <c r="J370">
        <v>2015</v>
      </c>
      <c r="K370">
        <v>1</v>
      </c>
      <c r="L370" t="s">
        <v>15</v>
      </c>
      <c r="M370">
        <f>SUM(Pharma_Sales_Data[[#This Row],[M01AB]:[R06]])</f>
        <v>73.260000000000005</v>
      </c>
      <c r="N370" s="2">
        <f>Pharma_Sales_Data[[#This Row],[Total Drug Sales]]*150</f>
        <v>10989</v>
      </c>
      <c r="O370" s="2">
        <f>Pharma_Sales_Data[[#This Row],[Total Revenue]]*0.3</f>
        <v>3296.7</v>
      </c>
      <c r="P370" t="str">
        <f>IF(Pharma_Sales_Data[[#This Row],[Total Revenue]]&gt;20000,"High Value", IF(Pharma_Sales_Data[[#This Row],[Total Revenue]]&gt;=10000,"Medium Value","Low Value"))</f>
        <v>Medium Value</v>
      </c>
    </row>
    <row r="371" spans="1:16" x14ac:dyDescent="0.35">
      <c r="A371" s="1">
        <v>42010</v>
      </c>
      <c r="B371">
        <v>3</v>
      </c>
      <c r="C371">
        <v>9.3699999999999992</v>
      </c>
      <c r="D371">
        <v>7.3</v>
      </c>
      <c r="E371">
        <v>42</v>
      </c>
      <c r="F371">
        <v>13</v>
      </c>
      <c r="G371">
        <v>0</v>
      </c>
      <c r="H371">
        <v>3</v>
      </c>
      <c r="I371">
        <v>0</v>
      </c>
      <c r="J371">
        <v>2015</v>
      </c>
      <c r="K371">
        <v>1</v>
      </c>
      <c r="L371" t="s">
        <v>16</v>
      </c>
      <c r="M371">
        <f>SUM(Pharma_Sales_Data[[#This Row],[M01AB]:[R06]])</f>
        <v>77.67</v>
      </c>
      <c r="N371" s="2">
        <f>Pharma_Sales_Data[[#This Row],[Total Drug Sales]]*150</f>
        <v>11650.5</v>
      </c>
      <c r="O371" s="2">
        <f>Pharma_Sales_Data[[#This Row],[Total Revenue]]*0.3</f>
        <v>3495.15</v>
      </c>
      <c r="P371" t="str">
        <f>IF(Pharma_Sales_Data[[#This Row],[Total Revenue]]&gt;20000,"High Value", IF(Pharma_Sales_Data[[#This Row],[Total Revenue]]&gt;=10000,"Medium Value","Low Value"))</f>
        <v>Medium Value</v>
      </c>
    </row>
    <row r="372" spans="1:16" x14ac:dyDescent="0.35">
      <c r="A372" s="1">
        <v>42011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2015</v>
      </c>
      <c r="K372">
        <v>1</v>
      </c>
      <c r="L372" t="s">
        <v>17</v>
      </c>
      <c r="M372">
        <f>SUM(Pharma_Sales_Data[[#This Row],[M01AB]:[R06]])</f>
        <v>0</v>
      </c>
      <c r="N372" s="2">
        <f>Pharma_Sales_Data[[#This Row],[Total Drug Sales]]*150</f>
        <v>0</v>
      </c>
      <c r="O372" s="2">
        <f>Pharma_Sales_Data[[#This Row],[Total Revenue]]*0.3</f>
        <v>0</v>
      </c>
      <c r="P372" t="str">
        <f>IF(Pharma_Sales_Data[[#This Row],[Total Revenue]]&gt;20000,"High Value", IF(Pharma_Sales_Data[[#This Row],[Total Revenue]]&gt;=10000,"Medium Value","Low Value"))</f>
        <v>Low Value</v>
      </c>
    </row>
    <row r="373" spans="1:16" x14ac:dyDescent="0.35">
      <c r="A373" s="1">
        <v>42012</v>
      </c>
      <c r="B373">
        <v>2</v>
      </c>
      <c r="C373">
        <v>7.077</v>
      </c>
      <c r="D373">
        <v>1.2</v>
      </c>
      <c r="E373">
        <v>46.4</v>
      </c>
      <c r="F373">
        <v>13</v>
      </c>
      <c r="G373">
        <v>1</v>
      </c>
      <c r="H373">
        <v>1</v>
      </c>
      <c r="I373">
        <v>2</v>
      </c>
      <c r="J373">
        <v>2015</v>
      </c>
      <c r="K373">
        <v>1</v>
      </c>
      <c r="L373" t="s">
        <v>11</v>
      </c>
      <c r="M373">
        <f>SUM(Pharma_Sales_Data[[#This Row],[M01AB]:[R06]])</f>
        <v>73.676999999999992</v>
      </c>
      <c r="N373" s="2">
        <f>Pharma_Sales_Data[[#This Row],[Total Drug Sales]]*150</f>
        <v>11051.55</v>
      </c>
      <c r="O373" s="2">
        <f>Pharma_Sales_Data[[#This Row],[Total Revenue]]*0.3</f>
        <v>3315.4649999999997</v>
      </c>
      <c r="P373" t="str">
        <f>IF(Pharma_Sales_Data[[#This Row],[Total Revenue]]&gt;20000,"High Value", IF(Pharma_Sales_Data[[#This Row],[Total Revenue]]&gt;=10000,"Medium Value","Low Value"))</f>
        <v>Medium Value</v>
      </c>
    </row>
    <row r="374" spans="1:16" x14ac:dyDescent="0.35">
      <c r="A374" s="1">
        <v>42013</v>
      </c>
      <c r="B374">
        <v>3</v>
      </c>
      <c r="C374">
        <v>4.34</v>
      </c>
      <c r="D374">
        <v>9.4</v>
      </c>
      <c r="E374">
        <v>36.200000000000003</v>
      </c>
      <c r="F374">
        <v>33</v>
      </c>
      <c r="G374">
        <v>2</v>
      </c>
      <c r="H374">
        <v>7</v>
      </c>
      <c r="I374">
        <v>2</v>
      </c>
      <c r="J374">
        <v>2015</v>
      </c>
      <c r="K374">
        <v>1</v>
      </c>
      <c r="L374" t="s">
        <v>12</v>
      </c>
      <c r="M374">
        <f>SUM(Pharma_Sales_Data[[#This Row],[M01AB]:[R06]])</f>
        <v>96.94</v>
      </c>
      <c r="N374" s="2">
        <f>Pharma_Sales_Data[[#This Row],[Total Drug Sales]]*150</f>
        <v>14541</v>
      </c>
      <c r="O374" s="2">
        <f>Pharma_Sales_Data[[#This Row],[Total Revenue]]*0.3</f>
        <v>4362.3</v>
      </c>
      <c r="P374" t="str">
        <f>IF(Pharma_Sales_Data[[#This Row],[Total Revenue]]&gt;20000,"High Value", IF(Pharma_Sales_Data[[#This Row],[Total Revenue]]&gt;=10000,"Medium Value","Low Value"))</f>
        <v>Medium Value</v>
      </c>
    </row>
    <row r="375" spans="1:16" x14ac:dyDescent="0.35">
      <c r="A375" s="1">
        <v>42014</v>
      </c>
      <c r="B375">
        <v>6</v>
      </c>
      <c r="C375">
        <v>5.8639999999999999</v>
      </c>
      <c r="D375">
        <v>7</v>
      </c>
      <c r="E375">
        <v>32.6</v>
      </c>
      <c r="F375">
        <v>14</v>
      </c>
      <c r="G375">
        <v>3</v>
      </c>
      <c r="H375">
        <v>1</v>
      </c>
      <c r="I375">
        <v>1</v>
      </c>
      <c r="J375">
        <v>2015</v>
      </c>
      <c r="K375">
        <v>1</v>
      </c>
      <c r="L375" t="s">
        <v>13</v>
      </c>
      <c r="M375">
        <f>SUM(Pharma_Sales_Data[[#This Row],[M01AB]:[R06]])</f>
        <v>70.463999999999999</v>
      </c>
      <c r="N375" s="2">
        <f>Pharma_Sales_Data[[#This Row],[Total Drug Sales]]*150</f>
        <v>10569.6</v>
      </c>
      <c r="O375" s="2">
        <f>Pharma_Sales_Data[[#This Row],[Total Revenue]]*0.3</f>
        <v>3170.88</v>
      </c>
      <c r="P375" t="str">
        <f>IF(Pharma_Sales_Data[[#This Row],[Total Revenue]]&gt;20000,"High Value", IF(Pharma_Sales_Data[[#This Row],[Total Revenue]]&gt;=10000,"Medium Value","Low Value"))</f>
        <v>Medium Value</v>
      </c>
    </row>
    <row r="376" spans="1:16" x14ac:dyDescent="0.35">
      <c r="A376" s="1">
        <v>42015</v>
      </c>
      <c r="B376">
        <v>3</v>
      </c>
      <c r="C376">
        <v>7.34</v>
      </c>
      <c r="D376">
        <v>7</v>
      </c>
      <c r="E376">
        <v>43.6</v>
      </c>
      <c r="F376">
        <v>11</v>
      </c>
      <c r="G376">
        <v>1</v>
      </c>
      <c r="H376">
        <v>11</v>
      </c>
      <c r="I376">
        <v>2</v>
      </c>
      <c r="J376">
        <v>2015</v>
      </c>
      <c r="K376">
        <v>1</v>
      </c>
      <c r="L376" t="s">
        <v>14</v>
      </c>
      <c r="M376">
        <f>SUM(Pharma_Sales_Data[[#This Row],[M01AB]:[R06]])</f>
        <v>85.94</v>
      </c>
      <c r="N376" s="2">
        <f>Pharma_Sales_Data[[#This Row],[Total Drug Sales]]*150</f>
        <v>12891</v>
      </c>
      <c r="O376" s="2">
        <f>Pharma_Sales_Data[[#This Row],[Total Revenue]]*0.3</f>
        <v>3867.2999999999997</v>
      </c>
      <c r="P376" t="str">
        <f>IF(Pharma_Sales_Data[[#This Row],[Total Revenue]]&gt;20000,"High Value", IF(Pharma_Sales_Data[[#This Row],[Total Revenue]]&gt;=10000,"Medium Value","Low Value"))</f>
        <v>Medium Value</v>
      </c>
    </row>
    <row r="377" spans="1:16" x14ac:dyDescent="0.35">
      <c r="A377" s="1">
        <v>42016</v>
      </c>
      <c r="B377">
        <v>2.33</v>
      </c>
      <c r="C377">
        <v>3.34</v>
      </c>
      <c r="D377">
        <v>7.5</v>
      </c>
      <c r="E377">
        <v>36.6</v>
      </c>
      <c r="F377">
        <v>18</v>
      </c>
      <c r="G377">
        <v>0</v>
      </c>
      <c r="H377">
        <v>6</v>
      </c>
      <c r="I377">
        <v>1</v>
      </c>
      <c r="J377">
        <v>2015</v>
      </c>
      <c r="K377">
        <v>1</v>
      </c>
      <c r="L377" t="s">
        <v>15</v>
      </c>
      <c r="M377">
        <f>SUM(Pharma_Sales_Data[[#This Row],[M01AB]:[R06]])</f>
        <v>74.77000000000001</v>
      </c>
      <c r="N377" s="2">
        <f>Pharma_Sales_Data[[#This Row],[Total Drug Sales]]*150</f>
        <v>11215.500000000002</v>
      </c>
      <c r="O377" s="2">
        <f>Pharma_Sales_Data[[#This Row],[Total Revenue]]*0.3</f>
        <v>3364.6500000000005</v>
      </c>
      <c r="P377" t="str">
        <f>IF(Pharma_Sales_Data[[#This Row],[Total Revenue]]&gt;20000,"High Value", IF(Pharma_Sales_Data[[#This Row],[Total Revenue]]&gt;=10000,"Medium Value","Low Value"))</f>
        <v>Medium Value</v>
      </c>
    </row>
    <row r="378" spans="1:16" x14ac:dyDescent="0.35">
      <c r="A378" s="1">
        <v>42017</v>
      </c>
      <c r="B378">
        <v>10.34</v>
      </c>
      <c r="C378">
        <v>4.66</v>
      </c>
      <c r="D378">
        <v>10</v>
      </c>
      <c r="E378">
        <v>34</v>
      </c>
      <c r="F378">
        <v>14</v>
      </c>
      <c r="G378">
        <v>2</v>
      </c>
      <c r="H378">
        <v>4</v>
      </c>
      <c r="I378">
        <v>2</v>
      </c>
      <c r="J378">
        <v>2015</v>
      </c>
      <c r="K378">
        <v>1</v>
      </c>
      <c r="L378" t="s">
        <v>16</v>
      </c>
      <c r="M378">
        <f>SUM(Pharma_Sales_Data[[#This Row],[M01AB]:[R06]])</f>
        <v>81</v>
      </c>
      <c r="N378" s="2">
        <f>Pharma_Sales_Data[[#This Row],[Total Drug Sales]]*150</f>
        <v>12150</v>
      </c>
      <c r="O378" s="2">
        <f>Pharma_Sales_Data[[#This Row],[Total Revenue]]*0.3</f>
        <v>3645</v>
      </c>
      <c r="P378" t="str">
        <f>IF(Pharma_Sales_Data[[#This Row],[Total Revenue]]&gt;20000,"High Value", IF(Pharma_Sales_Data[[#This Row],[Total Revenue]]&gt;=10000,"Medium Value","Low Value"))</f>
        <v>Medium Value</v>
      </c>
    </row>
    <row r="379" spans="1:16" x14ac:dyDescent="0.35">
      <c r="A379" s="1">
        <v>42018</v>
      </c>
      <c r="B379">
        <v>3</v>
      </c>
      <c r="C379">
        <v>3.34</v>
      </c>
      <c r="D379">
        <v>5</v>
      </c>
      <c r="E379">
        <v>23</v>
      </c>
      <c r="F379">
        <v>20</v>
      </c>
      <c r="G379">
        <v>0</v>
      </c>
      <c r="H379">
        <v>1</v>
      </c>
      <c r="I379">
        <v>0</v>
      </c>
      <c r="J379">
        <v>2015</v>
      </c>
      <c r="K379">
        <v>1</v>
      </c>
      <c r="L379" t="s">
        <v>17</v>
      </c>
      <c r="M379">
        <f>SUM(Pharma_Sales_Data[[#This Row],[M01AB]:[R06]])</f>
        <v>55.34</v>
      </c>
      <c r="N379" s="2">
        <f>Pharma_Sales_Data[[#This Row],[Total Drug Sales]]*150</f>
        <v>8301</v>
      </c>
      <c r="O379" s="2">
        <f>Pharma_Sales_Data[[#This Row],[Total Revenue]]*0.3</f>
        <v>2490.2999999999997</v>
      </c>
      <c r="P379" t="str">
        <f>IF(Pharma_Sales_Data[[#This Row],[Total Revenue]]&gt;20000,"High Value", IF(Pharma_Sales_Data[[#This Row],[Total Revenue]]&gt;=10000,"Medium Value","Low Value"))</f>
        <v>Low Value</v>
      </c>
    </row>
    <row r="380" spans="1:16" x14ac:dyDescent="0.35">
      <c r="A380" s="1">
        <v>42019</v>
      </c>
      <c r="B380">
        <v>6.67</v>
      </c>
      <c r="C380">
        <v>3</v>
      </c>
      <c r="D380">
        <v>1</v>
      </c>
      <c r="E380">
        <v>55.25</v>
      </c>
      <c r="F380">
        <v>13</v>
      </c>
      <c r="G380">
        <v>0</v>
      </c>
      <c r="H380">
        <v>15</v>
      </c>
      <c r="I380">
        <v>2</v>
      </c>
      <c r="J380">
        <v>2015</v>
      </c>
      <c r="K380">
        <v>1</v>
      </c>
      <c r="L380" t="s">
        <v>11</v>
      </c>
      <c r="M380">
        <f>SUM(Pharma_Sales_Data[[#This Row],[M01AB]:[R06]])</f>
        <v>95.92</v>
      </c>
      <c r="N380" s="2">
        <f>Pharma_Sales_Data[[#This Row],[Total Drug Sales]]*150</f>
        <v>14388</v>
      </c>
      <c r="O380" s="2">
        <f>Pharma_Sales_Data[[#This Row],[Total Revenue]]*0.3</f>
        <v>4316.3999999999996</v>
      </c>
      <c r="P380" t="str">
        <f>IF(Pharma_Sales_Data[[#This Row],[Total Revenue]]&gt;20000,"High Value", IF(Pharma_Sales_Data[[#This Row],[Total Revenue]]&gt;=10000,"Medium Value","Low Value"))</f>
        <v>Medium Value</v>
      </c>
    </row>
    <row r="381" spans="1:16" x14ac:dyDescent="0.35">
      <c r="A381" s="1">
        <v>42020</v>
      </c>
      <c r="B381">
        <v>6.33</v>
      </c>
      <c r="C381">
        <v>5.99</v>
      </c>
      <c r="D381">
        <v>3.8</v>
      </c>
      <c r="E381">
        <v>43</v>
      </c>
      <c r="F381">
        <v>16</v>
      </c>
      <c r="G381">
        <v>2</v>
      </c>
      <c r="H381">
        <v>6</v>
      </c>
      <c r="I381">
        <v>2</v>
      </c>
      <c r="J381">
        <v>2015</v>
      </c>
      <c r="K381">
        <v>1</v>
      </c>
      <c r="L381" t="s">
        <v>12</v>
      </c>
      <c r="M381">
        <f>SUM(Pharma_Sales_Data[[#This Row],[M01AB]:[R06]])</f>
        <v>85.12</v>
      </c>
      <c r="N381" s="2">
        <f>Pharma_Sales_Data[[#This Row],[Total Drug Sales]]*150</f>
        <v>12768</v>
      </c>
      <c r="O381" s="2">
        <f>Pharma_Sales_Data[[#This Row],[Total Revenue]]*0.3</f>
        <v>3830.3999999999996</v>
      </c>
      <c r="P381" t="str">
        <f>IF(Pharma_Sales_Data[[#This Row],[Total Revenue]]&gt;20000,"High Value", IF(Pharma_Sales_Data[[#This Row],[Total Revenue]]&gt;=10000,"Medium Value","Low Value"))</f>
        <v>Medium Value</v>
      </c>
    </row>
    <row r="382" spans="1:16" x14ac:dyDescent="0.35">
      <c r="A382" s="1">
        <v>42021</v>
      </c>
      <c r="B382">
        <v>6.68</v>
      </c>
      <c r="C382">
        <v>5.68</v>
      </c>
      <c r="D382">
        <v>7</v>
      </c>
      <c r="E382">
        <v>19.2</v>
      </c>
      <c r="F382">
        <v>18</v>
      </c>
      <c r="G382">
        <v>0</v>
      </c>
      <c r="H382">
        <v>0</v>
      </c>
      <c r="I382">
        <v>0</v>
      </c>
      <c r="J382">
        <v>2015</v>
      </c>
      <c r="K382">
        <v>1</v>
      </c>
      <c r="L382" t="s">
        <v>13</v>
      </c>
      <c r="M382">
        <f>SUM(Pharma_Sales_Data[[#This Row],[M01AB]:[R06]])</f>
        <v>56.56</v>
      </c>
      <c r="N382" s="2">
        <f>Pharma_Sales_Data[[#This Row],[Total Drug Sales]]*150</f>
        <v>8484</v>
      </c>
      <c r="O382" s="2">
        <f>Pharma_Sales_Data[[#This Row],[Total Revenue]]*0.3</f>
        <v>2545.1999999999998</v>
      </c>
      <c r="P382" t="str">
        <f>IF(Pharma_Sales_Data[[#This Row],[Total Revenue]]&gt;20000,"High Value", IF(Pharma_Sales_Data[[#This Row],[Total Revenue]]&gt;=10000,"Medium Value","Low Value"))</f>
        <v>Low Value</v>
      </c>
    </row>
    <row r="383" spans="1:16" x14ac:dyDescent="0.35">
      <c r="A383" s="1">
        <v>42022</v>
      </c>
      <c r="B383">
        <v>4</v>
      </c>
      <c r="C383">
        <v>4.34</v>
      </c>
      <c r="D383">
        <v>4.5</v>
      </c>
      <c r="E383">
        <v>20.399999999999999</v>
      </c>
      <c r="F383">
        <v>16</v>
      </c>
      <c r="G383">
        <v>0</v>
      </c>
      <c r="H383">
        <v>0</v>
      </c>
      <c r="I383">
        <v>2</v>
      </c>
      <c r="J383">
        <v>2015</v>
      </c>
      <c r="K383">
        <v>1</v>
      </c>
      <c r="L383" t="s">
        <v>14</v>
      </c>
      <c r="M383">
        <f>SUM(Pharma_Sales_Data[[#This Row],[M01AB]:[R06]])</f>
        <v>51.239999999999995</v>
      </c>
      <c r="N383" s="2">
        <f>Pharma_Sales_Data[[#This Row],[Total Drug Sales]]*150</f>
        <v>7685.9999999999991</v>
      </c>
      <c r="O383" s="2">
        <f>Pharma_Sales_Data[[#This Row],[Total Revenue]]*0.3</f>
        <v>2305.7999999999997</v>
      </c>
      <c r="P383" t="str">
        <f>IF(Pharma_Sales_Data[[#This Row],[Total Revenue]]&gt;20000,"High Value", IF(Pharma_Sales_Data[[#This Row],[Total Revenue]]&gt;=10000,"Medium Value","Low Value"))</f>
        <v>Low Value</v>
      </c>
    </row>
    <row r="384" spans="1:16" x14ac:dyDescent="0.35">
      <c r="A384" s="1">
        <v>42023</v>
      </c>
      <c r="B384">
        <v>5.34</v>
      </c>
      <c r="C384">
        <v>2.68</v>
      </c>
      <c r="D384">
        <v>1.1000000000000001</v>
      </c>
      <c r="E384">
        <v>32</v>
      </c>
      <c r="F384">
        <v>12</v>
      </c>
      <c r="G384">
        <v>0</v>
      </c>
      <c r="H384">
        <v>20</v>
      </c>
      <c r="I384">
        <v>2</v>
      </c>
      <c r="J384">
        <v>2015</v>
      </c>
      <c r="K384">
        <v>1</v>
      </c>
      <c r="L384" t="s">
        <v>15</v>
      </c>
      <c r="M384">
        <f>SUM(Pharma_Sales_Data[[#This Row],[M01AB]:[R06]])</f>
        <v>75.12</v>
      </c>
      <c r="N384" s="2">
        <f>Pharma_Sales_Data[[#This Row],[Total Drug Sales]]*150</f>
        <v>11268</v>
      </c>
      <c r="O384" s="2">
        <f>Pharma_Sales_Data[[#This Row],[Total Revenue]]*0.3</f>
        <v>3380.4</v>
      </c>
      <c r="P384" t="str">
        <f>IF(Pharma_Sales_Data[[#This Row],[Total Revenue]]&gt;20000,"High Value", IF(Pharma_Sales_Data[[#This Row],[Total Revenue]]&gt;=10000,"Medium Value","Low Value"))</f>
        <v>Medium Value</v>
      </c>
    </row>
    <row r="385" spans="1:16" x14ac:dyDescent="0.35">
      <c r="A385" s="1">
        <v>42024</v>
      </c>
      <c r="B385">
        <v>4.34</v>
      </c>
      <c r="C385">
        <v>0.33</v>
      </c>
      <c r="D385">
        <v>6</v>
      </c>
      <c r="E385">
        <v>38</v>
      </c>
      <c r="F385">
        <v>24</v>
      </c>
      <c r="G385">
        <v>1</v>
      </c>
      <c r="H385">
        <v>4</v>
      </c>
      <c r="I385">
        <v>1</v>
      </c>
      <c r="J385">
        <v>2015</v>
      </c>
      <c r="K385">
        <v>1</v>
      </c>
      <c r="L385" t="s">
        <v>16</v>
      </c>
      <c r="M385">
        <f>SUM(Pharma_Sales_Data[[#This Row],[M01AB]:[R06]])</f>
        <v>78.67</v>
      </c>
      <c r="N385" s="2">
        <f>Pharma_Sales_Data[[#This Row],[Total Drug Sales]]*150</f>
        <v>11800.5</v>
      </c>
      <c r="O385" s="2">
        <f>Pharma_Sales_Data[[#This Row],[Total Revenue]]*0.3</f>
        <v>3540.15</v>
      </c>
      <c r="P385" t="str">
        <f>IF(Pharma_Sales_Data[[#This Row],[Total Revenue]]&gt;20000,"High Value", IF(Pharma_Sales_Data[[#This Row],[Total Revenue]]&gt;=10000,"Medium Value","Low Value"))</f>
        <v>Medium Value</v>
      </c>
    </row>
    <row r="386" spans="1:16" x14ac:dyDescent="0.35">
      <c r="A386" s="1">
        <v>42025</v>
      </c>
      <c r="B386">
        <v>4</v>
      </c>
      <c r="C386">
        <v>1</v>
      </c>
      <c r="D386">
        <v>2</v>
      </c>
      <c r="E386">
        <v>37.450000000000003</v>
      </c>
      <c r="F386">
        <v>17</v>
      </c>
      <c r="G386">
        <v>1</v>
      </c>
      <c r="H386">
        <v>0</v>
      </c>
      <c r="I386">
        <v>1</v>
      </c>
      <c r="J386">
        <v>2015</v>
      </c>
      <c r="K386">
        <v>1</v>
      </c>
      <c r="L386" t="s">
        <v>17</v>
      </c>
      <c r="M386">
        <f>SUM(Pharma_Sales_Data[[#This Row],[M01AB]:[R06]])</f>
        <v>63.45</v>
      </c>
      <c r="N386" s="2">
        <f>Pharma_Sales_Data[[#This Row],[Total Drug Sales]]*150</f>
        <v>9517.5</v>
      </c>
      <c r="O386" s="2">
        <f>Pharma_Sales_Data[[#This Row],[Total Revenue]]*0.3</f>
        <v>2855.25</v>
      </c>
      <c r="P386" t="str">
        <f>IF(Pharma_Sales_Data[[#This Row],[Total Revenue]]&gt;20000,"High Value", IF(Pharma_Sales_Data[[#This Row],[Total Revenue]]&gt;=10000,"Medium Value","Low Value"))</f>
        <v>Low Value</v>
      </c>
    </row>
    <row r="387" spans="1:16" x14ac:dyDescent="0.35">
      <c r="A387" s="1">
        <v>42026</v>
      </c>
      <c r="B387">
        <v>4</v>
      </c>
      <c r="C387">
        <v>1.34</v>
      </c>
      <c r="D387">
        <v>4</v>
      </c>
      <c r="E387">
        <v>21.4</v>
      </c>
      <c r="F387">
        <v>19</v>
      </c>
      <c r="G387">
        <v>0</v>
      </c>
      <c r="H387">
        <v>0</v>
      </c>
      <c r="I387">
        <v>1</v>
      </c>
      <c r="J387">
        <v>2015</v>
      </c>
      <c r="K387">
        <v>1</v>
      </c>
      <c r="L387" t="s">
        <v>11</v>
      </c>
      <c r="M387">
        <f>SUM(Pharma_Sales_Data[[#This Row],[M01AB]:[R06]])</f>
        <v>50.739999999999995</v>
      </c>
      <c r="N387" s="2">
        <f>Pharma_Sales_Data[[#This Row],[Total Drug Sales]]*150</f>
        <v>7610.9999999999991</v>
      </c>
      <c r="O387" s="2">
        <f>Pharma_Sales_Data[[#This Row],[Total Revenue]]*0.3</f>
        <v>2283.2999999999997</v>
      </c>
      <c r="P387" t="str">
        <f>IF(Pharma_Sales_Data[[#This Row],[Total Revenue]]&gt;20000,"High Value", IF(Pharma_Sales_Data[[#This Row],[Total Revenue]]&gt;=10000,"Medium Value","Low Value"))</f>
        <v>Low Value</v>
      </c>
    </row>
    <row r="388" spans="1:16" x14ac:dyDescent="0.35">
      <c r="A388" s="1">
        <v>42027</v>
      </c>
      <c r="B388">
        <v>3.67</v>
      </c>
      <c r="C388">
        <v>4.7279999999999998</v>
      </c>
      <c r="D388">
        <v>8</v>
      </c>
      <c r="E388">
        <v>30</v>
      </c>
      <c r="F388">
        <v>14</v>
      </c>
      <c r="G388">
        <v>0</v>
      </c>
      <c r="H388">
        <v>7</v>
      </c>
      <c r="I388">
        <v>2</v>
      </c>
      <c r="J388">
        <v>2015</v>
      </c>
      <c r="K388">
        <v>1</v>
      </c>
      <c r="L388" t="s">
        <v>12</v>
      </c>
      <c r="M388">
        <f>SUM(Pharma_Sales_Data[[#This Row],[M01AB]:[R06]])</f>
        <v>69.397999999999996</v>
      </c>
      <c r="N388" s="2">
        <f>Pharma_Sales_Data[[#This Row],[Total Drug Sales]]*150</f>
        <v>10409.699999999999</v>
      </c>
      <c r="O388" s="2">
        <f>Pharma_Sales_Data[[#This Row],[Total Revenue]]*0.3</f>
        <v>3122.9099999999994</v>
      </c>
      <c r="P388" t="str">
        <f>IF(Pharma_Sales_Data[[#This Row],[Total Revenue]]&gt;20000,"High Value", IF(Pharma_Sales_Data[[#This Row],[Total Revenue]]&gt;=10000,"Medium Value","Low Value"))</f>
        <v>Medium Value</v>
      </c>
    </row>
    <row r="389" spans="1:16" x14ac:dyDescent="0.35">
      <c r="A389" s="1">
        <v>42028</v>
      </c>
      <c r="B389">
        <v>4.34</v>
      </c>
      <c r="C389">
        <v>3.33</v>
      </c>
      <c r="D389">
        <v>9.1999999999999993</v>
      </c>
      <c r="E389">
        <v>49.7</v>
      </c>
      <c r="F389">
        <v>31</v>
      </c>
      <c r="G389">
        <v>0</v>
      </c>
      <c r="H389">
        <v>22</v>
      </c>
      <c r="I389">
        <v>1</v>
      </c>
      <c r="J389">
        <v>2015</v>
      </c>
      <c r="K389">
        <v>1</v>
      </c>
      <c r="L389" t="s">
        <v>13</v>
      </c>
      <c r="M389">
        <f>SUM(Pharma_Sales_Data[[#This Row],[M01AB]:[R06]])</f>
        <v>120.57</v>
      </c>
      <c r="N389" s="2">
        <f>Pharma_Sales_Data[[#This Row],[Total Drug Sales]]*150</f>
        <v>18085.5</v>
      </c>
      <c r="O389" s="2">
        <f>Pharma_Sales_Data[[#This Row],[Total Revenue]]*0.3</f>
        <v>5425.65</v>
      </c>
      <c r="P389" t="str">
        <f>IF(Pharma_Sales_Data[[#This Row],[Total Revenue]]&gt;20000,"High Value", IF(Pharma_Sales_Data[[#This Row],[Total Revenue]]&gt;=10000,"Medium Value","Low Value"))</f>
        <v>Medium Value</v>
      </c>
    </row>
    <row r="390" spans="1:16" x14ac:dyDescent="0.35">
      <c r="A390" s="1">
        <v>42029</v>
      </c>
      <c r="B390">
        <v>4</v>
      </c>
      <c r="C390">
        <v>1.1299999999999999</v>
      </c>
      <c r="D390">
        <v>1.9</v>
      </c>
      <c r="E390">
        <v>38</v>
      </c>
      <c r="F390">
        <v>11</v>
      </c>
      <c r="G390">
        <v>1</v>
      </c>
      <c r="H390">
        <v>5</v>
      </c>
      <c r="I390">
        <v>0</v>
      </c>
      <c r="J390">
        <v>2015</v>
      </c>
      <c r="K390">
        <v>1</v>
      </c>
      <c r="L390" t="s">
        <v>14</v>
      </c>
      <c r="M390">
        <f>SUM(Pharma_Sales_Data[[#This Row],[M01AB]:[R06]])</f>
        <v>62.03</v>
      </c>
      <c r="N390" s="2">
        <f>Pharma_Sales_Data[[#This Row],[Total Drug Sales]]*150</f>
        <v>9304.5</v>
      </c>
      <c r="O390" s="2">
        <f>Pharma_Sales_Data[[#This Row],[Total Revenue]]*0.3</f>
        <v>2791.35</v>
      </c>
      <c r="P390" t="str">
        <f>IF(Pharma_Sales_Data[[#This Row],[Total Revenue]]&gt;20000,"High Value", IF(Pharma_Sales_Data[[#This Row],[Total Revenue]]&gt;=10000,"Medium Value","Low Value"))</f>
        <v>Low Value</v>
      </c>
    </row>
    <row r="391" spans="1:16" x14ac:dyDescent="0.35">
      <c r="A391" s="1">
        <v>42030</v>
      </c>
      <c r="B391">
        <v>8.5</v>
      </c>
      <c r="C391">
        <v>4.67</v>
      </c>
      <c r="D391">
        <v>4</v>
      </c>
      <c r="E391">
        <v>34.4</v>
      </c>
      <c r="F391">
        <v>15</v>
      </c>
      <c r="G391">
        <v>0</v>
      </c>
      <c r="H391">
        <v>13</v>
      </c>
      <c r="I391">
        <v>0</v>
      </c>
      <c r="J391">
        <v>2015</v>
      </c>
      <c r="K391">
        <v>1</v>
      </c>
      <c r="L391" t="s">
        <v>15</v>
      </c>
      <c r="M391">
        <f>SUM(Pharma_Sales_Data[[#This Row],[M01AB]:[R06]])</f>
        <v>79.569999999999993</v>
      </c>
      <c r="N391" s="2">
        <f>Pharma_Sales_Data[[#This Row],[Total Drug Sales]]*150</f>
        <v>11935.499999999998</v>
      </c>
      <c r="O391" s="2">
        <f>Pharma_Sales_Data[[#This Row],[Total Revenue]]*0.3</f>
        <v>3580.6499999999992</v>
      </c>
      <c r="P391" t="str">
        <f>IF(Pharma_Sales_Data[[#This Row],[Total Revenue]]&gt;20000,"High Value", IF(Pharma_Sales_Data[[#This Row],[Total Revenue]]&gt;=10000,"Medium Value","Low Value"))</f>
        <v>Medium Value</v>
      </c>
    </row>
    <row r="392" spans="1:16" x14ac:dyDescent="0.35">
      <c r="A392" s="1">
        <v>42031</v>
      </c>
      <c r="B392">
        <v>2.67</v>
      </c>
      <c r="C392">
        <v>6.33</v>
      </c>
      <c r="D392">
        <v>1</v>
      </c>
      <c r="E392">
        <v>20</v>
      </c>
      <c r="F392">
        <v>14</v>
      </c>
      <c r="G392">
        <v>0</v>
      </c>
      <c r="H392">
        <v>0</v>
      </c>
      <c r="I392">
        <v>0</v>
      </c>
      <c r="J392">
        <v>2015</v>
      </c>
      <c r="K392">
        <v>1</v>
      </c>
      <c r="L392" t="s">
        <v>16</v>
      </c>
      <c r="M392">
        <f>SUM(Pharma_Sales_Data[[#This Row],[M01AB]:[R06]])</f>
        <v>44</v>
      </c>
      <c r="N392" s="2">
        <f>Pharma_Sales_Data[[#This Row],[Total Drug Sales]]*150</f>
        <v>6600</v>
      </c>
      <c r="O392" s="2">
        <f>Pharma_Sales_Data[[#This Row],[Total Revenue]]*0.3</f>
        <v>1980</v>
      </c>
      <c r="P392" t="str">
        <f>IF(Pharma_Sales_Data[[#This Row],[Total Revenue]]&gt;20000,"High Value", IF(Pharma_Sales_Data[[#This Row],[Total Revenue]]&gt;=10000,"Medium Value","Low Value"))</f>
        <v>Low Value</v>
      </c>
    </row>
    <row r="393" spans="1:16" x14ac:dyDescent="0.35">
      <c r="A393" s="1">
        <v>42032</v>
      </c>
      <c r="B393">
        <v>3</v>
      </c>
      <c r="C393">
        <v>5.34</v>
      </c>
      <c r="D393">
        <v>3</v>
      </c>
      <c r="E393">
        <v>32</v>
      </c>
      <c r="F393">
        <v>18</v>
      </c>
      <c r="G393">
        <v>3</v>
      </c>
      <c r="H393">
        <v>5</v>
      </c>
      <c r="I393">
        <v>3</v>
      </c>
      <c r="J393">
        <v>2015</v>
      </c>
      <c r="K393">
        <v>1</v>
      </c>
      <c r="L393" t="s">
        <v>17</v>
      </c>
      <c r="M393">
        <f>SUM(Pharma_Sales_Data[[#This Row],[M01AB]:[R06]])</f>
        <v>72.34</v>
      </c>
      <c r="N393" s="2">
        <f>Pharma_Sales_Data[[#This Row],[Total Drug Sales]]*150</f>
        <v>10851</v>
      </c>
      <c r="O393" s="2">
        <f>Pharma_Sales_Data[[#This Row],[Total Revenue]]*0.3</f>
        <v>3255.2999999999997</v>
      </c>
      <c r="P393" t="str">
        <f>IF(Pharma_Sales_Data[[#This Row],[Total Revenue]]&gt;20000,"High Value", IF(Pharma_Sales_Data[[#This Row],[Total Revenue]]&gt;=10000,"Medium Value","Low Value"))</f>
        <v>Medium Value</v>
      </c>
    </row>
    <row r="394" spans="1:16" x14ac:dyDescent="0.35">
      <c r="A394" s="1">
        <v>42033</v>
      </c>
      <c r="B394">
        <v>4.34</v>
      </c>
      <c r="C394">
        <v>5.71</v>
      </c>
      <c r="D394">
        <v>8.6999999999999993</v>
      </c>
      <c r="E394">
        <v>24.4</v>
      </c>
      <c r="F394">
        <v>16</v>
      </c>
      <c r="G394">
        <v>3</v>
      </c>
      <c r="H394">
        <v>11</v>
      </c>
      <c r="I394">
        <v>3</v>
      </c>
      <c r="J394">
        <v>2015</v>
      </c>
      <c r="K394">
        <v>1</v>
      </c>
      <c r="L394" t="s">
        <v>11</v>
      </c>
      <c r="M394">
        <f>SUM(Pharma_Sales_Data[[#This Row],[M01AB]:[R06]])</f>
        <v>76.150000000000006</v>
      </c>
      <c r="N394" s="2">
        <f>Pharma_Sales_Data[[#This Row],[Total Drug Sales]]*150</f>
        <v>11422.5</v>
      </c>
      <c r="O394" s="2">
        <f>Pharma_Sales_Data[[#This Row],[Total Revenue]]*0.3</f>
        <v>3426.75</v>
      </c>
      <c r="P394" t="str">
        <f>IF(Pharma_Sales_Data[[#This Row],[Total Revenue]]&gt;20000,"High Value", IF(Pharma_Sales_Data[[#This Row],[Total Revenue]]&gt;=10000,"Medium Value","Low Value"))</f>
        <v>Medium Value</v>
      </c>
    </row>
    <row r="395" spans="1:16" x14ac:dyDescent="0.35">
      <c r="A395" s="1">
        <v>42034</v>
      </c>
      <c r="B395">
        <v>1</v>
      </c>
      <c r="C395">
        <v>1.0680000000000001</v>
      </c>
      <c r="D395">
        <v>1</v>
      </c>
      <c r="E395">
        <v>20.5</v>
      </c>
      <c r="F395">
        <v>19</v>
      </c>
      <c r="G395">
        <v>1</v>
      </c>
      <c r="H395">
        <v>0</v>
      </c>
      <c r="I395">
        <v>0</v>
      </c>
      <c r="J395">
        <v>2015</v>
      </c>
      <c r="K395">
        <v>1</v>
      </c>
      <c r="L395" t="s">
        <v>12</v>
      </c>
      <c r="M395">
        <f>SUM(Pharma_Sales_Data[[#This Row],[M01AB]:[R06]])</f>
        <v>43.567999999999998</v>
      </c>
      <c r="N395" s="2">
        <f>Pharma_Sales_Data[[#This Row],[Total Drug Sales]]*150</f>
        <v>6535.2</v>
      </c>
      <c r="O395" s="2">
        <f>Pharma_Sales_Data[[#This Row],[Total Revenue]]*0.3</f>
        <v>1960.56</v>
      </c>
      <c r="P395" t="str">
        <f>IF(Pharma_Sales_Data[[#This Row],[Total Revenue]]&gt;20000,"High Value", IF(Pharma_Sales_Data[[#This Row],[Total Revenue]]&gt;=10000,"Medium Value","Low Value"))</f>
        <v>Low Value</v>
      </c>
    </row>
    <row r="396" spans="1:16" x14ac:dyDescent="0.35">
      <c r="A396" s="1">
        <v>42035</v>
      </c>
      <c r="B396">
        <v>8.34</v>
      </c>
      <c r="C396">
        <v>6.1120000000000001</v>
      </c>
      <c r="D396">
        <v>5</v>
      </c>
      <c r="E396">
        <v>32.4</v>
      </c>
      <c r="F396">
        <v>12</v>
      </c>
      <c r="G396">
        <v>0</v>
      </c>
      <c r="H396">
        <v>11</v>
      </c>
      <c r="I396">
        <v>2</v>
      </c>
      <c r="J396">
        <v>2015</v>
      </c>
      <c r="K396">
        <v>1</v>
      </c>
      <c r="L396" t="s">
        <v>13</v>
      </c>
      <c r="M396">
        <f>SUM(Pharma_Sales_Data[[#This Row],[M01AB]:[R06]])</f>
        <v>76.852000000000004</v>
      </c>
      <c r="N396" s="2">
        <f>Pharma_Sales_Data[[#This Row],[Total Drug Sales]]*150</f>
        <v>11527.800000000001</v>
      </c>
      <c r="O396" s="2">
        <f>Pharma_Sales_Data[[#This Row],[Total Revenue]]*0.3</f>
        <v>3458.34</v>
      </c>
      <c r="P396" t="str">
        <f>IF(Pharma_Sales_Data[[#This Row],[Total Revenue]]&gt;20000,"High Value", IF(Pharma_Sales_Data[[#This Row],[Total Revenue]]&gt;=10000,"Medium Value","Low Value"))</f>
        <v>Medium Value</v>
      </c>
    </row>
    <row r="397" spans="1:16" x14ac:dyDescent="0.35">
      <c r="A397" s="1">
        <v>42036</v>
      </c>
      <c r="B397">
        <v>4.34</v>
      </c>
      <c r="C397">
        <v>7.35</v>
      </c>
      <c r="D397">
        <v>7</v>
      </c>
      <c r="E397">
        <v>35.6</v>
      </c>
      <c r="F397">
        <v>7</v>
      </c>
      <c r="G397">
        <v>1</v>
      </c>
      <c r="H397">
        <v>0</v>
      </c>
      <c r="I397">
        <v>1</v>
      </c>
      <c r="J397">
        <v>2015</v>
      </c>
      <c r="K397">
        <v>2</v>
      </c>
      <c r="L397" t="s">
        <v>14</v>
      </c>
      <c r="M397">
        <f>SUM(Pharma_Sales_Data[[#This Row],[M01AB]:[R06]])</f>
        <v>63.29</v>
      </c>
      <c r="N397" s="2">
        <f>Pharma_Sales_Data[[#This Row],[Total Drug Sales]]*150</f>
        <v>9493.5</v>
      </c>
      <c r="O397" s="2">
        <f>Pharma_Sales_Data[[#This Row],[Total Revenue]]*0.3</f>
        <v>2848.0499999999997</v>
      </c>
      <c r="P397" t="str">
        <f>IF(Pharma_Sales_Data[[#This Row],[Total Revenue]]&gt;20000,"High Value", IF(Pharma_Sales_Data[[#This Row],[Total Revenue]]&gt;=10000,"Medium Value","Low Value"))</f>
        <v>Low Value</v>
      </c>
    </row>
    <row r="398" spans="1:16" x14ac:dyDescent="0.35">
      <c r="A398" s="1">
        <v>42037</v>
      </c>
      <c r="B398">
        <v>6</v>
      </c>
      <c r="C398">
        <v>4</v>
      </c>
      <c r="D398">
        <v>5.0999999999999996</v>
      </c>
      <c r="E398">
        <v>20.9</v>
      </c>
      <c r="F398">
        <v>14</v>
      </c>
      <c r="G398">
        <v>0</v>
      </c>
      <c r="H398">
        <v>3</v>
      </c>
      <c r="I398">
        <v>2</v>
      </c>
      <c r="J398">
        <v>2015</v>
      </c>
      <c r="K398">
        <v>2</v>
      </c>
      <c r="L398" t="s">
        <v>15</v>
      </c>
      <c r="M398">
        <f>SUM(Pharma_Sales_Data[[#This Row],[M01AB]:[R06]])</f>
        <v>55</v>
      </c>
      <c r="N398" s="2">
        <f>Pharma_Sales_Data[[#This Row],[Total Drug Sales]]*150</f>
        <v>8250</v>
      </c>
      <c r="O398" s="2">
        <f>Pharma_Sales_Data[[#This Row],[Total Revenue]]*0.3</f>
        <v>2475</v>
      </c>
      <c r="P398" t="str">
        <f>IF(Pharma_Sales_Data[[#This Row],[Total Revenue]]&gt;20000,"High Value", IF(Pharma_Sales_Data[[#This Row],[Total Revenue]]&gt;=10000,"Medium Value","Low Value"))</f>
        <v>Low Value</v>
      </c>
    </row>
    <row r="399" spans="1:16" x14ac:dyDescent="0.35">
      <c r="A399" s="1">
        <v>42038</v>
      </c>
      <c r="B399">
        <v>3.33</v>
      </c>
      <c r="C399">
        <v>3</v>
      </c>
      <c r="D399">
        <v>6.2</v>
      </c>
      <c r="E399">
        <v>24.2</v>
      </c>
      <c r="F399">
        <v>18</v>
      </c>
      <c r="G399">
        <v>0</v>
      </c>
      <c r="H399">
        <v>6</v>
      </c>
      <c r="I399">
        <v>5</v>
      </c>
      <c r="J399">
        <v>2015</v>
      </c>
      <c r="K399">
        <v>2</v>
      </c>
      <c r="L399" t="s">
        <v>16</v>
      </c>
      <c r="M399">
        <f>SUM(Pharma_Sales_Data[[#This Row],[M01AB]:[R06]])</f>
        <v>65.73</v>
      </c>
      <c r="N399" s="2">
        <f>Pharma_Sales_Data[[#This Row],[Total Drug Sales]]*150</f>
        <v>9859.5</v>
      </c>
      <c r="O399" s="2">
        <f>Pharma_Sales_Data[[#This Row],[Total Revenue]]*0.3</f>
        <v>2957.85</v>
      </c>
      <c r="P399" t="str">
        <f>IF(Pharma_Sales_Data[[#This Row],[Total Revenue]]&gt;20000,"High Value", IF(Pharma_Sales_Data[[#This Row],[Total Revenue]]&gt;=10000,"Medium Value","Low Value"))</f>
        <v>Low Value</v>
      </c>
    </row>
    <row r="400" spans="1:16" x14ac:dyDescent="0.35">
      <c r="A400" s="1">
        <v>42039</v>
      </c>
      <c r="B400">
        <v>2.34</v>
      </c>
      <c r="C400">
        <v>2.67</v>
      </c>
      <c r="D400">
        <v>2.4</v>
      </c>
      <c r="E400">
        <v>38.799999999999997</v>
      </c>
      <c r="F400">
        <v>6</v>
      </c>
      <c r="G400">
        <v>0</v>
      </c>
      <c r="H400">
        <v>12</v>
      </c>
      <c r="I400">
        <v>0</v>
      </c>
      <c r="J400">
        <v>2015</v>
      </c>
      <c r="K400">
        <v>2</v>
      </c>
      <c r="L400" t="s">
        <v>17</v>
      </c>
      <c r="M400">
        <f>SUM(Pharma_Sales_Data[[#This Row],[M01AB]:[R06]])</f>
        <v>64.209999999999994</v>
      </c>
      <c r="N400" s="2">
        <f>Pharma_Sales_Data[[#This Row],[Total Drug Sales]]*150</f>
        <v>9631.4999999999982</v>
      </c>
      <c r="O400" s="2">
        <f>Pharma_Sales_Data[[#This Row],[Total Revenue]]*0.3</f>
        <v>2889.4499999999994</v>
      </c>
      <c r="P400" t="str">
        <f>IF(Pharma_Sales_Data[[#This Row],[Total Revenue]]&gt;20000,"High Value", IF(Pharma_Sales_Data[[#This Row],[Total Revenue]]&gt;=10000,"Medium Value","Low Value"))</f>
        <v>Low Value</v>
      </c>
    </row>
    <row r="401" spans="1:16" x14ac:dyDescent="0.35">
      <c r="A401" s="1">
        <v>42040</v>
      </c>
      <c r="B401">
        <v>2</v>
      </c>
      <c r="C401">
        <v>5.57</v>
      </c>
      <c r="D401">
        <v>3</v>
      </c>
      <c r="E401">
        <v>24.85</v>
      </c>
      <c r="F401">
        <v>12</v>
      </c>
      <c r="G401">
        <v>0</v>
      </c>
      <c r="H401">
        <v>2</v>
      </c>
      <c r="I401">
        <v>1</v>
      </c>
      <c r="J401">
        <v>2015</v>
      </c>
      <c r="K401">
        <v>2</v>
      </c>
      <c r="L401" t="s">
        <v>11</v>
      </c>
      <c r="M401">
        <f>SUM(Pharma_Sales_Data[[#This Row],[M01AB]:[R06]])</f>
        <v>50.42</v>
      </c>
      <c r="N401" s="2">
        <f>Pharma_Sales_Data[[#This Row],[Total Drug Sales]]*150</f>
        <v>7563</v>
      </c>
      <c r="O401" s="2">
        <f>Pharma_Sales_Data[[#This Row],[Total Revenue]]*0.3</f>
        <v>2268.9</v>
      </c>
      <c r="P401" t="str">
        <f>IF(Pharma_Sales_Data[[#This Row],[Total Revenue]]&gt;20000,"High Value", IF(Pharma_Sales_Data[[#This Row],[Total Revenue]]&gt;=10000,"Medium Value","Low Value"))</f>
        <v>Low Value</v>
      </c>
    </row>
    <row r="402" spans="1:16" x14ac:dyDescent="0.35">
      <c r="A402" s="1">
        <v>42041</v>
      </c>
      <c r="B402">
        <v>3.33</v>
      </c>
      <c r="C402">
        <v>3.33</v>
      </c>
      <c r="D402">
        <v>7.3</v>
      </c>
      <c r="E402">
        <v>23</v>
      </c>
      <c r="F402">
        <v>7</v>
      </c>
      <c r="G402">
        <v>1</v>
      </c>
      <c r="H402">
        <v>13</v>
      </c>
      <c r="I402">
        <v>1</v>
      </c>
      <c r="J402">
        <v>2015</v>
      </c>
      <c r="K402">
        <v>2</v>
      </c>
      <c r="L402" t="s">
        <v>12</v>
      </c>
      <c r="M402">
        <f>SUM(Pharma_Sales_Data[[#This Row],[M01AB]:[R06]])</f>
        <v>58.96</v>
      </c>
      <c r="N402" s="2">
        <f>Pharma_Sales_Data[[#This Row],[Total Drug Sales]]*150</f>
        <v>8844</v>
      </c>
      <c r="O402" s="2">
        <f>Pharma_Sales_Data[[#This Row],[Total Revenue]]*0.3</f>
        <v>2653.2</v>
      </c>
      <c r="P402" t="str">
        <f>IF(Pharma_Sales_Data[[#This Row],[Total Revenue]]&gt;20000,"High Value", IF(Pharma_Sales_Data[[#This Row],[Total Revenue]]&gt;=10000,"Medium Value","Low Value"))</f>
        <v>Low Value</v>
      </c>
    </row>
    <row r="403" spans="1:16" x14ac:dyDescent="0.35">
      <c r="A403" s="1">
        <v>42042</v>
      </c>
      <c r="B403">
        <v>2</v>
      </c>
      <c r="C403">
        <v>5</v>
      </c>
      <c r="D403">
        <v>1.9</v>
      </c>
      <c r="E403">
        <v>33.6</v>
      </c>
      <c r="F403">
        <v>9</v>
      </c>
      <c r="G403">
        <v>0</v>
      </c>
      <c r="H403">
        <v>0</v>
      </c>
      <c r="I403">
        <v>2</v>
      </c>
      <c r="J403">
        <v>2015</v>
      </c>
      <c r="K403">
        <v>2</v>
      </c>
      <c r="L403" t="s">
        <v>13</v>
      </c>
      <c r="M403">
        <f>SUM(Pharma_Sales_Data[[#This Row],[M01AB]:[R06]])</f>
        <v>53.5</v>
      </c>
      <c r="N403" s="2">
        <f>Pharma_Sales_Data[[#This Row],[Total Drug Sales]]*150</f>
        <v>8025</v>
      </c>
      <c r="O403" s="2">
        <f>Pharma_Sales_Data[[#This Row],[Total Revenue]]*0.3</f>
        <v>2407.5</v>
      </c>
      <c r="P403" t="str">
        <f>IF(Pharma_Sales_Data[[#This Row],[Total Revenue]]&gt;20000,"High Value", IF(Pharma_Sales_Data[[#This Row],[Total Revenue]]&gt;=10000,"Medium Value","Low Value"))</f>
        <v>Low Value</v>
      </c>
    </row>
    <row r="404" spans="1:16" x14ac:dyDescent="0.35">
      <c r="A404" s="1">
        <v>42043</v>
      </c>
      <c r="B404">
        <v>1.34</v>
      </c>
      <c r="C404">
        <v>7.7590000000000003</v>
      </c>
      <c r="D404">
        <v>5.7</v>
      </c>
      <c r="E404">
        <v>29.9</v>
      </c>
      <c r="F404">
        <v>8</v>
      </c>
      <c r="G404">
        <v>0</v>
      </c>
      <c r="H404">
        <v>0</v>
      </c>
      <c r="I404">
        <v>0</v>
      </c>
      <c r="J404">
        <v>2015</v>
      </c>
      <c r="K404">
        <v>2</v>
      </c>
      <c r="L404" t="s">
        <v>14</v>
      </c>
      <c r="M404">
        <f>SUM(Pharma_Sales_Data[[#This Row],[M01AB]:[R06]])</f>
        <v>52.698999999999998</v>
      </c>
      <c r="N404" s="2">
        <f>Pharma_Sales_Data[[#This Row],[Total Drug Sales]]*150</f>
        <v>7904.8499999999995</v>
      </c>
      <c r="O404" s="2">
        <f>Pharma_Sales_Data[[#This Row],[Total Revenue]]*0.3</f>
        <v>2371.4549999999999</v>
      </c>
      <c r="P404" t="str">
        <f>IF(Pharma_Sales_Data[[#This Row],[Total Revenue]]&gt;20000,"High Value", IF(Pharma_Sales_Data[[#This Row],[Total Revenue]]&gt;=10000,"Medium Value","Low Value"))</f>
        <v>Low Value</v>
      </c>
    </row>
    <row r="405" spans="1:16" x14ac:dyDescent="0.35">
      <c r="A405" s="1">
        <v>42044</v>
      </c>
      <c r="B405">
        <v>3.33</v>
      </c>
      <c r="C405">
        <v>3.54</v>
      </c>
      <c r="D405">
        <v>9.6</v>
      </c>
      <c r="E405">
        <v>20.7</v>
      </c>
      <c r="F405">
        <v>8</v>
      </c>
      <c r="G405">
        <v>1</v>
      </c>
      <c r="H405">
        <v>0</v>
      </c>
      <c r="I405">
        <v>1</v>
      </c>
      <c r="J405">
        <v>2015</v>
      </c>
      <c r="K405">
        <v>2</v>
      </c>
      <c r="L405" t="s">
        <v>15</v>
      </c>
      <c r="M405">
        <f>SUM(Pharma_Sales_Data[[#This Row],[M01AB]:[R06]])</f>
        <v>47.17</v>
      </c>
      <c r="N405" s="2">
        <f>Pharma_Sales_Data[[#This Row],[Total Drug Sales]]*150</f>
        <v>7075.5</v>
      </c>
      <c r="O405" s="2">
        <f>Pharma_Sales_Data[[#This Row],[Total Revenue]]*0.3</f>
        <v>2122.65</v>
      </c>
      <c r="P405" t="str">
        <f>IF(Pharma_Sales_Data[[#This Row],[Total Revenue]]&gt;20000,"High Value", IF(Pharma_Sales_Data[[#This Row],[Total Revenue]]&gt;=10000,"Medium Value","Low Value"))</f>
        <v>Low Value</v>
      </c>
    </row>
    <row r="406" spans="1:16" x14ac:dyDescent="0.35">
      <c r="A406" s="1">
        <v>42045</v>
      </c>
      <c r="B406">
        <v>3.66</v>
      </c>
      <c r="C406">
        <v>8.67</v>
      </c>
      <c r="D406">
        <v>7</v>
      </c>
      <c r="E406">
        <v>33</v>
      </c>
      <c r="F406">
        <v>11</v>
      </c>
      <c r="G406">
        <v>0</v>
      </c>
      <c r="H406">
        <v>6</v>
      </c>
      <c r="I406">
        <v>3</v>
      </c>
      <c r="J406">
        <v>2015</v>
      </c>
      <c r="K406">
        <v>2</v>
      </c>
      <c r="L406" t="s">
        <v>16</v>
      </c>
      <c r="M406">
        <f>SUM(Pharma_Sales_Data[[#This Row],[M01AB]:[R06]])</f>
        <v>72.33</v>
      </c>
      <c r="N406" s="2">
        <f>Pharma_Sales_Data[[#This Row],[Total Drug Sales]]*150</f>
        <v>10849.5</v>
      </c>
      <c r="O406" s="2">
        <f>Pharma_Sales_Data[[#This Row],[Total Revenue]]*0.3</f>
        <v>3254.85</v>
      </c>
      <c r="P406" t="str">
        <f>IF(Pharma_Sales_Data[[#This Row],[Total Revenue]]&gt;20000,"High Value", IF(Pharma_Sales_Data[[#This Row],[Total Revenue]]&gt;=10000,"Medium Value","Low Value"))</f>
        <v>Medium Value</v>
      </c>
    </row>
    <row r="407" spans="1:16" x14ac:dyDescent="0.35">
      <c r="A407" s="1">
        <v>42046</v>
      </c>
      <c r="B407">
        <v>3</v>
      </c>
      <c r="C407">
        <v>5.14</v>
      </c>
      <c r="D407">
        <v>3.6</v>
      </c>
      <c r="E407">
        <v>48.5</v>
      </c>
      <c r="F407">
        <v>16</v>
      </c>
      <c r="G407">
        <v>0</v>
      </c>
      <c r="H407">
        <v>20</v>
      </c>
      <c r="I407">
        <v>2</v>
      </c>
      <c r="J407">
        <v>2015</v>
      </c>
      <c r="K407">
        <v>2</v>
      </c>
      <c r="L407" t="s">
        <v>17</v>
      </c>
      <c r="M407">
        <f>SUM(Pharma_Sales_Data[[#This Row],[M01AB]:[R06]])</f>
        <v>98.240000000000009</v>
      </c>
      <c r="N407" s="2">
        <f>Pharma_Sales_Data[[#This Row],[Total Drug Sales]]*150</f>
        <v>14736.000000000002</v>
      </c>
      <c r="O407" s="2">
        <f>Pharma_Sales_Data[[#This Row],[Total Revenue]]*0.3</f>
        <v>4420.8</v>
      </c>
      <c r="P407" t="str">
        <f>IF(Pharma_Sales_Data[[#This Row],[Total Revenue]]&gt;20000,"High Value", IF(Pharma_Sales_Data[[#This Row],[Total Revenue]]&gt;=10000,"Medium Value","Low Value"))</f>
        <v>Medium Value</v>
      </c>
    </row>
    <row r="408" spans="1:16" x14ac:dyDescent="0.35">
      <c r="A408" s="1">
        <v>42047</v>
      </c>
      <c r="B408">
        <v>3</v>
      </c>
      <c r="C408">
        <v>4</v>
      </c>
      <c r="D408">
        <v>6</v>
      </c>
      <c r="E408">
        <v>23.82</v>
      </c>
      <c r="F408">
        <v>11</v>
      </c>
      <c r="G408">
        <v>1</v>
      </c>
      <c r="H408">
        <v>5</v>
      </c>
      <c r="I408">
        <v>0</v>
      </c>
      <c r="J408">
        <v>2015</v>
      </c>
      <c r="K408">
        <v>2</v>
      </c>
      <c r="L408" t="s">
        <v>11</v>
      </c>
      <c r="M408">
        <f>SUM(Pharma_Sales_Data[[#This Row],[M01AB]:[R06]])</f>
        <v>53.82</v>
      </c>
      <c r="N408" s="2">
        <f>Pharma_Sales_Data[[#This Row],[Total Drug Sales]]*150</f>
        <v>8073</v>
      </c>
      <c r="O408" s="2">
        <f>Pharma_Sales_Data[[#This Row],[Total Revenue]]*0.3</f>
        <v>2421.9</v>
      </c>
      <c r="P408" t="str">
        <f>IF(Pharma_Sales_Data[[#This Row],[Total Revenue]]&gt;20000,"High Value", IF(Pharma_Sales_Data[[#This Row],[Total Revenue]]&gt;=10000,"Medium Value","Low Value"))</f>
        <v>Low Value</v>
      </c>
    </row>
    <row r="409" spans="1:16" x14ac:dyDescent="0.35">
      <c r="A409" s="1">
        <v>42048</v>
      </c>
      <c r="B409">
        <v>6.01</v>
      </c>
      <c r="C409">
        <v>4.2300000000000004</v>
      </c>
      <c r="D409">
        <v>7</v>
      </c>
      <c r="E409">
        <v>29.6</v>
      </c>
      <c r="F409">
        <v>11</v>
      </c>
      <c r="G409">
        <v>1</v>
      </c>
      <c r="H409">
        <v>22</v>
      </c>
      <c r="I409">
        <v>1</v>
      </c>
      <c r="J409">
        <v>2015</v>
      </c>
      <c r="K409">
        <v>2</v>
      </c>
      <c r="L409" t="s">
        <v>12</v>
      </c>
      <c r="M409">
        <f>SUM(Pharma_Sales_Data[[#This Row],[M01AB]:[R06]])</f>
        <v>81.84</v>
      </c>
      <c r="N409" s="2">
        <f>Pharma_Sales_Data[[#This Row],[Total Drug Sales]]*150</f>
        <v>12276</v>
      </c>
      <c r="O409" s="2">
        <f>Pharma_Sales_Data[[#This Row],[Total Revenue]]*0.3</f>
        <v>3682.7999999999997</v>
      </c>
      <c r="P409" t="str">
        <f>IF(Pharma_Sales_Data[[#This Row],[Total Revenue]]&gt;20000,"High Value", IF(Pharma_Sales_Data[[#This Row],[Total Revenue]]&gt;=10000,"Medium Value","Low Value"))</f>
        <v>Medium Value</v>
      </c>
    </row>
    <row r="410" spans="1:16" x14ac:dyDescent="0.35">
      <c r="A410" s="1">
        <v>42049</v>
      </c>
      <c r="B410">
        <v>4.33</v>
      </c>
      <c r="C410">
        <v>1.736</v>
      </c>
      <c r="D410">
        <v>6.7</v>
      </c>
      <c r="E410">
        <v>29.2</v>
      </c>
      <c r="F410">
        <v>13</v>
      </c>
      <c r="G410">
        <v>1</v>
      </c>
      <c r="H410">
        <v>5</v>
      </c>
      <c r="I410">
        <v>4</v>
      </c>
      <c r="J410">
        <v>2015</v>
      </c>
      <c r="K410">
        <v>2</v>
      </c>
      <c r="L410" t="s">
        <v>13</v>
      </c>
      <c r="M410">
        <f>SUM(Pharma_Sales_Data[[#This Row],[M01AB]:[R06]])</f>
        <v>64.966000000000008</v>
      </c>
      <c r="N410" s="2">
        <f>Pharma_Sales_Data[[#This Row],[Total Drug Sales]]*150</f>
        <v>9744.9000000000015</v>
      </c>
      <c r="O410" s="2">
        <f>Pharma_Sales_Data[[#This Row],[Total Revenue]]*0.3</f>
        <v>2923.4700000000003</v>
      </c>
      <c r="P410" t="str">
        <f>IF(Pharma_Sales_Data[[#This Row],[Total Revenue]]&gt;20000,"High Value", IF(Pharma_Sales_Data[[#This Row],[Total Revenue]]&gt;=10000,"Medium Value","Low Value"))</f>
        <v>Low Value</v>
      </c>
    </row>
    <row r="411" spans="1:16" x14ac:dyDescent="0.35">
      <c r="A411" s="1">
        <v>42050</v>
      </c>
      <c r="B411">
        <v>11.68</v>
      </c>
      <c r="C411">
        <v>2.33</v>
      </c>
      <c r="D411">
        <v>4.3</v>
      </c>
      <c r="E411">
        <v>38</v>
      </c>
      <c r="F411">
        <v>7</v>
      </c>
      <c r="G411">
        <v>0</v>
      </c>
      <c r="H411">
        <v>7</v>
      </c>
      <c r="I411">
        <v>2</v>
      </c>
      <c r="J411">
        <v>2015</v>
      </c>
      <c r="K411">
        <v>2</v>
      </c>
      <c r="L411" t="s">
        <v>14</v>
      </c>
      <c r="M411">
        <f>SUM(Pharma_Sales_Data[[#This Row],[M01AB]:[R06]])</f>
        <v>72.31</v>
      </c>
      <c r="N411" s="2">
        <f>Pharma_Sales_Data[[#This Row],[Total Drug Sales]]*150</f>
        <v>10846.5</v>
      </c>
      <c r="O411" s="2">
        <f>Pharma_Sales_Data[[#This Row],[Total Revenue]]*0.3</f>
        <v>3253.95</v>
      </c>
      <c r="P411" t="str">
        <f>IF(Pharma_Sales_Data[[#This Row],[Total Revenue]]&gt;20000,"High Value", IF(Pharma_Sales_Data[[#This Row],[Total Revenue]]&gt;=10000,"Medium Value","Low Value"))</f>
        <v>Medium Value</v>
      </c>
    </row>
    <row r="412" spans="1:16" x14ac:dyDescent="0.35">
      <c r="A412" s="1">
        <v>42051</v>
      </c>
      <c r="B412">
        <v>3.01</v>
      </c>
      <c r="C412">
        <v>3.75</v>
      </c>
      <c r="D412">
        <v>4</v>
      </c>
      <c r="E412">
        <v>40.1</v>
      </c>
      <c r="F412">
        <v>4</v>
      </c>
      <c r="G412">
        <v>0</v>
      </c>
      <c r="H412">
        <v>10</v>
      </c>
      <c r="I412">
        <v>0</v>
      </c>
      <c r="J412">
        <v>2015</v>
      </c>
      <c r="K412">
        <v>2</v>
      </c>
      <c r="L412" t="s">
        <v>15</v>
      </c>
      <c r="M412">
        <f>SUM(Pharma_Sales_Data[[#This Row],[M01AB]:[R06]])</f>
        <v>64.86</v>
      </c>
      <c r="N412" s="2">
        <f>Pharma_Sales_Data[[#This Row],[Total Drug Sales]]*150</f>
        <v>9729</v>
      </c>
      <c r="O412" s="2">
        <f>Pharma_Sales_Data[[#This Row],[Total Revenue]]*0.3</f>
        <v>2918.7</v>
      </c>
      <c r="P412" t="str">
        <f>IF(Pharma_Sales_Data[[#This Row],[Total Revenue]]&gt;20000,"High Value", IF(Pharma_Sales_Data[[#This Row],[Total Revenue]]&gt;=10000,"Medium Value","Low Value"))</f>
        <v>Low Value</v>
      </c>
    </row>
    <row r="413" spans="1:16" x14ac:dyDescent="0.35">
      <c r="A413" s="1">
        <v>42052</v>
      </c>
      <c r="B413">
        <v>5.33</v>
      </c>
      <c r="C413">
        <v>8.6929999999999996</v>
      </c>
      <c r="D413">
        <v>4</v>
      </c>
      <c r="E413">
        <v>36.200000000000003</v>
      </c>
      <c r="F413">
        <v>3</v>
      </c>
      <c r="G413">
        <v>0</v>
      </c>
      <c r="H413">
        <v>6</v>
      </c>
      <c r="I413">
        <v>1</v>
      </c>
      <c r="J413">
        <v>2015</v>
      </c>
      <c r="K413">
        <v>2</v>
      </c>
      <c r="L413" t="s">
        <v>16</v>
      </c>
      <c r="M413">
        <f>SUM(Pharma_Sales_Data[[#This Row],[M01AB]:[R06]])</f>
        <v>64.222999999999999</v>
      </c>
      <c r="N413" s="2">
        <f>Pharma_Sales_Data[[#This Row],[Total Drug Sales]]*150</f>
        <v>9633.4500000000007</v>
      </c>
      <c r="O413" s="2">
        <f>Pharma_Sales_Data[[#This Row],[Total Revenue]]*0.3</f>
        <v>2890.0350000000003</v>
      </c>
      <c r="P413" t="str">
        <f>IF(Pharma_Sales_Data[[#This Row],[Total Revenue]]&gt;20000,"High Value", IF(Pharma_Sales_Data[[#This Row],[Total Revenue]]&gt;=10000,"Medium Value","Low Value"))</f>
        <v>Low Value</v>
      </c>
    </row>
    <row r="414" spans="1:16" x14ac:dyDescent="0.35">
      <c r="A414" s="1">
        <v>42053</v>
      </c>
      <c r="B414">
        <v>1</v>
      </c>
      <c r="C414">
        <v>2.66</v>
      </c>
      <c r="D414">
        <v>1.33</v>
      </c>
      <c r="E414">
        <v>36.212000000000003</v>
      </c>
      <c r="F414">
        <v>4</v>
      </c>
      <c r="G414">
        <v>0</v>
      </c>
      <c r="H414">
        <v>11</v>
      </c>
      <c r="I414">
        <v>0</v>
      </c>
      <c r="J414">
        <v>2015</v>
      </c>
      <c r="K414">
        <v>2</v>
      </c>
      <c r="L414" t="s">
        <v>17</v>
      </c>
      <c r="M414">
        <f>SUM(Pharma_Sales_Data[[#This Row],[M01AB]:[R06]])</f>
        <v>56.202000000000005</v>
      </c>
      <c r="N414" s="2">
        <f>Pharma_Sales_Data[[#This Row],[Total Drug Sales]]*150</f>
        <v>8430.3000000000011</v>
      </c>
      <c r="O414" s="2">
        <f>Pharma_Sales_Data[[#This Row],[Total Revenue]]*0.3</f>
        <v>2529.09</v>
      </c>
      <c r="P414" t="str">
        <f>IF(Pharma_Sales_Data[[#This Row],[Total Revenue]]&gt;20000,"High Value", IF(Pharma_Sales_Data[[#This Row],[Total Revenue]]&gt;=10000,"Medium Value","Low Value"))</f>
        <v>Low Value</v>
      </c>
    </row>
    <row r="415" spans="1:16" x14ac:dyDescent="0.35">
      <c r="A415" s="1">
        <v>42054</v>
      </c>
      <c r="B415">
        <v>2</v>
      </c>
      <c r="C415">
        <v>3.3319999999999999</v>
      </c>
      <c r="D415">
        <v>4</v>
      </c>
      <c r="E415">
        <v>36.700000000000003</v>
      </c>
      <c r="F415">
        <v>2</v>
      </c>
      <c r="G415">
        <v>2</v>
      </c>
      <c r="H415">
        <v>6</v>
      </c>
      <c r="I415">
        <v>3</v>
      </c>
      <c r="J415">
        <v>2015</v>
      </c>
      <c r="K415">
        <v>2</v>
      </c>
      <c r="L415" t="s">
        <v>11</v>
      </c>
      <c r="M415">
        <f>SUM(Pharma_Sales_Data[[#This Row],[M01AB]:[R06]])</f>
        <v>59.032000000000004</v>
      </c>
      <c r="N415" s="2">
        <f>Pharma_Sales_Data[[#This Row],[Total Drug Sales]]*150</f>
        <v>8854.8000000000011</v>
      </c>
      <c r="O415" s="2">
        <f>Pharma_Sales_Data[[#This Row],[Total Revenue]]*0.3</f>
        <v>2656.44</v>
      </c>
      <c r="P415" t="str">
        <f>IF(Pharma_Sales_Data[[#This Row],[Total Revenue]]&gt;20000,"High Value", IF(Pharma_Sales_Data[[#This Row],[Total Revenue]]&gt;=10000,"Medium Value","Low Value"))</f>
        <v>Low Value</v>
      </c>
    </row>
    <row r="416" spans="1:16" x14ac:dyDescent="0.35">
      <c r="A416" s="1">
        <v>42055</v>
      </c>
      <c r="B416">
        <v>5.33</v>
      </c>
      <c r="C416">
        <v>4.66</v>
      </c>
      <c r="D416">
        <v>0.5</v>
      </c>
      <c r="E416">
        <v>27</v>
      </c>
      <c r="F416">
        <v>5</v>
      </c>
      <c r="G416">
        <v>0</v>
      </c>
      <c r="H416">
        <v>25</v>
      </c>
      <c r="I416">
        <v>6</v>
      </c>
      <c r="J416">
        <v>2015</v>
      </c>
      <c r="K416">
        <v>2</v>
      </c>
      <c r="L416" t="s">
        <v>12</v>
      </c>
      <c r="M416">
        <f>SUM(Pharma_Sales_Data[[#This Row],[M01AB]:[R06]])</f>
        <v>73.490000000000009</v>
      </c>
      <c r="N416" s="2">
        <f>Pharma_Sales_Data[[#This Row],[Total Drug Sales]]*150</f>
        <v>11023.500000000002</v>
      </c>
      <c r="O416" s="2">
        <f>Pharma_Sales_Data[[#This Row],[Total Revenue]]*0.3</f>
        <v>3307.0500000000006</v>
      </c>
      <c r="P416" t="str">
        <f>IF(Pharma_Sales_Data[[#This Row],[Total Revenue]]&gt;20000,"High Value", IF(Pharma_Sales_Data[[#This Row],[Total Revenue]]&gt;=10000,"Medium Value","Low Value"))</f>
        <v>Medium Value</v>
      </c>
    </row>
    <row r="417" spans="1:16" x14ac:dyDescent="0.35">
      <c r="A417" s="1">
        <v>42056</v>
      </c>
      <c r="B417">
        <v>3</v>
      </c>
      <c r="C417">
        <v>5.3470000000000004</v>
      </c>
      <c r="D417">
        <v>4.8</v>
      </c>
      <c r="E417">
        <v>57</v>
      </c>
      <c r="F417">
        <v>9</v>
      </c>
      <c r="G417">
        <v>0</v>
      </c>
      <c r="H417">
        <v>0</v>
      </c>
      <c r="I417">
        <v>3</v>
      </c>
      <c r="J417">
        <v>2015</v>
      </c>
      <c r="K417">
        <v>2</v>
      </c>
      <c r="L417" t="s">
        <v>13</v>
      </c>
      <c r="M417">
        <f>SUM(Pharma_Sales_Data[[#This Row],[M01AB]:[R06]])</f>
        <v>82.147000000000006</v>
      </c>
      <c r="N417" s="2">
        <f>Pharma_Sales_Data[[#This Row],[Total Drug Sales]]*150</f>
        <v>12322.050000000001</v>
      </c>
      <c r="O417" s="2">
        <f>Pharma_Sales_Data[[#This Row],[Total Revenue]]*0.3</f>
        <v>3696.6150000000002</v>
      </c>
      <c r="P417" t="str">
        <f>IF(Pharma_Sales_Data[[#This Row],[Total Revenue]]&gt;20000,"High Value", IF(Pharma_Sales_Data[[#This Row],[Total Revenue]]&gt;=10000,"Medium Value","Low Value"))</f>
        <v>Medium Value</v>
      </c>
    </row>
    <row r="418" spans="1:16" x14ac:dyDescent="0.35">
      <c r="A418" s="1">
        <v>42057</v>
      </c>
      <c r="B418">
        <v>2</v>
      </c>
      <c r="C418">
        <v>4.34</v>
      </c>
      <c r="D418">
        <v>2</v>
      </c>
      <c r="E418">
        <v>50.6</v>
      </c>
      <c r="F418">
        <v>7</v>
      </c>
      <c r="G418">
        <v>0</v>
      </c>
      <c r="H418">
        <v>11</v>
      </c>
      <c r="I418">
        <v>1</v>
      </c>
      <c r="J418">
        <v>2015</v>
      </c>
      <c r="K418">
        <v>2</v>
      </c>
      <c r="L418" t="s">
        <v>14</v>
      </c>
      <c r="M418">
        <f>SUM(Pharma_Sales_Data[[#This Row],[M01AB]:[R06]])</f>
        <v>77.94</v>
      </c>
      <c r="N418" s="2">
        <f>Pharma_Sales_Data[[#This Row],[Total Drug Sales]]*150</f>
        <v>11691</v>
      </c>
      <c r="O418" s="2">
        <f>Pharma_Sales_Data[[#This Row],[Total Revenue]]*0.3</f>
        <v>3507.2999999999997</v>
      </c>
      <c r="P418" t="str">
        <f>IF(Pharma_Sales_Data[[#This Row],[Total Revenue]]&gt;20000,"High Value", IF(Pharma_Sales_Data[[#This Row],[Total Revenue]]&gt;=10000,"Medium Value","Low Value"))</f>
        <v>Medium Value</v>
      </c>
    </row>
    <row r="419" spans="1:16" x14ac:dyDescent="0.35">
      <c r="A419" s="1">
        <v>42058</v>
      </c>
      <c r="B419">
        <v>5</v>
      </c>
      <c r="C419">
        <v>3.16</v>
      </c>
      <c r="D419">
        <v>7.5</v>
      </c>
      <c r="E419">
        <v>55.4</v>
      </c>
      <c r="F419">
        <v>9</v>
      </c>
      <c r="G419">
        <v>0</v>
      </c>
      <c r="H419">
        <v>20</v>
      </c>
      <c r="I419">
        <v>0</v>
      </c>
      <c r="J419">
        <v>2015</v>
      </c>
      <c r="K419">
        <v>2</v>
      </c>
      <c r="L419" t="s">
        <v>15</v>
      </c>
      <c r="M419">
        <f>SUM(Pharma_Sales_Data[[#This Row],[M01AB]:[R06]])</f>
        <v>100.06</v>
      </c>
      <c r="N419" s="2">
        <f>Pharma_Sales_Data[[#This Row],[Total Drug Sales]]*150</f>
        <v>15009</v>
      </c>
      <c r="O419" s="2">
        <f>Pharma_Sales_Data[[#This Row],[Total Revenue]]*0.3</f>
        <v>4502.7</v>
      </c>
      <c r="P419" t="str">
        <f>IF(Pharma_Sales_Data[[#This Row],[Total Revenue]]&gt;20000,"High Value", IF(Pharma_Sales_Data[[#This Row],[Total Revenue]]&gt;=10000,"Medium Value","Low Value"))</f>
        <v>Medium Value</v>
      </c>
    </row>
    <row r="420" spans="1:16" x14ac:dyDescent="0.35">
      <c r="A420" s="1">
        <v>42059</v>
      </c>
      <c r="B420">
        <v>3.68</v>
      </c>
      <c r="C420">
        <v>3.34</v>
      </c>
      <c r="D420">
        <v>6.2</v>
      </c>
      <c r="E420">
        <v>22.07</v>
      </c>
      <c r="F420">
        <v>11</v>
      </c>
      <c r="G420">
        <v>0</v>
      </c>
      <c r="H420">
        <v>11</v>
      </c>
      <c r="I420">
        <v>2</v>
      </c>
      <c r="J420">
        <v>2015</v>
      </c>
      <c r="K420">
        <v>2</v>
      </c>
      <c r="L420" t="s">
        <v>16</v>
      </c>
      <c r="M420">
        <f>SUM(Pharma_Sales_Data[[#This Row],[M01AB]:[R06]])</f>
        <v>59.29</v>
      </c>
      <c r="N420" s="2">
        <f>Pharma_Sales_Data[[#This Row],[Total Drug Sales]]*150</f>
        <v>8893.5</v>
      </c>
      <c r="O420" s="2">
        <f>Pharma_Sales_Data[[#This Row],[Total Revenue]]*0.3</f>
        <v>2668.0499999999997</v>
      </c>
      <c r="P420" t="str">
        <f>IF(Pharma_Sales_Data[[#This Row],[Total Revenue]]&gt;20000,"High Value", IF(Pharma_Sales_Data[[#This Row],[Total Revenue]]&gt;=10000,"Medium Value","Low Value"))</f>
        <v>Low Value</v>
      </c>
    </row>
    <row r="421" spans="1:16" x14ac:dyDescent="0.35">
      <c r="A421" s="1">
        <v>42060</v>
      </c>
      <c r="B421">
        <v>7</v>
      </c>
      <c r="C421">
        <v>6.33</v>
      </c>
      <c r="D421">
        <v>6.1</v>
      </c>
      <c r="E421">
        <v>24</v>
      </c>
      <c r="F421">
        <v>8</v>
      </c>
      <c r="G421">
        <v>0</v>
      </c>
      <c r="H421">
        <v>2</v>
      </c>
      <c r="I421">
        <v>2</v>
      </c>
      <c r="J421">
        <v>2015</v>
      </c>
      <c r="K421">
        <v>2</v>
      </c>
      <c r="L421" t="s">
        <v>17</v>
      </c>
      <c r="M421">
        <f>SUM(Pharma_Sales_Data[[#This Row],[M01AB]:[R06]])</f>
        <v>55.43</v>
      </c>
      <c r="N421" s="2">
        <f>Pharma_Sales_Data[[#This Row],[Total Drug Sales]]*150</f>
        <v>8314.5</v>
      </c>
      <c r="O421" s="2">
        <f>Pharma_Sales_Data[[#This Row],[Total Revenue]]*0.3</f>
        <v>2494.35</v>
      </c>
      <c r="P421" t="str">
        <f>IF(Pharma_Sales_Data[[#This Row],[Total Revenue]]&gt;20000,"High Value", IF(Pharma_Sales_Data[[#This Row],[Total Revenue]]&gt;=10000,"Medium Value","Low Value"))</f>
        <v>Low Value</v>
      </c>
    </row>
    <row r="422" spans="1:16" x14ac:dyDescent="0.35">
      <c r="A422" s="1">
        <v>42061</v>
      </c>
      <c r="B422">
        <v>6</v>
      </c>
      <c r="C422">
        <v>2</v>
      </c>
      <c r="D422">
        <v>2</v>
      </c>
      <c r="E422">
        <v>36.700000000000003</v>
      </c>
      <c r="F422">
        <v>13</v>
      </c>
      <c r="G422">
        <v>0</v>
      </c>
      <c r="H422">
        <v>1</v>
      </c>
      <c r="I422">
        <v>1</v>
      </c>
      <c r="J422">
        <v>2015</v>
      </c>
      <c r="K422">
        <v>2</v>
      </c>
      <c r="L422" t="s">
        <v>11</v>
      </c>
      <c r="M422">
        <f>SUM(Pharma_Sales_Data[[#This Row],[M01AB]:[R06]])</f>
        <v>61.7</v>
      </c>
      <c r="N422" s="2">
        <f>Pharma_Sales_Data[[#This Row],[Total Drug Sales]]*150</f>
        <v>9255</v>
      </c>
      <c r="O422" s="2">
        <f>Pharma_Sales_Data[[#This Row],[Total Revenue]]*0.3</f>
        <v>2776.5</v>
      </c>
      <c r="P422" t="str">
        <f>IF(Pharma_Sales_Data[[#This Row],[Total Revenue]]&gt;20000,"High Value", IF(Pharma_Sales_Data[[#This Row],[Total Revenue]]&gt;=10000,"Medium Value","Low Value"))</f>
        <v>Low Value</v>
      </c>
    </row>
    <row r="423" spans="1:16" x14ac:dyDescent="0.35">
      <c r="A423" s="1">
        <v>42062</v>
      </c>
      <c r="B423">
        <v>6.33</v>
      </c>
      <c r="C423">
        <v>4.4729999999999999</v>
      </c>
      <c r="D423">
        <v>5</v>
      </c>
      <c r="E423">
        <v>51</v>
      </c>
      <c r="F423">
        <v>1</v>
      </c>
      <c r="G423">
        <v>1</v>
      </c>
      <c r="H423">
        <v>0</v>
      </c>
      <c r="I423">
        <v>0</v>
      </c>
      <c r="J423">
        <v>2015</v>
      </c>
      <c r="K423">
        <v>2</v>
      </c>
      <c r="L423" t="s">
        <v>12</v>
      </c>
      <c r="M423">
        <f>SUM(Pharma_Sales_Data[[#This Row],[M01AB]:[R06]])</f>
        <v>68.802999999999997</v>
      </c>
      <c r="N423" s="2">
        <f>Pharma_Sales_Data[[#This Row],[Total Drug Sales]]*150</f>
        <v>10320.449999999999</v>
      </c>
      <c r="O423" s="2">
        <f>Pharma_Sales_Data[[#This Row],[Total Revenue]]*0.3</f>
        <v>3096.1349999999998</v>
      </c>
      <c r="P423" t="str">
        <f>IF(Pharma_Sales_Data[[#This Row],[Total Revenue]]&gt;20000,"High Value", IF(Pharma_Sales_Data[[#This Row],[Total Revenue]]&gt;=10000,"Medium Value","Low Value"))</f>
        <v>Medium Value</v>
      </c>
    </row>
    <row r="424" spans="1:16" x14ac:dyDescent="0.35">
      <c r="A424" s="1">
        <v>42063</v>
      </c>
      <c r="B424">
        <v>6.34</v>
      </c>
      <c r="C424">
        <v>3.33</v>
      </c>
      <c r="D424">
        <v>1.6</v>
      </c>
      <c r="E424">
        <v>26.6</v>
      </c>
      <c r="F424">
        <v>9</v>
      </c>
      <c r="G424">
        <v>0</v>
      </c>
      <c r="H424">
        <v>4</v>
      </c>
      <c r="I424">
        <v>3</v>
      </c>
      <c r="J424">
        <v>2015</v>
      </c>
      <c r="K424">
        <v>2</v>
      </c>
      <c r="L424" t="s">
        <v>13</v>
      </c>
      <c r="M424">
        <f>SUM(Pharma_Sales_Data[[#This Row],[M01AB]:[R06]])</f>
        <v>53.870000000000005</v>
      </c>
      <c r="N424" s="2">
        <f>Pharma_Sales_Data[[#This Row],[Total Drug Sales]]*150</f>
        <v>8080.5000000000009</v>
      </c>
      <c r="O424" s="2">
        <f>Pharma_Sales_Data[[#This Row],[Total Revenue]]*0.3</f>
        <v>2424.15</v>
      </c>
      <c r="P424" t="str">
        <f>IF(Pharma_Sales_Data[[#This Row],[Total Revenue]]&gt;20000,"High Value", IF(Pharma_Sales_Data[[#This Row],[Total Revenue]]&gt;=10000,"Medium Value","Low Value"))</f>
        <v>Low Value</v>
      </c>
    </row>
    <row r="425" spans="1:16" x14ac:dyDescent="0.35">
      <c r="A425" s="1">
        <v>42064</v>
      </c>
      <c r="B425">
        <v>9</v>
      </c>
      <c r="C425">
        <v>7.8929999999999998</v>
      </c>
      <c r="D425">
        <v>2.7</v>
      </c>
      <c r="E425">
        <v>25.9</v>
      </c>
      <c r="F425">
        <v>3</v>
      </c>
      <c r="G425">
        <v>4</v>
      </c>
      <c r="H425">
        <v>0</v>
      </c>
      <c r="I425">
        <v>4</v>
      </c>
      <c r="J425">
        <v>2015</v>
      </c>
      <c r="K425">
        <v>3</v>
      </c>
      <c r="L425" t="s">
        <v>14</v>
      </c>
      <c r="M425">
        <f>SUM(Pharma_Sales_Data[[#This Row],[M01AB]:[R06]])</f>
        <v>56.492999999999995</v>
      </c>
      <c r="N425" s="2">
        <f>Pharma_Sales_Data[[#This Row],[Total Drug Sales]]*150</f>
        <v>8473.9499999999989</v>
      </c>
      <c r="O425" s="2">
        <f>Pharma_Sales_Data[[#This Row],[Total Revenue]]*0.3</f>
        <v>2542.1849999999995</v>
      </c>
      <c r="P425" t="str">
        <f>IF(Pharma_Sales_Data[[#This Row],[Total Revenue]]&gt;20000,"High Value", IF(Pharma_Sales_Data[[#This Row],[Total Revenue]]&gt;=10000,"Medium Value","Low Value"))</f>
        <v>Low Value</v>
      </c>
    </row>
    <row r="426" spans="1:16" x14ac:dyDescent="0.35">
      <c r="A426" s="1">
        <v>42065</v>
      </c>
      <c r="B426">
        <v>6.67</v>
      </c>
      <c r="C426">
        <v>4.68</v>
      </c>
      <c r="D426">
        <v>3.5</v>
      </c>
      <c r="E426">
        <v>40.700000000000003</v>
      </c>
      <c r="F426">
        <v>6</v>
      </c>
      <c r="G426">
        <v>1</v>
      </c>
      <c r="H426">
        <v>2</v>
      </c>
      <c r="I426">
        <v>3</v>
      </c>
      <c r="J426">
        <v>2015</v>
      </c>
      <c r="K426">
        <v>3</v>
      </c>
      <c r="L426" t="s">
        <v>15</v>
      </c>
      <c r="M426">
        <f>SUM(Pharma_Sales_Data[[#This Row],[M01AB]:[R06]])</f>
        <v>67.550000000000011</v>
      </c>
      <c r="N426" s="2">
        <f>Pharma_Sales_Data[[#This Row],[Total Drug Sales]]*150</f>
        <v>10132.500000000002</v>
      </c>
      <c r="O426" s="2">
        <f>Pharma_Sales_Data[[#This Row],[Total Revenue]]*0.3</f>
        <v>3039.7500000000005</v>
      </c>
      <c r="P426" t="str">
        <f>IF(Pharma_Sales_Data[[#This Row],[Total Revenue]]&gt;20000,"High Value", IF(Pharma_Sales_Data[[#This Row],[Total Revenue]]&gt;=10000,"Medium Value","Low Value"))</f>
        <v>Medium Value</v>
      </c>
    </row>
    <row r="427" spans="1:16" x14ac:dyDescent="0.35">
      <c r="A427" s="1">
        <v>42066</v>
      </c>
      <c r="B427">
        <v>8</v>
      </c>
      <c r="C427">
        <v>6.03</v>
      </c>
      <c r="D427">
        <v>4.5</v>
      </c>
      <c r="E427">
        <v>45.6</v>
      </c>
      <c r="F427">
        <v>14</v>
      </c>
      <c r="G427">
        <v>0</v>
      </c>
      <c r="H427">
        <v>1</v>
      </c>
      <c r="I427">
        <v>4</v>
      </c>
      <c r="J427">
        <v>2015</v>
      </c>
      <c r="K427">
        <v>3</v>
      </c>
      <c r="L427" t="s">
        <v>16</v>
      </c>
      <c r="M427">
        <f>SUM(Pharma_Sales_Data[[#This Row],[M01AB]:[R06]])</f>
        <v>83.13</v>
      </c>
      <c r="N427" s="2">
        <f>Pharma_Sales_Data[[#This Row],[Total Drug Sales]]*150</f>
        <v>12469.5</v>
      </c>
      <c r="O427" s="2">
        <f>Pharma_Sales_Data[[#This Row],[Total Revenue]]*0.3</f>
        <v>3740.85</v>
      </c>
      <c r="P427" t="str">
        <f>IF(Pharma_Sales_Data[[#This Row],[Total Revenue]]&gt;20000,"High Value", IF(Pharma_Sales_Data[[#This Row],[Total Revenue]]&gt;=10000,"Medium Value","Low Value"))</f>
        <v>Medium Value</v>
      </c>
    </row>
    <row r="428" spans="1:16" x14ac:dyDescent="0.35">
      <c r="A428" s="1">
        <v>42067</v>
      </c>
      <c r="B428">
        <v>9.68</v>
      </c>
      <c r="C428">
        <v>5.67</v>
      </c>
      <c r="D428">
        <v>3.3</v>
      </c>
      <c r="E428">
        <v>46.85</v>
      </c>
      <c r="F428">
        <v>4</v>
      </c>
      <c r="G428">
        <v>0</v>
      </c>
      <c r="H428">
        <v>11</v>
      </c>
      <c r="I428">
        <v>1</v>
      </c>
      <c r="J428">
        <v>2015</v>
      </c>
      <c r="K428">
        <v>3</v>
      </c>
      <c r="L428" t="s">
        <v>17</v>
      </c>
      <c r="M428">
        <f>SUM(Pharma_Sales_Data[[#This Row],[M01AB]:[R06]])</f>
        <v>81.5</v>
      </c>
      <c r="N428" s="2">
        <f>Pharma_Sales_Data[[#This Row],[Total Drug Sales]]*150</f>
        <v>12225</v>
      </c>
      <c r="O428" s="2">
        <f>Pharma_Sales_Data[[#This Row],[Total Revenue]]*0.3</f>
        <v>3667.5</v>
      </c>
      <c r="P428" t="str">
        <f>IF(Pharma_Sales_Data[[#This Row],[Total Revenue]]&gt;20000,"High Value", IF(Pharma_Sales_Data[[#This Row],[Total Revenue]]&gt;=10000,"Medium Value","Low Value"))</f>
        <v>Medium Value</v>
      </c>
    </row>
    <row r="429" spans="1:16" x14ac:dyDescent="0.35">
      <c r="A429" s="1">
        <v>42068</v>
      </c>
      <c r="B429">
        <v>6</v>
      </c>
      <c r="C429">
        <v>2.33</v>
      </c>
      <c r="D429">
        <v>3</v>
      </c>
      <c r="E429">
        <v>35</v>
      </c>
      <c r="F429">
        <v>2</v>
      </c>
      <c r="G429">
        <v>0</v>
      </c>
      <c r="H429">
        <v>0</v>
      </c>
      <c r="I429">
        <v>0</v>
      </c>
      <c r="J429">
        <v>2015</v>
      </c>
      <c r="K429">
        <v>3</v>
      </c>
      <c r="L429" t="s">
        <v>11</v>
      </c>
      <c r="M429">
        <f>SUM(Pharma_Sales_Data[[#This Row],[M01AB]:[R06]])</f>
        <v>48.33</v>
      </c>
      <c r="N429" s="2">
        <f>Pharma_Sales_Data[[#This Row],[Total Drug Sales]]*150</f>
        <v>7249.5</v>
      </c>
      <c r="O429" s="2">
        <f>Pharma_Sales_Data[[#This Row],[Total Revenue]]*0.3</f>
        <v>2174.85</v>
      </c>
      <c r="P429" t="str">
        <f>IF(Pharma_Sales_Data[[#This Row],[Total Revenue]]&gt;20000,"High Value", IF(Pharma_Sales_Data[[#This Row],[Total Revenue]]&gt;=10000,"Medium Value","Low Value"))</f>
        <v>Low Value</v>
      </c>
    </row>
    <row r="430" spans="1:16" x14ac:dyDescent="0.35">
      <c r="A430" s="1">
        <v>42069</v>
      </c>
      <c r="B430">
        <v>2</v>
      </c>
      <c r="C430">
        <v>2.67</v>
      </c>
      <c r="D430">
        <v>6</v>
      </c>
      <c r="E430">
        <v>19.8</v>
      </c>
      <c r="F430">
        <v>4</v>
      </c>
      <c r="G430">
        <v>0</v>
      </c>
      <c r="H430">
        <v>1</v>
      </c>
      <c r="I430">
        <v>1</v>
      </c>
      <c r="J430">
        <v>2015</v>
      </c>
      <c r="K430">
        <v>3</v>
      </c>
      <c r="L430" t="s">
        <v>12</v>
      </c>
      <c r="M430">
        <f>SUM(Pharma_Sales_Data[[#This Row],[M01AB]:[R06]])</f>
        <v>36.47</v>
      </c>
      <c r="N430" s="2">
        <f>Pharma_Sales_Data[[#This Row],[Total Drug Sales]]*150</f>
        <v>5470.5</v>
      </c>
      <c r="O430" s="2">
        <f>Pharma_Sales_Data[[#This Row],[Total Revenue]]*0.3</f>
        <v>1641.1499999999999</v>
      </c>
      <c r="P430" t="str">
        <f>IF(Pharma_Sales_Data[[#This Row],[Total Revenue]]&gt;20000,"High Value", IF(Pharma_Sales_Data[[#This Row],[Total Revenue]]&gt;=10000,"Medium Value","Low Value"))</f>
        <v>Low Value</v>
      </c>
    </row>
    <row r="431" spans="1:16" x14ac:dyDescent="0.35">
      <c r="A431" s="1">
        <v>42070</v>
      </c>
      <c r="B431">
        <v>3.33</v>
      </c>
      <c r="C431">
        <v>1</v>
      </c>
      <c r="D431">
        <v>1</v>
      </c>
      <c r="E431">
        <v>2</v>
      </c>
      <c r="F431">
        <v>0</v>
      </c>
      <c r="G431">
        <v>0</v>
      </c>
      <c r="H431">
        <v>0</v>
      </c>
      <c r="I431">
        <v>0</v>
      </c>
      <c r="J431">
        <v>2015</v>
      </c>
      <c r="K431">
        <v>3</v>
      </c>
      <c r="L431" t="s">
        <v>13</v>
      </c>
      <c r="M431">
        <f>SUM(Pharma_Sales_Data[[#This Row],[M01AB]:[R06]])</f>
        <v>7.33</v>
      </c>
      <c r="N431" s="2">
        <f>Pharma_Sales_Data[[#This Row],[Total Drug Sales]]*150</f>
        <v>1099.5</v>
      </c>
      <c r="O431" s="2">
        <f>Pharma_Sales_Data[[#This Row],[Total Revenue]]*0.3</f>
        <v>329.84999999999997</v>
      </c>
      <c r="P431" t="str">
        <f>IF(Pharma_Sales_Data[[#This Row],[Total Revenue]]&gt;20000,"High Value", IF(Pharma_Sales_Data[[#This Row],[Total Revenue]]&gt;=10000,"Medium Value","Low Value"))</f>
        <v>Low Value</v>
      </c>
    </row>
    <row r="432" spans="1:16" x14ac:dyDescent="0.35">
      <c r="A432" s="1">
        <v>42071</v>
      </c>
      <c r="B432">
        <v>6</v>
      </c>
      <c r="C432">
        <v>3.3969999999999998</v>
      </c>
      <c r="D432">
        <v>2.4</v>
      </c>
      <c r="E432">
        <v>55.4</v>
      </c>
      <c r="F432">
        <v>9</v>
      </c>
      <c r="G432">
        <v>0</v>
      </c>
      <c r="H432">
        <v>2</v>
      </c>
      <c r="I432">
        <v>1</v>
      </c>
      <c r="J432">
        <v>2015</v>
      </c>
      <c r="K432">
        <v>3</v>
      </c>
      <c r="L432" t="s">
        <v>14</v>
      </c>
      <c r="M432">
        <f>SUM(Pharma_Sales_Data[[#This Row],[M01AB]:[R06]])</f>
        <v>79.197000000000003</v>
      </c>
      <c r="N432" s="2">
        <f>Pharma_Sales_Data[[#This Row],[Total Drug Sales]]*150</f>
        <v>11879.550000000001</v>
      </c>
      <c r="O432" s="2">
        <f>Pharma_Sales_Data[[#This Row],[Total Revenue]]*0.3</f>
        <v>3563.8650000000002</v>
      </c>
      <c r="P432" t="str">
        <f>IF(Pharma_Sales_Data[[#This Row],[Total Revenue]]&gt;20000,"High Value", IF(Pharma_Sales_Data[[#This Row],[Total Revenue]]&gt;=10000,"Medium Value","Low Value"))</f>
        <v>Medium Value</v>
      </c>
    </row>
    <row r="433" spans="1:16" x14ac:dyDescent="0.35">
      <c r="A433" s="1">
        <v>42072</v>
      </c>
      <c r="B433">
        <v>2</v>
      </c>
      <c r="C433">
        <v>3</v>
      </c>
      <c r="D433">
        <v>5</v>
      </c>
      <c r="E433">
        <v>32.700000000000003</v>
      </c>
      <c r="F433">
        <v>10</v>
      </c>
      <c r="G433">
        <v>0</v>
      </c>
      <c r="H433">
        <v>1</v>
      </c>
      <c r="I433">
        <v>1</v>
      </c>
      <c r="J433">
        <v>2015</v>
      </c>
      <c r="K433">
        <v>3</v>
      </c>
      <c r="L433" t="s">
        <v>15</v>
      </c>
      <c r="M433">
        <f>SUM(Pharma_Sales_Data[[#This Row],[M01AB]:[R06]])</f>
        <v>54.7</v>
      </c>
      <c r="N433" s="2">
        <f>Pharma_Sales_Data[[#This Row],[Total Drug Sales]]*150</f>
        <v>8205</v>
      </c>
      <c r="O433" s="2">
        <f>Pharma_Sales_Data[[#This Row],[Total Revenue]]*0.3</f>
        <v>2461.5</v>
      </c>
      <c r="P433" t="str">
        <f>IF(Pharma_Sales_Data[[#This Row],[Total Revenue]]&gt;20000,"High Value", IF(Pharma_Sales_Data[[#This Row],[Total Revenue]]&gt;=10000,"Medium Value","Low Value"))</f>
        <v>Low Value</v>
      </c>
    </row>
    <row r="434" spans="1:16" x14ac:dyDescent="0.35">
      <c r="A434" s="1">
        <v>42073</v>
      </c>
      <c r="B434">
        <v>1.34</v>
      </c>
      <c r="C434">
        <v>3.66</v>
      </c>
      <c r="D434">
        <v>5</v>
      </c>
      <c r="E434">
        <v>40.4</v>
      </c>
      <c r="F434">
        <v>6</v>
      </c>
      <c r="G434">
        <v>0</v>
      </c>
      <c r="H434">
        <v>6</v>
      </c>
      <c r="I434">
        <v>3</v>
      </c>
      <c r="J434">
        <v>2015</v>
      </c>
      <c r="K434">
        <v>3</v>
      </c>
      <c r="L434" t="s">
        <v>16</v>
      </c>
      <c r="M434">
        <f>SUM(Pharma_Sales_Data[[#This Row],[M01AB]:[R06]])</f>
        <v>65.400000000000006</v>
      </c>
      <c r="N434" s="2">
        <f>Pharma_Sales_Data[[#This Row],[Total Drug Sales]]*150</f>
        <v>9810</v>
      </c>
      <c r="O434" s="2">
        <f>Pharma_Sales_Data[[#This Row],[Total Revenue]]*0.3</f>
        <v>2943</v>
      </c>
      <c r="P434" t="str">
        <f>IF(Pharma_Sales_Data[[#This Row],[Total Revenue]]&gt;20000,"High Value", IF(Pharma_Sales_Data[[#This Row],[Total Revenue]]&gt;=10000,"Medium Value","Low Value"))</f>
        <v>Low Value</v>
      </c>
    </row>
    <row r="435" spans="1:16" x14ac:dyDescent="0.35">
      <c r="A435" s="1">
        <v>42074</v>
      </c>
      <c r="B435">
        <v>11</v>
      </c>
      <c r="C435">
        <v>5</v>
      </c>
      <c r="D435">
        <v>3.2</v>
      </c>
      <c r="E435">
        <v>32</v>
      </c>
      <c r="F435">
        <v>9</v>
      </c>
      <c r="G435">
        <v>0</v>
      </c>
      <c r="H435">
        <v>4</v>
      </c>
      <c r="I435">
        <v>0</v>
      </c>
      <c r="J435">
        <v>2015</v>
      </c>
      <c r="K435">
        <v>3</v>
      </c>
      <c r="L435" t="s">
        <v>17</v>
      </c>
      <c r="M435">
        <f>SUM(Pharma_Sales_Data[[#This Row],[M01AB]:[R06]])</f>
        <v>64.2</v>
      </c>
      <c r="N435" s="2">
        <f>Pharma_Sales_Data[[#This Row],[Total Drug Sales]]*150</f>
        <v>9630</v>
      </c>
      <c r="O435" s="2">
        <f>Pharma_Sales_Data[[#This Row],[Total Revenue]]*0.3</f>
        <v>2889</v>
      </c>
      <c r="P435" t="str">
        <f>IF(Pharma_Sales_Data[[#This Row],[Total Revenue]]&gt;20000,"High Value", IF(Pharma_Sales_Data[[#This Row],[Total Revenue]]&gt;=10000,"Medium Value","Low Value"))</f>
        <v>Low Value</v>
      </c>
    </row>
    <row r="436" spans="1:16" x14ac:dyDescent="0.35">
      <c r="A436" s="1">
        <v>42075</v>
      </c>
      <c r="B436">
        <v>2.68</v>
      </c>
      <c r="C436">
        <v>6.3869999999999996</v>
      </c>
      <c r="D436">
        <v>6.1</v>
      </c>
      <c r="E436">
        <v>19</v>
      </c>
      <c r="F436">
        <v>5</v>
      </c>
      <c r="G436">
        <v>0</v>
      </c>
      <c r="H436">
        <v>2</v>
      </c>
      <c r="I436">
        <v>3</v>
      </c>
      <c r="J436">
        <v>2015</v>
      </c>
      <c r="K436">
        <v>3</v>
      </c>
      <c r="L436" t="s">
        <v>11</v>
      </c>
      <c r="M436">
        <f>SUM(Pharma_Sales_Data[[#This Row],[M01AB]:[R06]])</f>
        <v>44.167000000000002</v>
      </c>
      <c r="N436" s="2">
        <f>Pharma_Sales_Data[[#This Row],[Total Drug Sales]]*150</f>
        <v>6625.05</v>
      </c>
      <c r="O436" s="2">
        <f>Pharma_Sales_Data[[#This Row],[Total Revenue]]*0.3</f>
        <v>1987.5149999999999</v>
      </c>
      <c r="P436" t="str">
        <f>IF(Pharma_Sales_Data[[#This Row],[Total Revenue]]&gt;20000,"High Value", IF(Pharma_Sales_Data[[#This Row],[Total Revenue]]&gt;=10000,"Medium Value","Low Value"))</f>
        <v>Low Value</v>
      </c>
    </row>
    <row r="437" spans="1:16" x14ac:dyDescent="0.35">
      <c r="A437" s="1">
        <v>42076</v>
      </c>
      <c r="B437">
        <v>4</v>
      </c>
      <c r="C437">
        <v>3.33</v>
      </c>
      <c r="D437">
        <v>6.7</v>
      </c>
      <c r="E437">
        <v>63.4</v>
      </c>
      <c r="F437">
        <v>11</v>
      </c>
      <c r="G437">
        <v>2</v>
      </c>
      <c r="H437">
        <v>1</v>
      </c>
      <c r="I437">
        <v>0</v>
      </c>
      <c r="J437">
        <v>2015</v>
      </c>
      <c r="K437">
        <v>3</v>
      </c>
      <c r="L437" t="s">
        <v>12</v>
      </c>
      <c r="M437">
        <f>SUM(Pharma_Sales_Data[[#This Row],[M01AB]:[R06]])</f>
        <v>91.43</v>
      </c>
      <c r="N437" s="2">
        <f>Pharma_Sales_Data[[#This Row],[Total Drug Sales]]*150</f>
        <v>13714.500000000002</v>
      </c>
      <c r="O437" s="2">
        <f>Pharma_Sales_Data[[#This Row],[Total Revenue]]*0.3</f>
        <v>4114.3500000000004</v>
      </c>
      <c r="P437" t="str">
        <f>IF(Pharma_Sales_Data[[#This Row],[Total Revenue]]&gt;20000,"High Value", IF(Pharma_Sales_Data[[#This Row],[Total Revenue]]&gt;=10000,"Medium Value","Low Value"))</f>
        <v>Medium Value</v>
      </c>
    </row>
    <row r="438" spans="1:16" x14ac:dyDescent="0.35">
      <c r="A438" s="1">
        <v>42077</v>
      </c>
      <c r="B438">
        <v>2.66</v>
      </c>
      <c r="C438">
        <v>4.33</v>
      </c>
      <c r="D438">
        <v>4</v>
      </c>
      <c r="E438">
        <v>39.1</v>
      </c>
      <c r="F438">
        <v>9</v>
      </c>
      <c r="G438">
        <v>0</v>
      </c>
      <c r="H438">
        <v>9</v>
      </c>
      <c r="I438">
        <v>3</v>
      </c>
      <c r="J438">
        <v>2015</v>
      </c>
      <c r="K438">
        <v>3</v>
      </c>
      <c r="L438" t="s">
        <v>13</v>
      </c>
      <c r="M438">
        <f>SUM(Pharma_Sales_Data[[#This Row],[M01AB]:[R06]])</f>
        <v>71.09</v>
      </c>
      <c r="N438" s="2">
        <f>Pharma_Sales_Data[[#This Row],[Total Drug Sales]]*150</f>
        <v>10663.5</v>
      </c>
      <c r="O438" s="2">
        <f>Pharma_Sales_Data[[#This Row],[Total Revenue]]*0.3</f>
        <v>3199.0499999999997</v>
      </c>
      <c r="P438" t="str">
        <f>IF(Pharma_Sales_Data[[#This Row],[Total Revenue]]&gt;20000,"High Value", IF(Pharma_Sales_Data[[#This Row],[Total Revenue]]&gt;=10000,"Medium Value","Low Value"))</f>
        <v>Medium Value</v>
      </c>
    </row>
    <row r="439" spans="1:16" x14ac:dyDescent="0.35">
      <c r="A439" s="1">
        <v>42078</v>
      </c>
      <c r="B439">
        <v>3.34</v>
      </c>
      <c r="C439">
        <v>4.16</v>
      </c>
      <c r="D439">
        <v>3</v>
      </c>
      <c r="E439">
        <v>41</v>
      </c>
      <c r="F439">
        <v>3</v>
      </c>
      <c r="G439">
        <v>0</v>
      </c>
      <c r="H439">
        <v>12</v>
      </c>
      <c r="I439">
        <v>3</v>
      </c>
      <c r="J439">
        <v>2015</v>
      </c>
      <c r="K439">
        <v>3</v>
      </c>
      <c r="L439" t="s">
        <v>14</v>
      </c>
      <c r="M439">
        <f>SUM(Pharma_Sales_Data[[#This Row],[M01AB]:[R06]])</f>
        <v>69.5</v>
      </c>
      <c r="N439" s="2">
        <f>Pharma_Sales_Data[[#This Row],[Total Drug Sales]]*150</f>
        <v>10425</v>
      </c>
      <c r="O439" s="2">
        <f>Pharma_Sales_Data[[#This Row],[Total Revenue]]*0.3</f>
        <v>3127.5</v>
      </c>
      <c r="P439" t="str">
        <f>IF(Pharma_Sales_Data[[#This Row],[Total Revenue]]&gt;20000,"High Value", IF(Pharma_Sales_Data[[#This Row],[Total Revenue]]&gt;=10000,"Medium Value","Low Value"))</f>
        <v>Medium Value</v>
      </c>
    </row>
    <row r="440" spans="1:16" x14ac:dyDescent="0.35">
      <c r="A440" s="1">
        <v>42079</v>
      </c>
      <c r="B440">
        <v>8</v>
      </c>
      <c r="C440">
        <v>3.01</v>
      </c>
      <c r="D440">
        <v>4.9000000000000004</v>
      </c>
      <c r="E440">
        <v>46.8</v>
      </c>
      <c r="F440">
        <v>8</v>
      </c>
      <c r="G440">
        <v>0</v>
      </c>
      <c r="H440">
        <v>0</v>
      </c>
      <c r="I440">
        <v>1</v>
      </c>
      <c r="J440">
        <v>2015</v>
      </c>
      <c r="K440">
        <v>3</v>
      </c>
      <c r="L440" t="s">
        <v>15</v>
      </c>
      <c r="M440">
        <f>SUM(Pharma_Sales_Data[[#This Row],[M01AB]:[R06]])</f>
        <v>71.709999999999994</v>
      </c>
      <c r="N440" s="2">
        <f>Pharma_Sales_Data[[#This Row],[Total Drug Sales]]*150</f>
        <v>10756.499999999998</v>
      </c>
      <c r="O440" s="2">
        <f>Pharma_Sales_Data[[#This Row],[Total Revenue]]*0.3</f>
        <v>3226.9499999999994</v>
      </c>
      <c r="P440" t="str">
        <f>IF(Pharma_Sales_Data[[#This Row],[Total Revenue]]&gt;20000,"High Value", IF(Pharma_Sales_Data[[#This Row],[Total Revenue]]&gt;=10000,"Medium Value","Low Value"))</f>
        <v>Medium Value</v>
      </c>
    </row>
    <row r="441" spans="1:16" x14ac:dyDescent="0.35">
      <c r="A441" s="1">
        <v>42080</v>
      </c>
      <c r="B441">
        <v>5</v>
      </c>
      <c r="C441">
        <v>3</v>
      </c>
      <c r="D441">
        <v>4.5999999999999996</v>
      </c>
      <c r="E441">
        <v>28.8</v>
      </c>
      <c r="F441">
        <v>9</v>
      </c>
      <c r="G441">
        <v>1</v>
      </c>
      <c r="H441">
        <v>2</v>
      </c>
      <c r="I441">
        <v>0</v>
      </c>
      <c r="J441">
        <v>2015</v>
      </c>
      <c r="K441">
        <v>3</v>
      </c>
      <c r="L441" t="s">
        <v>16</v>
      </c>
      <c r="M441">
        <f>SUM(Pharma_Sales_Data[[#This Row],[M01AB]:[R06]])</f>
        <v>53.4</v>
      </c>
      <c r="N441" s="2">
        <f>Pharma_Sales_Data[[#This Row],[Total Drug Sales]]*150</f>
        <v>8010</v>
      </c>
      <c r="O441" s="2">
        <f>Pharma_Sales_Data[[#This Row],[Total Revenue]]*0.3</f>
        <v>2403</v>
      </c>
      <c r="P441" t="str">
        <f>IF(Pharma_Sales_Data[[#This Row],[Total Revenue]]&gt;20000,"High Value", IF(Pharma_Sales_Data[[#This Row],[Total Revenue]]&gt;=10000,"Medium Value","Low Value"))</f>
        <v>Low Value</v>
      </c>
    </row>
    <row r="442" spans="1:16" x14ac:dyDescent="0.35">
      <c r="A442" s="1">
        <v>42081</v>
      </c>
      <c r="B442">
        <v>7.33</v>
      </c>
      <c r="C442">
        <v>2</v>
      </c>
      <c r="D442">
        <v>5.3</v>
      </c>
      <c r="E442">
        <v>24.4</v>
      </c>
      <c r="F442">
        <v>5</v>
      </c>
      <c r="G442">
        <v>0</v>
      </c>
      <c r="H442">
        <v>20</v>
      </c>
      <c r="I442">
        <v>2</v>
      </c>
      <c r="J442">
        <v>2015</v>
      </c>
      <c r="K442">
        <v>3</v>
      </c>
      <c r="L442" t="s">
        <v>17</v>
      </c>
      <c r="M442">
        <f>SUM(Pharma_Sales_Data[[#This Row],[M01AB]:[R06]])</f>
        <v>66.03</v>
      </c>
      <c r="N442" s="2">
        <f>Pharma_Sales_Data[[#This Row],[Total Drug Sales]]*150</f>
        <v>9904.5</v>
      </c>
      <c r="O442" s="2">
        <f>Pharma_Sales_Data[[#This Row],[Total Revenue]]*0.3</f>
        <v>2971.35</v>
      </c>
      <c r="P442" t="str">
        <f>IF(Pharma_Sales_Data[[#This Row],[Total Revenue]]&gt;20000,"High Value", IF(Pharma_Sales_Data[[#This Row],[Total Revenue]]&gt;=10000,"Medium Value","Low Value"))</f>
        <v>Low Value</v>
      </c>
    </row>
    <row r="443" spans="1:16" x14ac:dyDescent="0.35">
      <c r="A443" s="1">
        <v>42082</v>
      </c>
      <c r="B443">
        <v>2</v>
      </c>
      <c r="C443">
        <v>2.33</v>
      </c>
      <c r="D443">
        <v>1.5</v>
      </c>
      <c r="E443">
        <v>31</v>
      </c>
      <c r="F443">
        <v>7</v>
      </c>
      <c r="G443">
        <v>0</v>
      </c>
      <c r="H443">
        <v>15</v>
      </c>
      <c r="I443">
        <v>0</v>
      </c>
      <c r="J443">
        <v>2015</v>
      </c>
      <c r="K443">
        <v>3</v>
      </c>
      <c r="L443" t="s">
        <v>11</v>
      </c>
      <c r="M443">
        <f>SUM(Pharma_Sales_Data[[#This Row],[M01AB]:[R06]])</f>
        <v>58.83</v>
      </c>
      <c r="N443" s="2">
        <f>Pharma_Sales_Data[[#This Row],[Total Drug Sales]]*150</f>
        <v>8824.5</v>
      </c>
      <c r="O443" s="2">
        <f>Pharma_Sales_Data[[#This Row],[Total Revenue]]*0.3</f>
        <v>2647.35</v>
      </c>
      <c r="P443" t="str">
        <f>IF(Pharma_Sales_Data[[#This Row],[Total Revenue]]&gt;20000,"High Value", IF(Pharma_Sales_Data[[#This Row],[Total Revenue]]&gt;=10000,"Medium Value","Low Value"))</f>
        <v>Low Value</v>
      </c>
    </row>
    <row r="444" spans="1:16" x14ac:dyDescent="0.35">
      <c r="A444" s="1">
        <v>42083</v>
      </c>
      <c r="B444">
        <v>1</v>
      </c>
      <c r="C444">
        <v>7</v>
      </c>
      <c r="D444">
        <v>3</v>
      </c>
      <c r="E444">
        <v>38.6</v>
      </c>
      <c r="F444">
        <v>13</v>
      </c>
      <c r="G444">
        <v>1</v>
      </c>
      <c r="H444">
        <v>5</v>
      </c>
      <c r="I444">
        <v>1</v>
      </c>
      <c r="J444">
        <v>2015</v>
      </c>
      <c r="K444">
        <v>3</v>
      </c>
      <c r="L444" t="s">
        <v>12</v>
      </c>
      <c r="M444">
        <f>SUM(Pharma_Sales_Data[[#This Row],[M01AB]:[R06]])</f>
        <v>69.599999999999994</v>
      </c>
      <c r="N444" s="2">
        <f>Pharma_Sales_Data[[#This Row],[Total Drug Sales]]*150</f>
        <v>10440</v>
      </c>
      <c r="O444" s="2">
        <f>Pharma_Sales_Data[[#This Row],[Total Revenue]]*0.3</f>
        <v>3132</v>
      </c>
      <c r="P444" t="str">
        <f>IF(Pharma_Sales_Data[[#This Row],[Total Revenue]]&gt;20000,"High Value", IF(Pharma_Sales_Data[[#This Row],[Total Revenue]]&gt;=10000,"Medium Value","Low Value"))</f>
        <v>Medium Value</v>
      </c>
    </row>
    <row r="445" spans="1:16" x14ac:dyDescent="0.35">
      <c r="A445" s="1">
        <v>42084</v>
      </c>
      <c r="B445">
        <v>10.33</v>
      </c>
      <c r="C445">
        <v>3.34</v>
      </c>
      <c r="D445">
        <v>3</v>
      </c>
      <c r="E445">
        <v>41.6</v>
      </c>
      <c r="F445">
        <v>4</v>
      </c>
      <c r="G445">
        <v>0</v>
      </c>
      <c r="H445">
        <v>6</v>
      </c>
      <c r="I445">
        <v>2</v>
      </c>
      <c r="J445">
        <v>2015</v>
      </c>
      <c r="K445">
        <v>3</v>
      </c>
      <c r="L445" t="s">
        <v>13</v>
      </c>
      <c r="M445">
        <f>SUM(Pharma_Sales_Data[[#This Row],[M01AB]:[R06]])</f>
        <v>70.27000000000001</v>
      </c>
      <c r="N445" s="2">
        <f>Pharma_Sales_Data[[#This Row],[Total Drug Sales]]*150</f>
        <v>10540.500000000002</v>
      </c>
      <c r="O445" s="2">
        <f>Pharma_Sales_Data[[#This Row],[Total Revenue]]*0.3</f>
        <v>3162.1500000000005</v>
      </c>
      <c r="P445" t="str">
        <f>IF(Pharma_Sales_Data[[#This Row],[Total Revenue]]&gt;20000,"High Value", IF(Pharma_Sales_Data[[#This Row],[Total Revenue]]&gt;=10000,"Medium Value","Low Value"))</f>
        <v>Medium Value</v>
      </c>
    </row>
    <row r="446" spans="1:16" x14ac:dyDescent="0.35">
      <c r="A446" s="1">
        <v>42085</v>
      </c>
      <c r="B446">
        <v>8.34</v>
      </c>
      <c r="C446">
        <v>6.67</v>
      </c>
      <c r="D446">
        <v>2</v>
      </c>
      <c r="E446">
        <v>43.2</v>
      </c>
      <c r="F446">
        <v>9</v>
      </c>
      <c r="G446">
        <v>0</v>
      </c>
      <c r="H446">
        <v>10</v>
      </c>
      <c r="I446">
        <v>0</v>
      </c>
      <c r="J446">
        <v>2015</v>
      </c>
      <c r="K446">
        <v>3</v>
      </c>
      <c r="L446" t="s">
        <v>14</v>
      </c>
      <c r="M446">
        <f>SUM(Pharma_Sales_Data[[#This Row],[M01AB]:[R06]])</f>
        <v>79.210000000000008</v>
      </c>
      <c r="N446" s="2">
        <f>Pharma_Sales_Data[[#This Row],[Total Drug Sales]]*150</f>
        <v>11881.500000000002</v>
      </c>
      <c r="O446" s="2">
        <f>Pharma_Sales_Data[[#This Row],[Total Revenue]]*0.3</f>
        <v>3564.4500000000003</v>
      </c>
      <c r="P446" t="str">
        <f>IF(Pharma_Sales_Data[[#This Row],[Total Revenue]]&gt;20000,"High Value", IF(Pharma_Sales_Data[[#This Row],[Total Revenue]]&gt;=10000,"Medium Value","Low Value"))</f>
        <v>Medium Value</v>
      </c>
    </row>
    <row r="447" spans="1:16" x14ac:dyDescent="0.35">
      <c r="A447" s="1">
        <v>42086</v>
      </c>
      <c r="B447">
        <v>2</v>
      </c>
      <c r="C447">
        <v>4.34</v>
      </c>
      <c r="D447">
        <v>7</v>
      </c>
      <c r="E447">
        <v>28</v>
      </c>
      <c r="F447">
        <v>5</v>
      </c>
      <c r="G447">
        <v>0</v>
      </c>
      <c r="H447">
        <v>0</v>
      </c>
      <c r="I447">
        <v>2</v>
      </c>
      <c r="J447">
        <v>2015</v>
      </c>
      <c r="K447">
        <v>3</v>
      </c>
      <c r="L447" t="s">
        <v>15</v>
      </c>
      <c r="M447">
        <f>SUM(Pharma_Sales_Data[[#This Row],[M01AB]:[R06]])</f>
        <v>48.34</v>
      </c>
      <c r="N447" s="2">
        <f>Pharma_Sales_Data[[#This Row],[Total Drug Sales]]*150</f>
        <v>7251.0000000000009</v>
      </c>
      <c r="O447" s="2">
        <f>Pharma_Sales_Data[[#This Row],[Total Revenue]]*0.3</f>
        <v>2175.3000000000002</v>
      </c>
      <c r="P447" t="str">
        <f>IF(Pharma_Sales_Data[[#This Row],[Total Revenue]]&gt;20000,"High Value", IF(Pharma_Sales_Data[[#This Row],[Total Revenue]]&gt;=10000,"Medium Value","Low Value"))</f>
        <v>Low Value</v>
      </c>
    </row>
    <row r="448" spans="1:16" x14ac:dyDescent="0.35">
      <c r="A448" s="1">
        <v>42087</v>
      </c>
      <c r="B448">
        <v>4</v>
      </c>
      <c r="C448">
        <v>5.4720000000000004</v>
      </c>
      <c r="D448">
        <v>5.2</v>
      </c>
      <c r="E448">
        <v>22.4</v>
      </c>
      <c r="F448">
        <v>8</v>
      </c>
      <c r="G448">
        <v>2</v>
      </c>
      <c r="H448">
        <v>9</v>
      </c>
      <c r="I448">
        <v>4</v>
      </c>
      <c r="J448">
        <v>2015</v>
      </c>
      <c r="K448">
        <v>3</v>
      </c>
      <c r="L448" t="s">
        <v>16</v>
      </c>
      <c r="M448">
        <f>SUM(Pharma_Sales_Data[[#This Row],[M01AB]:[R06]])</f>
        <v>60.072000000000003</v>
      </c>
      <c r="N448" s="2">
        <f>Pharma_Sales_Data[[#This Row],[Total Drug Sales]]*150</f>
        <v>9010.8000000000011</v>
      </c>
      <c r="O448" s="2">
        <f>Pharma_Sales_Data[[#This Row],[Total Revenue]]*0.3</f>
        <v>2703.2400000000002</v>
      </c>
      <c r="P448" t="str">
        <f>IF(Pharma_Sales_Data[[#This Row],[Total Revenue]]&gt;20000,"High Value", IF(Pharma_Sales_Data[[#This Row],[Total Revenue]]&gt;=10000,"Medium Value","Low Value"))</f>
        <v>Low Value</v>
      </c>
    </row>
    <row r="449" spans="1:16" x14ac:dyDescent="0.35">
      <c r="A449" s="1">
        <v>42088</v>
      </c>
      <c r="B449">
        <v>3.68</v>
      </c>
      <c r="C449">
        <v>8.66</v>
      </c>
      <c r="D449">
        <v>6.4</v>
      </c>
      <c r="E449">
        <v>17.600000000000001</v>
      </c>
      <c r="F449">
        <v>10</v>
      </c>
      <c r="G449">
        <v>2</v>
      </c>
      <c r="H449">
        <v>13</v>
      </c>
      <c r="I449">
        <v>1</v>
      </c>
      <c r="J449">
        <v>2015</v>
      </c>
      <c r="K449">
        <v>3</v>
      </c>
      <c r="L449" t="s">
        <v>17</v>
      </c>
      <c r="M449">
        <f>SUM(Pharma_Sales_Data[[#This Row],[M01AB]:[R06]])</f>
        <v>62.34</v>
      </c>
      <c r="N449" s="2">
        <f>Pharma_Sales_Data[[#This Row],[Total Drug Sales]]*150</f>
        <v>9351</v>
      </c>
      <c r="O449" s="2">
        <f>Pharma_Sales_Data[[#This Row],[Total Revenue]]*0.3</f>
        <v>2805.2999999999997</v>
      </c>
      <c r="P449" t="str">
        <f>IF(Pharma_Sales_Data[[#This Row],[Total Revenue]]&gt;20000,"High Value", IF(Pharma_Sales_Data[[#This Row],[Total Revenue]]&gt;=10000,"Medium Value","Low Value"))</f>
        <v>Low Value</v>
      </c>
    </row>
    <row r="450" spans="1:16" x14ac:dyDescent="0.35">
      <c r="A450" s="1">
        <v>42089</v>
      </c>
      <c r="B450">
        <v>5</v>
      </c>
      <c r="C450">
        <v>1.7470000000000001</v>
      </c>
      <c r="D450">
        <v>3</v>
      </c>
      <c r="E450">
        <v>51.4</v>
      </c>
      <c r="F450">
        <v>10</v>
      </c>
      <c r="G450">
        <v>0</v>
      </c>
      <c r="H450">
        <v>6</v>
      </c>
      <c r="I450">
        <v>5</v>
      </c>
      <c r="J450">
        <v>2015</v>
      </c>
      <c r="K450">
        <v>3</v>
      </c>
      <c r="L450" t="s">
        <v>11</v>
      </c>
      <c r="M450">
        <f>SUM(Pharma_Sales_Data[[#This Row],[M01AB]:[R06]])</f>
        <v>82.146999999999991</v>
      </c>
      <c r="N450" s="2">
        <f>Pharma_Sales_Data[[#This Row],[Total Drug Sales]]*150</f>
        <v>12322.05</v>
      </c>
      <c r="O450" s="2">
        <f>Pharma_Sales_Data[[#This Row],[Total Revenue]]*0.3</f>
        <v>3696.6149999999998</v>
      </c>
      <c r="P450" t="str">
        <f>IF(Pharma_Sales_Data[[#This Row],[Total Revenue]]&gt;20000,"High Value", IF(Pharma_Sales_Data[[#This Row],[Total Revenue]]&gt;=10000,"Medium Value","Low Value"))</f>
        <v>Medium Value</v>
      </c>
    </row>
    <row r="451" spans="1:16" x14ac:dyDescent="0.35">
      <c r="A451" s="1">
        <v>42090</v>
      </c>
      <c r="B451">
        <v>3</v>
      </c>
      <c r="C451">
        <v>2.67</v>
      </c>
      <c r="D451">
        <v>2</v>
      </c>
      <c r="E451">
        <v>27</v>
      </c>
      <c r="F451">
        <v>3</v>
      </c>
      <c r="G451">
        <v>0</v>
      </c>
      <c r="H451">
        <v>22</v>
      </c>
      <c r="I451">
        <v>1</v>
      </c>
      <c r="J451">
        <v>2015</v>
      </c>
      <c r="K451">
        <v>3</v>
      </c>
      <c r="L451" t="s">
        <v>12</v>
      </c>
      <c r="M451">
        <f>SUM(Pharma_Sales_Data[[#This Row],[M01AB]:[R06]])</f>
        <v>60.67</v>
      </c>
      <c r="N451" s="2">
        <f>Pharma_Sales_Data[[#This Row],[Total Drug Sales]]*150</f>
        <v>9100.5</v>
      </c>
      <c r="O451" s="2">
        <f>Pharma_Sales_Data[[#This Row],[Total Revenue]]*0.3</f>
        <v>2730.15</v>
      </c>
      <c r="P451" t="str">
        <f>IF(Pharma_Sales_Data[[#This Row],[Total Revenue]]&gt;20000,"High Value", IF(Pharma_Sales_Data[[#This Row],[Total Revenue]]&gt;=10000,"Medium Value","Low Value"))</f>
        <v>Low Value</v>
      </c>
    </row>
    <row r="452" spans="1:16" x14ac:dyDescent="0.35">
      <c r="A452" s="1">
        <v>42091</v>
      </c>
      <c r="B452">
        <v>1.33</v>
      </c>
      <c r="C452">
        <v>3.056</v>
      </c>
      <c r="D452">
        <v>3</v>
      </c>
      <c r="E452">
        <v>50.5</v>
      </c>
      <c r="F452">
        <v>6</v>
      </c>
      <c r="G452">
        <v>0</v>
      </c>
      <c r="H452">
        <v>0</v>
      </c>
      <c r="I452">
        <v>2</v>
      </c>
      <c r="J452">
        <v>2015</v>
      </c>
      <c r="K452">
        <v>3</v>
      </c>
      <c r="L452" t="s">
        <v>13</v>
      </c>
      <c r="M452">
        <f>SUM(Pharma_Sales_Data[[#This Row],[M01AB]:[R06]])</f>
        <v>65.885999999999996</v>
      </c>
      <c r="N452" s="2">
        <f>Pharma_Sales_Data[[#This Row],[Total Drug Sales]]*150</f>
        <v>9882.9</v>
      </c>
      <c r="O452" s="2">
        <f>Pharma_Sales_Data[[#This Row],[Total Revenue]]*0.3</f>
        <v>2964.87</v>
      </c>
      <c r="P452" t="str">
        <f>IF(Pharma_Sales_Data[[#This Row],[Total Revenue]]&gt;20000,"High Value", IF(Pharma_Sales_Data[[#This Row],[Total Revenue]]&gt;=10000,"Medium Value","Low Value"))</f>
        <v>Low Value</v>
      </c>
    </row>
    <row r="453" spans="1:16" x14ac:dyDescent="0.35">
      <c r="A453" s="1">
        <v>42092</v>
      </c>
      <c r="B453">
        <v>6</v>
      </c>
      <c r="C453">
        <v>5.7270000000000003</v>
      </c>
      <c r="D453">
        <v>2.2999999999999998</v>
      </c>
      <c r="E453">
        <v>35.5</v>
      </c>
      <c r="F453">
        <v>7</v>
      </c>
      <c r="G453">
        <v>0</v>
      </c>
      <c r="H453">
        <v>8</v>
      </c>
      <c r="I453">
        <v>2</v>
      </c>
      <c r="J453">
        <v>2015</v>
      </c>
      <c r="K453">
        <v>3</v>
      </c>
      <c r="L453" t="s">
        <v>14</v>
      </c>
      <c r="M453">
        <f>SUM(Pharma_Sales_Data[[#This Row],[M01AB]:[R06]])</f>
        <v>66.527000000000001</v>
      </c>
      <c r="N453" s="2">
        <f>Pharma_Sales_Data[[#This Row],[Total Drug Sales]]*150</f>
        <v>9979.0499999999993</v>
      </c>
      <c r="O453" s="2">
        <f>Pharma_Sales_Data[[#This Row],[Total Revenue]]*0.3</f>
        <v>2993.7149999999997</v>
      </c>
      <c r="P453" t="str">
        <f>IF(Pharma_Sales_Data[[#This Row],[Total Revenue]]&gt;20000,"High Value", IF(Pharma_Sales_Data[[#This Row],[Total Revenue]]&gt;=10000,"Medium Value","Low Value"))</f>
        <v>Low Value</v>
      </c>
    </row>
    <row r="454" spans="1:16" x14ac:dyDescent="0.35">
      <c r="A454" s="1">
        <v>42093</v>
      </c>
      <c r="B454">
        <v>6.33</v>
      </c>
      <c r="C454">
        <v>4.827</v>
      </c>
      <c r="D454">
        <v>10</v>
      </c>
      <c r="E454">
        <v>25.7</v>
      </c>
      <c r="F454">
        <v>4</v>
      </c>
      <c r="G454">
        <v>0</v>
      </c>
      <c r="H454">
        <v>0</v>
      </c>
      <c r="I454">
        <v>0</v>
      </c>
      <c r="J454">
        <v>2015</v>
      </c>
      <c r="K454">
        <v>3</v>
      </c>
      <c r="L454" t="s">
        <v>15</v>
      </c>
      <c r="M454">
        <f>SUM(Pharma_Sales_Data[[#This Row],[M01AB]:[R06]])</f>
        <v>50.856999999999999</v>
      </c>
      <c r="N454" s="2">
        <f>Pharma_Sales_Data[[#This Row],[Total Drug Sales]]*150</f>
        <v>7628.55</v>
      </c>
      <c r="O454" s="2">
        <f>Pharma_Sales_Data[[#This Row],[Total Revenue]]*0.3</f>
        <v>2288.5650000000001</v>
      </c>
      <c r="P454" t="str">
        <f>IF(Pharma_Sales_Data[[#This Row],[Total Revenue]]&gt;20000,"High Value", IF(Pharma_Sales_Data[[#This Row],[Total Revenue]]&gt;=10000,"Medium Value","Low Value"))</f>
        <v>Low Value</v>
      </c>
    </row>
    <row r="455" spans="1:16" x14ac:dyDescent="0.35">
      <c r="A455" s="1">
        <v>42094</v>
      </c>
      <c r="B455">
        <v>5</v>
      </c>
      <c r="C455">
        <v>2</v>
      </c>
      <c r="D455">
        <v>11.2</v>
      </c>
      <c r="E455">
        <v>33.5</v>
      </c>
      <c r="F455">
        <v>5</v>
      </c>
      <c r="G455">
        <v>0</v>
      </c>
      <c r="H455">
        <v>2</v>
      </c>
      <c r="I455">
        <v>4</v>
      </c>
      <c r="J455">
        <v>2015</v>
      </c>
      <c r="K455">
        <v>3</v>
      </c>
      <c r="L455" t="s">
        <v>16</v>
      </c>
      <c r="M455">
        <f>SUM(Pharma_Sales_Data[[#This Row],[M01AB]:[R06]])</f>
        <v>62.7</v>
      </c>
      <c r="N455" s="2">
        <f>Pharma_Sales_Data[[#This Row],[Total Drug Sales]]*150</f>
        <v>9405</v>
      </c>
      <c r="O455" s="2">
        <f>Pharma_Sales_Data[[#This Row],[Total Revenue]]*0.3</f>
        <v>2821.5</v>
      </c>
      <c r="P455" t="str">
        <f>IF(Pharma_Sales_Data[[#This Row],[Total Revenue]]&gt;20000,"High Value", IF(Pharma_Sales_Data[[#This Row],[Total Revenue]]&gt;=10000,"Medium Value","Low Value"))</f>
        <v>Low Value</v>
      </c>
    </row>
    <row r="456" spans="1:16" x14ac:dyDescent="0.35">
      <c r="A456" s="1">
        <v>42095</v>
      </c>
      <c r="B456">
        <v>6.34</v>
      </c>
      <c r="C456">
        <v>1.33</v>
      </c>
      <c r="D456">
        <v>1</v>
      </c>
      <c r="E456">
        <v>24.8</v>
      </c>
      <c r="F456">
        <v>7</v>
      </c>
      <c r="G456">
        <v>2</v>
      </c>
      <c r="H456">
        <v>5</v>
      </c>
      <c r="I456">
        <v>1</v>
      </c>
      <c r="J456">
        <v>2015</v>
      </c>
      <c r="K456">
        <v>4</v>
      </c>
      <c r="L456" t="s">
        <v>17</v>
      </c>
      <c r="M456">
        <f>SUM(Pharma_Sales_Data[[#This Row],[M01AB]:[R06]])</f>
        <v>48.47</v>
      </c>
      <c r="N456" s="2">
        <f>Pharma_Sales_Data[[#This Row],[Total Drug Sales]]*150</f>
        <v>7270.5</v>
      </c>
      <c r="O456" s="2">
        <f>Pharma_Sales_Data[[#This Row],[Total Revenue]]*0.3</f>
        <v>2181.15</v>
      </c>
      <c r="P456" t="str">
        <f>IF(Pharma_Sales_Data[[#This Row],[Total Revenue]]&gt;20000,"High Value", IF(Pharma_Sales_Data[[#This Row],[Total Revenue]]&gt;=10000,"Medium Value","Low Value"))</f>
        <v>Low Value</v>
      </c>
    </row>
    <row r="457" spans="1:16" x14ac:dyDescent="0.35">
      <c r="A457" s="1">
        <v>42096</v>
      </c>
      <c r="B457">
        <v>5</v>
      </c>
      <c r="C457">
        <v>3.99</v>
      </c>
      <c r="D457">
        <v>5.4</v>
      </c>
      <c r="E457">
        <v>35.07</v>
      </c>
      <c r="F457">
        <v>3</v>
      </c>
      <c r="G457">
        <v>0</v>
      </c>
      <c r="H457">
        <v>3</v>
      </c>
      <c r="I457">
        <v>5</v>
      </c>
      <c r="J457">
        <v>2015</v>
      </c>
      <c r="K457">
        <v>4</v>
      </c>
      <c r="L457" t="s">
        <v>11</v>
      </c>
      <c r="M457">
        <f>SUM(Pharma_Sales_Data[[#This Row],[M01AB]:[R06]])</f>
        <v>60.46</v>
      </c>
      <c r="N457" s="2">
        <f>Pharma_Sales_Data[[#This Row],[Total Drug Sales]]*150</f>
        <v>9069</v>
      </c>
      <c r="O457" s="2">
        <f>Pharma_Sales_Data[[#This Row],[Total Revenue]]*0.3</f>
        <v>2720.7</v>
      </c>
      <c r="P457" t="str">
        <f>IF(Pharma_Sales_Data[[#This Row],[Total Revenue]]&gt;20000,"High Value", IF(Pharma_Sales_Data[[#This Row],[Total Revenue]]&gt;=10000,"Medium Value","Low Value"))</f>
        <v>Low Value</v>
      </c>
    </row>
    <row r="458" spans="1:16" x14ac:dyDescent="0.35">
      <c r="A458" s="1">
        <v>42097</v>
      </c>
      <c r="B458">
        <v>5.33</v>
      </c>
      <c r="C458">
        <v>2.3199999999999998</v>
      </c>
      <c r="D458">
        <v>4</v>
      </c>
      <c r="E458">
        <v>34.200000000000003</v>
      </c>
      <c r="F458">
        <v>12</v>
      </c>
      <c r="G458">
        <v>0</v>
      </c>
      <c r="H458">
        <v>0</v>
      </c>
      <c r="I458">
        <v>4</v>
      </c>
      <c r="J458">
        <v>2015</v>
      </c>
      <c r="K458">
        <v>4</v>
      </c>
      <c r="L458" t="s">
        <v>12</v>
      </c>
      <c r="M458">
        <f>SUM(Pharma_Sales_Data[[#This Row],[M01AB]:[R06]])</f>
        <v>61.85</v>
      </c>
      <c r="N458" s="2">
        <f>Pharma_Sales_Data[[#This Row],[Total Drug Sales]]*150</f>
        <v>9277.5</v>
      </c>
      <c r="O458" s="2">
        <f>Pharma_Sales_Data[[#This Row],[Total Revenue]]*0.3</f>
        <v>2783.25</v>
      </c>
      <c r="P458" t="str">
        <f>IF(Pharma_Sales_Data[[#This Row],[Total Revenue]]&gt;20000,"High Value", IF(Pharma_Sales_Data[[#This Row],[Total Revenue]]&gt;=10000,"Medium Value","Low Value"))</f>
        <v>Low Value</v>
      </c>
    </row>
    <row r="459" spans="1:16" x14ac:dyDescent="0.35">
      <c r="A459" s="1">
        <v>42098</v>
      </c>
      <c r="B459">
        <v>3.67</v>
      </c>
      <c r="C459">
        <v>4.33</v>
      </c>
      <c r="D459">
        <v>6</v>
      </c>
      <c r="E459">
        <v>43</v>
      </c>
      <c r="F459">
        <v>7</v>
      </c>
      <c r="G459">
        <v>1</v>
      </c>
      <c r="H459">
        <v>5</v>
      </c>
      <c r="I459">
        <v>6</v>
      </c>
      <c r="J459">
        <v>2015</v>
      </c>
      <c r="K459">
        <v>4</v>
      </c>
      <c r="L459" t="s">
        <v>13</v>
      </c>
      <c r="M459">
        <f>SUM(Pharma_Sales_Data[[#This Row],[M01AB]:[R06]])</f>
        <v>76</v>
      </c>
      <c r="N459" s="2">
        <f>Pharma_Sales_Data[[#This Row],[Total Drug Sales]]*150</f>
        <v>11400</v>
      </c>
      <c r="O459" s="2">
        <f>Pharma_Sales_Data[[#This Row],[Total Revenue]]*0.3</f>
        <v>3420</v>
      </c>
      <c r="P459" t="str">
        <f>IF(Pharma_Sales_Data[[#This Row],[Total Revenue]]&gt;20000,"High Value", IF(Pharma_Sales_Data[[#This Row],[Total Revenue]]&gt;=10000,"Medium Value","Low Value"))</f>
        <v>Medium Value</v>
      </c>
    </row>
    <row r="460" spans="1:16" x14ac:dyDescent="0.35">
      <c r="A460" s="1">
        <v>42099</v>
      </c>
      <c r="B460">
        <v>3.34</v>
      </c>
      <c r="C460">
        <v>5.01</v>
      </c>
      <c r="D460">
        <v>4.5</v>
      </c>
      <c r="E460">
        <v>31.6</v>
      </c>
      <c r="F460">
        <v>4</v>
      </c>
      <c r="G460">
        <v>0</v>
      </c>
      <c r="H460">
        <v>0</v>
      </c>
      <c r="I460">
        <v>1</v>
      </c>
      <c r="J460">
        <v>2015</v>
      </c>
      <c r="K460">
        <v>4</v>
      </c>
      <c r="L460" t="s">
        <v>14</v>
      </c>
      <c r="M460">
        <f>SUM(Pharma_Sales_Data[[#This Row],[M01AB]:[R06]])</f>
        <v>49.45</v>
      </c>
      <c r="N460" s="2">
        <f>Pharma_Sales_Data[[#This Row],[Total Drug Sales]]*150</f>
        <v>7417.5</v>
      </c>
      <c r="O460" s="2">
        <f>Pharma_Sales_Data[[#This Row],[Total Revenue]]*0.3</f>
        <v>2225.25</v>
      </c>
      <c r="P460" t="str">
        <f>IF(Pharma_Sales_Data[[#This Row],[Total Revenue]]&gt;20000,"High Value", IF(Pharma_Sales_Data[[#This Row],[Total Revenue]]&gt;=10000,"Medium Value","Low Value"))</f>
        <v>Low Value</v>
      </c>
    </row>
    <row r="461" spans="1:16" x14ac:dyDescent="0.35">
      <c r="A461" s="1">
        <v>42100</v>
      </c>
      <c r="B461">
        <v>7.33</v>
      </c>
      <c r="C461">
        <v>3.33</v>
      </c>
      <c r="D461">
        <v>5.3</v>
      </c>
      <c r="E461">
        <v>32.9</v>
      </c>
      <c r="F461">
        <v>4</v>
      </c>
      <c r="G461">
        <v>0</v>
      </c>
      <c r="H461">
        <v>3</v>
      </c>
      <c r="I461">
        <v>2</v>
      </c>
      <c r="J461">
        <v>2015</v>
      </c>
      <c r="K461">
        <v>4</v>
      </c>
      <c r="L461" t="s">
        <v>15</v>
      </c>
      <c r="M461">
        <f>SUM(Pharma_Sales_Data[[#This Row],[M01AB]:[R06]])</f>
        <v>57.86</v>
      </c>
      <c r="N461" s="2">
        <f>Pharma_Sales_Data[[#This Row],[Total Drug Sales]]*150</f>
        <v>8679</v>
      </c>
      <c r="O461" s="2">
        <f>Pharma_Sales_Data[[#This Row],[Total Revenue]]*0.3</f>
        <v>2603.6999999999998</v>
      </c>
      <c r="P461" t="str">
        <f>IF(Pharma_Sales_Data[[#This Row],[Total Revenue]]&gt;20000,"High Value", IF(Pharma_Sales_Data[[#This Row],[Total Revenue]]&gt;=10000,"Medium Value","Low Value"))</f>
        <v>Low Value</v>
      </c>
    </row>
    <row r="462" spans="1:16" x14ac:dyDescent="0.35">
      <c r="A462" s="1">
        <v>42101</v>
      </c>
      <c r="B462">
        <v>6</v>
      </c>
      <c r="C462">
        <v>3.66</v>
      </c>
      <c r="D462">
        <v>6.7</v>
      </c>
      <c r="E462">
        <v>25</v>
      </c>
      <c r="F462">
        <v>8</v>
      </c>
      <c r="G462">
        <v>0</v>
      </c>
      <c r="H462">
        <v>8</v>
      </c>
      <c r="I462">
        <v>1</v>
      </c>
      <c r="J462">
        <v>2015</v>
      </c>
      <c r="K462">
        <v>4</v>
      </c>
      <c r="L462" t="s">
        <v>16</v>
      </c>
      <c r="M462">
        <f>SUM(Pharma_Sales_Data[[#This Row],[M01AB]:[R06]])</f>
        <v>58.36</v>
      </c>
      <c r="N462" s="2">
        <f>Pharma_Sales_Data[[#This Row],[Total Drug Sales]]*150</f>
        <v>8754</v>
      </c>
      <c r="O462" s="2">
        <f>Pharma_Sales_Data[[#This Row],[Total Revenue]]*0.3</f>
        <v>2626.2</v>
      </c>
      <c r="P462" t="str">
        <f>IF(Pharma_Sales_Data[[#This Row],[Total Revenue]]&gt;20000,"High Value", IF(Pharma_Sales_Data[[#This Row],[Total Revenue]]&gt;=10000,"Medium Value","Low Value"))</f>
        <v>Low Value</v>
      </c>
    </row>
    <row r="463" spans="1:16" x14ac:dyDescent="0.35">
      <c r="A463" s="1">
        <v>42102</v>
      </c>
      <c r="B463">
        <v>4</v>
      </c>
      <c r="C463">
        <v>2.33</v>
      </c>
      <c r="D463">
        <v>3</v>
      </c>
      <c r="E463">
        <v>18</v>
      </c>
      <c r="F463">
        <v>11</v>
      </c>
      <c r="G463">
        <v>0</v>
      </c>
      <c r="H463">
        <v>10</v>
      </c>
      <c r="I463">
        <v>4</v>
      </c>
      <c r="J463">
        <v>2015</v>
      </c>
      <c r="K463">
        <v>4</v>
      </c>
      <c r="L463" t="s">
        <v>17</v>
      </c>
      <c r="M463">
        <f>SUM(Pharma_Sales_Data[[#This Row],[M01AB]:[R06]])</f>
        <v>52.33</v>
      </c>
      <c r="N463" s="2">
        <f>Pharma_Sales_Data[[#This Row],[Total Drug Sales]]*150</f>
        <v>7849.5</v>
      </c>
      <c r="O463" s="2">
        <f>Pharma_Sales_Data[[#This Row],[Total Revenue]]*0.3</f>
        <v>2354.85</v>
      </c>
      <c r="P463" t="str">
        <f>IF(Pharma_Sales_Data[[#This Row],[Total Revenue]]&gt;20000,"High Value", IF(Pharma_Sales_Data[[#This Row],[Total Revenue]]&gt;=10000,"Medium Value","Low Value"))</f>
        <v>Low Value</v>
      </c>
    </row>
    <row r="464" spans="1:16" x14ac:dyDescent="0.35">
      <c r="A464" s="1">
        <v>42103</v>
      </c>
      <c r="B464">
        <v>1.33</v>
      </c>
      <c r="C464">
        <v>6</v>
      </c>
      <c r="D464">
        <v>8</v>
      </c>
      <c r="E464">
        <v>22.2</v>
      </c>
      <c r="F464">
        <v>8</v>
      </c>
      <c r="G464">
        <v>0</v>
      </c>
      <c r="H464">
        <v>6</v>
      </c>
      <c r="I464">
        <v>1</v>
      </c>
      <c r="J464">
        <v>2015</v>
      </c>
      <c r="K464">
        <v>4</v>
      </c>
      <c r="L464" t="s">
        <v>11</v>
      </c>
      <c r="M464">
        <f>SUM(Pharma_Sales_Data[[#This Row],[M01AB]:[R06]])</f>
        <v>52.53</v>
      </c>
      <c r="N464" s="2">
        <f>Pharma_Sales_Data[[#This Row],[Total Drug Sales]]*150</f>
        <v>7879.5</v>
      </c>
      <c r="O464" s="2">
        <f>Pharma_Sales_Data[[#This Row],[Total Revenue]]*0.3</f>
        <v>2363.85</v>
      </c>
      <c r="P464" t="str">
        <f>IF(Pharma_Sales_Data[[#This Row],[Total Revenue]]&gt;20000,"High Value", IF(Pharma_Sales_Data[[#This Row],[Total Revenue]]&gt;=10000,"Medium Value","Low Value"))</f>
        <v>Low Value</v>
      </c>
    </row>
    <row r="465" spans="1:16" x14ac:dyDescent="0.35">
      <c r="A465" s="1">
        <v>42104</v>
      </c>
      <c r="B465">
        <v>9.84</v>
      </c>
      <c r="C465">
        <v>6.5049999999999999</v>
      </c>
      <c r="D465">
        <v>4</v>
      </c>
      <c r="E465">
        <v>65.599999999999994</v>
      </c>
      <c r="F465">
        <v>5</v>
      </c>
      <c r="G465">
        <v>2</v>
      </c>
      <c r="H465">
        <v>8</v>
      </c>
      <c r="I465">
        <v>5</v>
      </c>
      <c r="J465">
        <v>2015</v>
      </c>
      <c r="K465">
        <v>4</v>
      </c>
      <c r="L465" t="s">
        <v>12</v>
      </c>
      <c r="M465">
        <f>SUM(Pharma_Sales_Data[[#This Row],[M01AB]:[R06]])</f>
        <v>105.94499999999999</v>
      </c>
      <c r="N465" s="2">
        <f>Pharma_Sales_Data[[#This Row],[Total Drug Sales]]*150</f>
        <v>15891.749999999998</v>
      </c>
      <c r="O465" s="2">
        <f>Pharma_Sales_Data[[#This Row],[Total Revenue]]*0.3</f>
        <v>4767.5249999999996</v>
      </c>
      <c r="P465" t="str">
        <f>IF(Pharma_Sales_Data[[#This Row],[Total Revenue]]&gt;20000,"High Value", IF(Pharma_Sales_Data[[#This Row],[Total Revenue]]&gt;=10000,"Medium Value","Low Value"))</f>
        <v>Medium Value</v>
      </c>
    </row>
    <row r="466" spans="1:16" x14ac:dyDescent="0.35">
      <c r="A466" s="1">
        <v>42105</v>
      </c>
      <c r="B466">
        <v>11.68</v>
      </c>
      <c r="C466">
        <v>3</v>
      </c>
      <c r="D466">
        <v>3.4</v>
      </c>
      <c r="E466">
        <v>26</v>
      </c>
      <c r="F466">
        <v>9</v>
      </c>
      <c r="G466">
        <v>0</v>
      </c>
      <c r="H466">
        <v>5</v>
      </c>
      <c r="I466">
        <v>6</v>
      </c>
      <c r="J466">
        <v>2015</v>
      </c>
      <c r="K466">
        <v>4</v>
      </c>
      <c r="L466" t="s">
        <v>13</v>
      </c>
      <c r="M466">
        <f>SUM(Pharma_Sales_Data[[#This Row],[M01AB]:[R06]])</f>
        <v>64.08</v>
      </c>
      <c r="N466" s="2">
        <f>Pharma_Sales_Data[[#This Row],[Total Drug Sales]]*150</f>
        <v>9612</v>
      </c>
      <c r="O466" s="2">
        <f>Pharma_Sales_Data[[#This Row],[Total Revenue]]*0.3</f>
        <v>2883.6</v>
      </c>
      <c r="P466" t="str">
        <f>IF(Pharma_Sales_Data[[#This Row],[Total Revenue]]&gt;20000,"High Value", IF(Pharma_Sales_Data[[#This Row],[Total Revenue]]&gt;=10000,"Medium Value","Low Value"))</f>
        <v>Low Value</v>
      </c>
    </row>
    <row r="467" spans="1:16" x14ac:dyDescent="0.35">
      <c r="A467" s="1">
        <v>42106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2015</v>
      </c>
      <c r="K467">
        <v>4</v>
      </c>
      <c r="L467" t="s">
        <v>14</v>
      </c>
      <c r="M467">
        <f>SUM(Pharma_Sales_Data[[#This Row],[M01AB]:[R06]])</f>
        <v>0</v>
      </c>
      <c r="N467" s="2">
        <f>Pharma_Sales_Data[[#This Row],[Total Drug Sales]]*150</f>
        <v>0</v>
      </c>
      <c r="O467" s="2">
        <f>Pharma_Sales_Data[[#This Row],[Total Revenue]]*0.3</f>
        <v>0</v>
      </c>
      <c r="P467" t="str">
        <f>IF(Pharma_Sales_Data[[#This Row],[Total Revenue]]&gt;20000,"High Value", IF(Pharma_Sales_Data[[#This Row],[Total Revenue]]&gt;=10000,"Medium Value","Low Value"))</f>
        <v>Low Value</v>
      </c>
    </row>
    <row r="468" spans="1:16" x14ac:dyDescent="0.35">
      <c r="A468" s="1">
        <v>42107</v>
      </c>
      <c r="B468">
        <v>6.67</v>
      </c>
      <c r="C468">
        <v>1.34</v>
      </c>
      <c r="D468">
        <v>7</v>
      </c>
      <c r="E468">
        <v>25.2</v>
      </c>
      <c r="F468">
        <v>5</v>
      </c>
      <c r="G468">
        <v>0</v>
      </c>
      <c r="H468">
        <v>3</v>
      </c>
      <c r="I468">
        <v>7</v>
      </c>
      <c r="J468">
        <v>2015</v>
      </c>
      <c r="K468">
        <v>4</v>
      </c>
      <c r="L468" t="s">
        <v>15</v>
      </c>
      <c r="M468">
        <f>SUM(Pharma_Sales_Data[[#This Row],[M01AB]:[R06]])</f>
        <v>55.21</v>
      </c>
      <c r="N468" s="2">
        <f>Pharma_Sales_Data[[#This Row],[Total Drug Sales]]*150</f>
        <v>8281.5</v>
      </c>
      <c r="O468" s="2">
        <f>Pharma_Sales_Data[[#This Row],[Total Revenue]]*0.3</f>
        <v>2484.4499999999998</v>
      </c>
      <c r="P468" t="str">
        <f>IF(Pharma_Sales_Data[[#This Row],[Total Revenue]]&gt;20000,"High Value", IF(Pharma_Sales_Data[[#This Row],[Total Revenue]]&gt;=10000,"Medium Value","Low Value"))</f>
        <v>Low Value</v>
      </c>
    </row>
    <row r="469" spans="1:16" x14ac:dyDescent="0.35">
      <c r="A469" s="1">
        <v>42108</v>
      </c>
      <c r="B469">
        <v>4.66</v>
      </c>
      <c r="C469">
        <v>6.01</v>
      </c>
      <c r="D469">
        <v>7</v>
      </c>
      <c r="E469">
        <v>41.8</v>
      </c>
      <c r="F469">
        <v>5</v>
      </c>
      <c r="G469">
        <v>0</v>
      </c>
      <c r="H469">
        <v>5</v>
      </c>
      <c r="I469">
        <v>2</v>
      </c>
      <c r="J469">
        <v>2015</v>
      </c>
      <c r="K469">
        <v>4</v>
      </c>
      <c r="L469" t="s">
        <v>16</v>
      </c>
      <c r="M469">
        <f>SUM(Pharma_Sales_Data[[#This Row],[M01AB]:[R06]])</f>
        <v>71.47</v>
      </c>
      <c r="N469" s="2">
        <f>Pharma_Sales_Data[[#This Row],[Total Drug Sales]]*150</f>
        <v>10720.5</v>
      </c>
      <c r="O469" s="2">
        <f>Pharma_Sales_Data[[#This Row],[Total Revenue]]*0.3</f>
        <v>3216.15</v>
      </c>
      <c r="P469" t="str">
        <f>IF(Pharma_Sales_Data[[#This Row],[Total Revenue]]&gt;20000,"High Value", IF(Pharma_Sales_Data[[#This Row],[Total Revenue]]&gt;=10000,"Medium Value","Low Value"))</f>
        <v>Medium Value</v>
      </c>
    </row>
    <row r="470" spans="1:16" x14ac:dyDescent="0.35">
      <c r="A470" s="1">
        <v>42109</v>
      </c>
      <c r="B470">
        <v>2</v>
      </c>
      <c r="C470">
        <v>2.33</v>
      </c>
      <c r="D470">
        <v>3</v>
      </c>
      <c r="E470">
        <v>29.25</v>
      </c>
      <c r="F470">
        <v>15</v>
      </c>
      <c r="G470">
        <v>0</v>
      </c>
      <c r="H470">
        <v>0</v>
      </c>
      <c r="I470">
        <v>2</v>
      </c>
      <c r="J470">
        <v>2015</v>
      </c>
      <c r="K470">
        <v>4</v>
      </c>
      <c r="L470" t="s">
        <v>17</v>
      </c>
      <c r="M470">
        <f>SUM(Pharma_Sales_Data[[#This Row],[M01AB]:[R06]])</f>
        <v>53.58</v>
      </c>
      <c r="N470" s="2">
        <f>Pharma_Sales_Data[[#This Row],[Total Drug Sales]]*150</f>
        <v>8037</v>
      </c>
      <c r="O470" s="2">
        <f>Pharma_Sales_Data[[#This Row],[Total Revenue]]*0.3</f>
        <v>2411.1</v>
      </c>
      <c r="P470" t="str">
        <f>IF(Pharma_Sales_Data[[#This Row],[Total Revenue]]&gt;20000,"High Value", IF(Pharma_Sales_Data[[#This Row],[Total Revenue]]&gt;=10000,"Medium Value","Low Value"))</f>
        <v>Low Value</v>
      </c>
    </row>
    <row r="471" spans="1:16" x14ac:dyDescent="0.35">
      <c r="A471" s="1">
        <v>42110</v>
      </c>
      <c r="B471">
        <v>2.34</v>
      </c>
      <c r="C471">
        <v>1</v>
      </c>
      <c r="D471">
        <v>7.2</v>
      </c>
      <c r="E471">
        <v>30.6</v>
      </c>
      <c r="F471">
        <v>7</v>
      </c>
      <c r="G471">
        <v>0</v>
      </c>
      <c r="H471">
        <v>9</v>
      </c>
      <c r="I471">
        <v>4</v>
      </c>
      <c r="J471">
        <v>2015</v>
      </c>
      <c r="K471">
        <v>4</v>
      </c>
      <c r="L471" t="s">
        <v>11</v>
      </c>
      <c r="M471">
        <f>SUM(Pharma_Sales_Data[[#This Row],[M01AB]:[R06]])</f>
        <v>61.14</v>
      </c>
      <c r="N471" s="2">
        <f>Pharma_Sales_Data[[#This Row],[Total Drug Sales]]*150</f>
        <v>9171</v>
      </c>
      <c r="O471" s="2">
        <f>Pharma_Sales_Data[[#This Row],[Total Revenue]]*0.3</f>
        <v>2751.2999999999997</v>
      </c>
      <c r="P471" t="str">
        <f>IF(Pharma_Sales_Data[[#This Row],[Total Revenue]]&gt;20000,"High Value", IF(Pharma_Sales_Data[[#This Row],[Total Revenue]]&gt;=10000,"Medium Value","Low Value"))</f>
        <v>Low Value</v>
      </c>
    </row>
    <row r="472" spans="1:16" x14ac:dyDescent="0.35">
      <c r="A472" s="1">
        <v>42111</v>
      </c>
      <c r="B472">
        <v>9.33</v>
      </c>
      <c r="C472">
        <v>3.66</v>
      </c>
      <c r="D472">
        <v>3</v>
      </c>
      <c r="E472">
        <v>29.65</v>
      </c>
      <c r="F472">
        <v>6</v>
      </c>
      <c r="G472">
        <v>0</v>
      </c>
      <c r="H472">
        <v>1</v>
      </c>
      <c r="I472">
        <v>5</v>
      </c>
      <c r="J472">
        <v>2015</v>
      </c>
      <c r="K472">
        <v>4</v>
      </c>
      <c r="L472" t="s">
        <v>12</v>
      </c>
      <c r="M472">
        <f>SUM(Pharma_Sales_Data[[#This Row],[M01AB]:[R06]])</f>
        <v>57.64</v>
      </c>
      <c r="N472" s="2">
        <f>Pharma_Sales_Data[[#This Row],[Total Drug Sales]]*150</f>
        <v>8646</v>
      </c>
      <c r="O472" s="2">
        <f>Pharma_Sales_Data[[#This Row],[Total Revenue]]*0.3</f>
        <v>2593.7999999999997</v>
      </c>
      <c r="P472" t="str">
        <f>IF(Pharma_Sales_Data[[#This Row],[Total Revenue]]&gt;20000,"High Value", IF(Pharma_Sales_Data[[#This Row],[Total Revenue]]&gt;=10000,"Medium Value","Low Value"))</f>
        <v>Low Value</v>
      </c>
    </row>
    <row r="473" spans="1:16" x14ac:dyDescent="0.35">
      <c r="A473" s="1">
        <v>42112</v>
      </c>
      <c r="B473">
        <v>7.33</v>
      </c>
      <c r="C473">
        <v>3</v>
      </c>
      <c r="D473">
        <v>1</v>
      </c>
      <c r="E473">
        <v>31.3</v>
      </c>
      <c r="F473">
        <v>1</v>
      </c>
      <c r="G473">
        <v>0</v>
      </c>
      <c r="H473">
        <v>1</v>
      </c>
      <c r="I473">
        <v>4</v>
      </c>
      <c r="J473">
        <v>2015</v>
      </c>
      <c r="K473">
        <v>4</v>
      </c>
      <c r="L473" t="s">
        <v>13</v>
      </c>
      <c r="M473">
        <f>SUM(Pharma_Sales_Data[[#This Row],[M01AB]:[R06]])</f>
        <v>48.63</v>
      </c>
      <c r="N473" s="2">
        <f>Pharma_Sales_Data[[#This Row],[Total Drug Sales]]*150</f>
        <v>7294.5</v>
      </c>
      <c r="O473" s="2">
        <f>Pharma_Sales_Data[[#This Row],[Total Revenue]]*0.3</f>
        <v>2188.35</v>
      </c>
      <c r="P473" t="str">
        <f>IF(Pharma_Sales_Data[[#This Row],[Total Revenue]]&gt;20000,"High Value", IF(Pharma_Sales_Data[[#This Row],[Total Revenue]]&gt;=10000,"Medium Value","Low Value"))</f>
        <v>Low Value</v>
      </c>
    </row>
    <row r="474" spans="1:16" x14ac:dyDescent="0.35">
      <c r="A474" s="1">
        <v>42113</v>
      </c>
      <c r="B474">
        <v>9.32</v>
      </c>
      <c r="C474">
        <v>5.5279999999999996</v>
      </c>
      <c r="D474">
        <v>3.8</v>
      </c>
      <c r="E474">
        <v>36.5</v>
      </c>
      <c r="F474">
        <v>3</v>
      </c>
      <c r="G474">
        <v>0</v>
      </c>
      <c r="H474">
        <v>0</v>
      </c>
      <c r="I474">
        <v>2</v>
      </c>
      <c r="J474">
        <v>2015</v>
      </c>
      <c r="K474">
        <v>4</v>
      </c>
      <c r="L474" t="s">
        <v>14</v>
      </c>
      <c r="M474">
        <f>SUM(Pharma_Sales_Data[[#This Row],[M01AB]:[R06]])</f>
        <v>60.147999999999996</v>
      </c>
      <c r="N474" s="2">
        <f>Pharma_Sales_Data[[#This Row],[Total Drug Sales]]*150</f>
        <v>9022.1999999999989</v>
      </c>
      <c r="O474" s="2">
        <f>Pharma_Sales_Data[[#This Row],[Total Revenue]]*0.3</f>
        <v>2706.6599999999994</v>
      </c>
      <c r="P474" t="str">
        <f>IF(Pharma_Sales_Data[[#This Row],[Total Revenue]]&gt;20000,"High Value", IF(Pharma_Sales_Data[[#This Row],[Total Revenue]]&gt;=10000,"Medium Value","Low Value"))</f>
        <v>Low Value</v>
      </c>
    </row>
    <row r="475" spans="1:16" x14ac:dyDescent="0.35">
      <c r="A475" s="1">
        <v>42114</v>
      </c>
      <c r="B475">
        <v>3</v>
      </c>
      <c r="C475">
        <v>5.0430000000000001</v>
      </c>
      <c r="D475">
        <v>3.7</v>
      </c>
      <c r="E475">
        <v>38</v>
      </c>
      <c r="F475">
        <v>13</v>
      </c>
      <c r="G475">
        <v>0</v>
      </c>
      <c r="H475">
        <v>1</v>
      </c>
      <c r="I475">
        <v>3</v>
      </c>
      <c r="J475">
        <v>2015</v>
      </c>
      <c r="K475">
        <v>4</v>
      </c>
      <c r="L475" t="s">
        <v>15</v>
      </c>
      <c r="M475">
        <f>SUM(Pharma_Sales_Data[[#This Row],[M01AB]:[R06]])</f>
        <v>66.742999999999995</v>
      </c>
      <c r="N475" s="2">
        <f>Pharma_Sales_Data[[#This Row],[Total Drug Sales]]*150</f>
        <v>10011.449999999999</v>
      </c>
      <c r="O475" s="2">
        <f>Pharma_Sales_Data[[#This Row],[Total Revenue]]*0.3</f>
        <v>3003.4349999999995</v>
      </c>
      <c r="P475" t="str">
        <f>IF(Pharma_Sales_Data[[#This Row],[Total Revenue]]&gt;20000,"High Value", IF(Pharma_Sales_Data[[#This Row],[Total Revenue]]&gt;=10000,"Medium Value","Low Value"))</f>
        <v>Medium Value</v>
      </c>
    </row>
    <row r="476" spans="1:16" x14ac:dyDescent="0.35">
      <c r="A476" s="1">
        <v>42115</v>
      </c>
      <c r="B476">
        <v>6.33</v>
      </c>
      <c r="C476">
        <v>1</v>
      </c>
      <c r="D476">
        <v>2</v>
      </c>
      <c r="E476">
        <v>35.200000000000003</v>
      </c>
      <c r="F476">
        <v>9</v>
      </c>
      <c r="G476">
        <v>0</v>
      </c>
      <c r="H476">
        <v>0</v>
      </c>
      <c r="I476">
        <v>6</v>
      </c>
      <c r="J476">
        <v>2015</v>
      </c>
      <c r="K476">
        <v>4</v>
      </c>
      <c r="L476" t="s">
        <v>16</v>
      </c>
      <c r="M476">
        <f>SUM(Pharma_Sales_Data[[#This Row],[M01AB]:[R06]])</f>
        <v>59.53</v>
      </c>
      <c r="N476" s="2">
        <f>Pharma_Sales_Data[[#This Row],[Total Drug Sales]]*150</f>
        <v>8929.5</v>
      </c>
      <c r="O476" s="2">
        <f>Pharma_Sales_Data[[#This Row],[Total Revenue]]*0.3</f>
        <v>2678.85</v>
      </c>
      <c r="P476" t="str">
        <f>IF(Pharma_Sales_Data[[#This Row],[Total Revenue]]&gt;20000,"High Value", IF(Pharma_Sales_Data[[#This Row],[Total Revenue]]&gt;=10000,"Medium Value","Low Value"))</f>
        <v>Low Value</v>
      </c>
    </row>
    <row r="477" spans="1:16" x14ac:dyDescent="0.35">
      <c r="A477" s="1">
        <v>42116</v>
      </c>
      <c r="B477">
        <v>1.33</v>
      </c>
      <c r="C477">
        <v>4.6269999999999998</v>
      </c>
      <c r="D477">
        <v>3.2</v>
      </c>
      <c r="E477">
        <v>32</v>
      </c>
      <c r="F477">
        <v>3</v>
      </c>
      <c r="G477">
        <v>0</v>
      </c>
      <c r="H477">
        <v>1</v>
      </c>
      <c r="I477">
        <v>2</v>
      </c>
      <c r="J477">
        <v>2015</v>
      </c>
      <c r="K477">
        <v>4</v>
      </c>
      <c r="L477" t="s">
        <v>17</v>
      </c>
      <c r="M477">
        <f>SUM(Pharma_Sales_Data[[#This Row],[M01AB]:[R06]])</f>
        <v>47.156999999999996</v>
      </c>
      <c r="N477" s="2">
        <f>Pharma_Sales_Data[[#This Row],[Total Drug Sales]]*150</f>
        <v>7073.5499999999993</v>
      </c>
      <c r="O477" s="2">
        <f>Pharma_Sales_Data[[#This Row],[Total Revenue]]*0.3</f>
        <v>2122.0649999999996</v>
      </c>
      <c r="P477" t="str">
        <f>IF(Pharma_Sales_Data[[#This Row],[Total Revenue]]&gt;20000,"High Value", IF(Pharma_Sales_Data[[#This Row],[Total Revenue]]&gt;=10000,"Medium Value","Low Value"))</f>
        <v>Low Value</v>
      </c>
    </row>
    <row r="478" spans="1:16" x14ac:dyDescent="0.35">
      <c r="A478" s="1">
        <v>42117</v>
      </c>
      <c r="B478">
        <v>4</v>
      </c>
      <c r="C478">
        <v>1</v>
      </c>
      <c r="D478">
        <v>1</v>
      </c>
      <c r="E478">
        <v>28.2</v>
      </c>
      <c r="F478">
        <v>8</v>
      </c>
      <c r="G478">
        <v>0</v>
      </c>
      <c r="H478">
        <v>1</v>
      </c>
      <c r="I478">
        <v>4</v>
      </c>
      <c r="J478">
        <v>2015</v>
      </c>
      <c r="K478">
        <v>4</v>
      </c>
      <c r="L478" t="s">
        <v>11</v>
      </c>
      <c r="M478">
        <f>SUM(Pharma_Sales_Data[[#This Row],[M01AB]:[R06]])</f>
        <v>47.2</v>
      </c>
      <c r="N478" s="2">
        <f>Pharma_Sales_Data[[#This Row],[Total Drug Sales]]*150</f>
        <v>7080</v>
      </c>
      <c r="O478" s="2">
        <f>Pharma_Sales_Data[[#This Row],[Total Revenue]]*0.3</f>
        <v>2124</v>
      </c>
      <c r="P478" t="str">
        <f>IF(Pharma_Sales_Data[[#This Row],[Total Revenue]]&gt;20000,"High Value", IF(Pharma_Sales_Data[[#This Row],[Total Revenue]]&gt;=10000,"Medium Value","Low Value"))</f>
        <v>Low Value</v>
      </c>
    </row>
    <row r="479" spans="1:16" x14ac:dyDescent="0.35">
      <c r="A479" s="1">
        <v>42118</v>
      </c>
      <c r="B479">
        <v>10</v>
      </c>
      <c r="C479">
        <v>1</v>
      </c>
      <c r="D479">
        <v>4</v>
      </c>
      <c r="E479">
        <v>30</v>
      </c>
      <c r="F479">
        <v>5</v>
      </c>
      <c r="G479">
        <v>0</v>
      </c>
      <c r="H479">
        <v>1</v>
      </c>
      <c r="I479">
        <v>5</v>
      </c>
      <c r="J479">
        <v>2015</v>
      </c>
      <c r="K479">
        <v>4</v>
      </c>
      <c r="L479" t="s">
        <v>12</v>
      </c>
      <c r="M479">
        <f>SUM(Pharma_Sales_Data[[#This Row],[M01AB]:[R06]])</f>
        <v>56</v>
      </c>
      <c r="N479" s="2">
        <f>Pharma_Sales_Data[[#This Row],[Total Drug Sales]]*150</f>
        <v>8400</v>
      </c>
      <c r="O479" s="2">
        <f>Pharma_Sales_Data[[#This Row],[Total Revenue]]*0.3</f>
        <v>2520</v>
      </c>
      <c r="P479" t="str">
        <f>IF(Pharma_Sales_Data[[#This Row],[Total Revenue]]&gt;20000,"High Value", IF(Pharma_Sales_Data[[#This Row],[Total Revenue]]&gt;=10000,"Medium Value","Low Value"))</f>
        <v>Low Value</v>
      </c>
    </row>
    <row r="480" spans="1:16" x14ac:dyDescent="0.35">
      <c r="A480" s="1">
        <v>42119</v>
      </c>
      <c r="B480">
        <v>5</v>
      </c>
      <c r="C480">
        <v>3.165</v>
      </c>
      <c r="D480">
        <v>8</v>
      </c>
      <c r="E480">
        <v>38.1</v>
      </c>
      <c r="F480">
        <v>3</v>
      </c>
      <c r="G480">
        <v>0</v>
      </c>
      <c r="H480">
        <v>1</v>
      </c>
      <c r="I480">
        <v>3</v>
      </c>
      <c r="J480">
        <v>2015</v>
      </c>
      <c r="K480">
        <v>4</v>
      </c>
      <c r="L480" t="s">
        <v>13</v>
      </c>
      <c r="M480">
        <f>SUM(Pharma_Sales_Data[[#This Row],[M01AB]:[R06]])</f>
        <v>61.265000000000001</v>
      </c>
      <c r="N480" s="2">
        <f>Pharma_Sales_Data[[#This Row],[Total Drug Sales]]*150</f>
        <v>9189.75</v>
      </c>
      <c r="O480" s="2">
        <f>Pharma_Sales_Data[[#This Row],[Total Revenue]]*0.3</f>
        <v>2756.9249999999997</v>
      </c>
      <c r="P480" t="str">
        <f>IF(Pharma_Sales_Data[[#This Row],[Total Revenue]]&gt;20000,"High Value", IF(Pharma_Sales_Data[[#This Row],[Total Revenue]]&gt;=10000,"Medium Value","Low Value"))</f>
        <v>Low Value</v>
      </c>
    </row>
    <row r="481" spans="1:16" x14ac:dyDescent="0.35">
      <c r="A481" s="1">
        <v>42120</v>
      </c>
      <c r="B481">
        <v>7</v>
      </c>
      <c r="C481">
        <v>6</v>
      </c>
      <c r="D481">
        <v>3</v>
      </c>
      <c r="E481">
        <v>37.6</v>
      </c>
      <c r="F481">
        <v>5</v>
      </c>
      <c r="G481">
        <v>0</v>
      </c>
      <c r="H481">
        <v>1</v>
      </c>
      <c r="I481">
        <v>1</v>
      </c>
      <c r="J481">
        <v>2015</v>
      </c>
      <c r="K481">
        <v>4</v>
      </c>
      <c r="L481" t="s">
        <v>14</v>
      </c>
      <c r="M481">
        <f>SUM(Pharma_Sales_Data[[#This Row],[M01AB]:[R06]])</f>
        <v>60.6</v>
      </c>
      <c r="N481" s="2">
        <f>Pharma_Sales_Data[[#This Row],[Total Drug Sales]]*150</f>
        <v>9090</v>
      </c>
      <c r="O481" s="2">
        <f>Pharma_Sales_Data[[#This Row],[Total Revenue]]*0.3</f>
        <v>2727</v>
      </c>
      <c r="P481" t="str">
        <f>IF(Pharma_Sales_Data[[#This Row],[Total Revenue]]&gt;20000,"High Value", IF(Pharma_Sales_Data[[#This Row],[Total Revenue]]&gt;=10000,"Medium Value","Low Value"))</f>
        <v>Low Value</v>
      </c>
    </row>
    <row r="482" spans="1:16" x14ac:dyDescent="0.35">
      <c r="A482" s="1">
        <v>42121</v>
      </c>
      <c r="B482">
        <v>3</v>
      </c>
      <c r="C482">
        <v>0.78</v>
      </c>
      <c r="D482">
        <v>4</v>
      </c>
      <c r="E482">
        <v>43</v>
      </c>
      <c r="F482">
        <v>10</v>
      </c>
      <c r="G482">
        <v>0</v>
      </c>
      <c r="H482">
        <v>0</v>
      </c>
      <c r="I482">
        <v>10</v>
      </c>
      <c r="J482">
        <v>2015</v>
      </c>
      <c r="K482">
        <v>4</v>
      </c>
      <c r="L482" t="s">
        <v>15</v>
      </c>
      <c r="M482">
        <f>SUM(Pharma_Sales_Data[[#This Row],[M01AB]:[R06]])</f>
        <v>70.78</v>
      </c>
      <c r="N482" s="2">
        <f>Pharma_Sales_Data[[#This Row],[Total Drug Sales]]*150</f>
        <v>10617</v>
      </c>
      <c r="O482" s="2">
        <f>Pharma_Sales_Data[[#This Row],[Total Revenue]]*0.3</f>
        <v>3185.1</v>
      </c>
      <c r="P482" t="str">
        <f>IF(Pharma_Sales_Data[[#This Row],[Total Revenue]]&gt;20000,"High Value", IF(Pharma_Sales_Data[[#This Row],[Total Revenue]]&gt;=10000,"Medium Value","Low Value"))</f>
        <v>Medium Value</v>
      </c>
    </row>
    <row r="483" spans="1:16" x14ac:dyDescent="0.35">
      <c r="A483" s="1">
        <v>42122</v>
      </c>
      <c r="B483">
        <v>4.33</v>
      </c>
      <c r="C483">
        <v>4.67</v>
      </c>
      <c r="D483">
        <v>3.1</v>
      </c>
      <c r="E483">
        <v>15.2</v>
      </c>
      <c r="F483">
        <v>7</v>
      </c>
      <c r="G483">
        <v>0</v>
      </c>
      <c r="H483">
        <v>5</v>
      </c>
      <c r="I483">
        <v>6</v>
      </c>
      <c r="J483">
        <v>2015</v>
      </c>
      <c r="K483">
        <v>4</v>
      </c>
      <c r="L483" t="s">
        <v>16</v>
      </c>
      <c r="M483">
        <f>SUM(Pharma_Sales_Data[[#This Row],[M01AB]:[R06]])</f>
        <v>45.3</v>
      </c>
      <c r="N483" s="2">
        <f>Pharma_Sales_Data[[#This Row],[Total Drug Sales]]*150</f>
        <v>6795</v>
      </c>
      <c r="O483" s="2">
        <f>Pharma_Sales_Data[[#This Row],[Total Revenue]]*0.3</f>
        <v>2038.5</v>
      </c>
      <c r="P483" t="str">
        <f>IF(Pharma_Sales_Data[[#This Row],[Total Revenue]]&gt;20000,"High Value", IF(Pharma_Sales_Data[[#This Row],[Total Revenue]]&gt;=10000,"Medium Value","Low Value"))</f>
        <v>Low Value</v>
      </c>
    </row>
    <row r="484" spans="1:16" x14ac:dyDescent="0.35">
      <c r="A484" s="1">
        <v>42123</v>
      </c>
      <c r="B484">
        <v>2</v>
      </c>
      <c r="C484">
        <v>0.43</v>
      </c>
      <c r="D484">
        <v>4.2</v>
      </c>
      <c r="E484">
        <v>27.6</v>
      </c>
      <c r="F484">
        <v>2</v>
      </c>
      <c r="G484">
        <v>0</v>
      </c>
      <c r="H484">
        <v>11</v>
      </c>
      <c r="I484">
        <v>3</v>
      </c>
      <c r="J484">
        <v>2015</v>
      </c>
      <c r="K484">
        <v>4</v>
      </c>
      <c r="L484" t="s">
        <v>17</v>
      </c>
      <c r="M484">
        <f>SUM(Pharma_Sales_Data[[#This Row],[M01AB]:[R06]])</f>
        <v>50.230000000000004</v>
      </c>
      <c r="N484" s="2">
        <f>Pharma_Sales_Data[[#This Row],[Total Drug Sales]]*150</f>
        <v>7534.5000000000009</v>
      </c>
      <c r="O484" s="2">
        <f>Pharma_Sales_Data[[#This Row],[Total Revenue]]*0.3</f>
        <v>2260.3500000000004</v>
      </c>
      <c r="P484" t="str">
        <f>IF(Pharma_Sales_Data[[#This Row],[Total Revenue]]&gt;20000,"High Value", IF(Pharma_Sales_Data[[#This Row],[Total Revenue]]&gt;=10000,"Medium Value","Low Value"))</f>
        <v>Low Value</v>
      </c>
    </row>
    <row r="485" spans="1:16" x14ac:dyDescent="0.35">
      <c r="A485" s="1">
        <v>42124</v>
      </c>
      <c r="B485">
        <v>3</v>
      </c>
      <c r="C485">
        <v>8.7270000000000003</v>
      </c>
      <c r="D485">
        <v>2.6</v>
      </c>
      <c r="E485">
        <v>32.6</v>
      </c>
      <c r="F485">
        <v>7</v>
      </c>
      <c r="G485">
        <v>0</v>
      </c>
      <c r="H485">
        <v>3</v>
      </c>
      <c r="I485">
        <v>7</v>
      </c>
      <c r="J485">
        <v>2015</v>
      </c>
      <c r="K485">
        <v>4</v>
      </c>
      <c r="L485" t="s">
        <v>11</v>
      </c>
      <c r="M485">
        <f>SUM(Pharma_Sales_Data[[#This Row],[M01AB]:[R06]])</f>
        <v>63.927</v>
      </c>
      <c r="N485" s="2">
        <f>Pharma_Sales_Data[[#This Row],[Total Drug Sales]]*150</f>
        <v>9589.0499999999993</v>
      </c>
      <c r="O485" s="2">
        <f>Pharma_Sales_Data[[#This Row],[Total Revenue]]*0.3</f>
        <v>2876.7149999999997</v>
      </c>
      <c r="P485" t="str">
        <f>IF(Pharma_Sales_Data[[#This Row],[Total Revenue]]&gt;20000,"High Value", IF(Pharma_Sales_Data[[#This Row],[Total Revenue]]&gt;=10000,"Medium Value","Low Value"))</f>
        <v>Low Value</v>
      </c>
    </row>
    <row r="486" spans="1:16" x14ac:dyDescent="0.35">
      <c r="A486" s="1">
        <v>42125</v>
      </c>
      <c r="B486">
        <v>5.34</v>
      </c>
      <c r="C486">
        <v>1.68</v>
      </c>
      <c r="D486">
        <v>4.9400000000000004</v>
      </c>
      <c r="E486">
        <v>11.4</v>
      </c>
      <c r="F486">
        <v>4</v>
      </c>
      <c r="G486">
        <v>0</v>
      </c>
      <c r="H486">
        <v>0</v>
      </c>
      <c r="I486">
        <v>4.7</v>
      </c>
      <c r="J486">
        <v>2015</v>
      </c>
      <c r="K486">
        <v>5</v>
      </c>
      <c r="L486" t="s">
        <v>12</v>
      </c>
      <c r="M486">
        <f>SUM(Pharma_Sales_Data[[#This Row],[M01AB]:[R06]])</f>
        <v>32.06</v>
      </c>
      <c r="N486" s="2">
        <f>Pharma_Sales_Data[[#This Row],[Total Drug Sales]]*150</f>
        <v>4809</v>
      </c>
      <c r="O486" s="2">
        <f>Pharma_Sales_Data[[#This Row],[Total Revenue]]*0.3</f>
        <v>1442.7</v>
      </c>
      <c r="P486" t="str">
        <f>IF(Pharma_Sales_Data[[#This Row],[Total Revenue]]&gt;20000,"High Value", IF(Pharma_Sales_Data[[#This Row],[Total Revenue]]&gt;=10000,"Medium Value","Low Value"))</f>
        <v>Low Value</v>
      </c>
    </row>
    <row r="487" spans="1:16" x14ac:dyDescent="0.35">
      <c r="A487" s="1">
        <v>42126</v>
      </c>
      <c r="B487">
        <v>5</v>
      </c>
      <c r="C487">
        <v>3.66</v>
      </c>
      <c r="D487">
        <v>3</v>
      </c>
      <c r="E487">
        <v>47.8</v>
      </c>
      <c r="F487">
        <v>6</v>
      </c>
      <c r="G487">
        <v>2</v>
      </c>
      <c r="H487">
        <v>0</v>
      </c>
      <c r="I487">
        <v>5</v>
      </c>
      <c r="J487">
        <v>2015</v>
      </c>
      <c r="K487">
        <v>5</v>
      </c>
      <c r="L487" t="s">
        <v>13</v>
      </c>
      <c r="M487">
        <f>SUM(Pharma_Sales_Data[[#This Row],[M01AB]:[R06]])</f>
        <v>72.459999999999994</v>
      </c>
      <c r="N487" s="2">
        <f>Pharma_Sales_Data[[#This Row],[Total Drug Sales]]*150</f>
        <v>10868.999999999998</v>
      </c>
      <c r="O487" s="2">
        <f>Pharma_Sales_Data[[#This Row],[Total Revenue]]*0.3</f>
        <v>3260.6999999999994</v>
      </c>
      <c r="P487" t="str">
        <f>IF(Pharma_Sales_Data[[#This Row],[Total Revenue]]&gt;20000,"High Value", IF(Pharma_Sales_Data[[#This Row],[Total Revenue]]&gt;=10000,"Medium Value","Low Value"))</f>
        <v>Medium Value</v>
      </c>
    </row>
    <row r="488" spans="1:16" x14ac:dyDescent="0.35">
      <c r="A488" s="1">
        <v>42127</v>
      </c>
      <c r="B488">
        <v>6.67</v>
      </c>
      <c r="C488">
        <v>1.0660000000000001</v>
      </c>
      <c r="D488">
        <v>2.1</v>
      </c>
      <c r="E488">
        <v>19.2</v>
      </c>
      <c r="F488">
        <v>4</v>
      </c>
      <c r="G488">
        <v>0</v>
      </c>
      <c r="H488">
        <v>1</v>
      </c>
      <c r="I488">
        <v>6</v>
      </c>
      <c r="J488">
        <v>2015</v>
      </c>
      <c r="K488">
        <v>5</v>
      </c>
      <c r="L488" t="s">
        <v>14</v>
      </c>
      <c r="M488">
        <f>SUM(Pharma_Sales_Data[[#This Row],[M01AB]:[R06]])</f>
        <v>40.036000000000001</v>
      </c>
      <c r="N488" s="2">
        <f>Pharma_Sales_Data[[#This Row],[Total Drug Sales]]*150</f>
        <v>6005.4000000000005</v>
      </c>
      <c r="O488" s="2">
        <f>Pharma_Sales_Data[[#This Row],[Total Revenue]]*0.3</f>
        <v>1801.6200000000001</v>
      </c>
      <c r="P488" t="str">
        <f>IF(Pharma_Sales_Data[[#This Row],[Total Revenue]]&gt;20000,"High Value", IF(Pharma_Sales_Data[[#This Row],[Total Revenue]]&gt;=10000,"Medium Value","Low Value"))</f>
        <v>Low Value</v>
      </c>
    </row>
    <row r="489" spans="1:16" x14ac:dyDescent="0.35">
      <c r="A489" s="1">
        <v>42128</v>
      </c>
      <c r="B489">
        <v>4</v>
      </c>
      <c r="C489">
        <v>4.7229999999999999</v>
      </c>
      <c r="D489">
        <v>8.6</v>
      </c>
      <c r="E489">
        <v>36</v>
      </c>
      <c r="F489">
        <v>5</v>
      </c>
      <c r="G489">
        <v>1</v>
      </c>
      <c r="H489">
        <v>10</v>
      </c>
      <c r="I489">
        <v>3.3</v>
      </c>
      <c r="J489">
        <v>2015</v>
      </c>
      <c r="K489">
        <v>5</v>
      </c>
      <c r="L489" t="s">
        <v>15</v>
      </c>
      <c r="M489">
        <f>SUM(Pharma_Sales_Data[[#This Row],[M01AB]:[R06]])</f>
        <v>72.623000000000005</v>
      </c>
      <c r="N489" s="2">
        <f>Pharma_Sales_Data[[#This Row],[Total Drug Sales]]*150</f>
        <v>10893.45</v>
      </c>
      <c r="O489" s="2">
        <f>Pharma_Sales_Data[[#This Row],[Total Revenue]]*0.3</f>
        <v>3268.0350000000003</v>
      </c>
      <c r="P489" t="str">
        <f>IF(Pharma_Sales_Data[[#This Row],[Total Revenue]]&gt;20000,"High Value", IF(Pharma_Sales_Data[[#This Row],[Total Revenue]]&gt;=10000,"Medium Value","Low Value"))</f>
        <v>Medium Value</v>
      </c>
    </row>
    <row r="490" spans="1:16" x14ac:dyDescent="0.35">
      <c r="A490" s="1">
        <v>42129</v>
      </c>
      <c r="B490">
        <v>3.34</v>
      </c>
      <c r="C490">
        <v>3.4620000000000002</v>
      </c>
      <c r="D490">
        <v>2</v>
      </c>
      <c r="E490">
        <v>19</v>
      </c>
      <c r="F490">
        <v>6</v>
      </c>
      <c r="G490">
        <v>0</v>
      </c>
      <c r="H490">
        <v>5</v>
      </c>
      <c r="I490">
        <v>2.5</v>
      </c>
      <c r="J490">
        <v>2015</v>
      </c>
      <c r="K490">
        <v>5</v>
      </c>
      <c r="L490" t="s">
        <v>16</v>
      </c>
      <c r="M490">
        <f>SUM(Pharma_Sales_Data[[#This Row],[M01AB]:[R06]])</f>
        <v>41.302</v>
      </c>
      <c r="N490" s="2">
        <f>Pharma_Sales_Data[[#This Row],[Total Drug Sales]]*150</f>
        <v>6195.3</v>
      </c>
      <c r="O490" s="2">
        <f>Pharma_Sales_Data[[#This Row],[Total Revenue]]*0.3</f>
        <v>1858.59</v>
      </c>
      <c r="P490" t="str">
        <f>IF(Pharma_Sales_Data[[#This Row],[Total Revenue]]&gt;20000,"High Value", IF(Pharma_Sales_Data[[#This Row],[Total Revenue]]&gt;=10000,"Medium Value","Low Value"))</f>
        <v>Low Value</v>
      </c>
    </row>
    <row r="491" spans="1:16" x14ac:dyDescent="0.35">
      <c r="A491" s="1">
        <v>42130</v>
      </c>
      <c r="B491">
        <v>4.66</v>
      </c>
      <c r="C491">
        <v>6.4969999999999999</v>
      </c>
      <c r="D491">
        <v>2</v>
      </c>
      <c r="E491">
        <v>40.200000000000003</v>
      </c>
      <c r="F491">
        <v>11</v>
      </c>
      <c r="G491">
        <v>0</v>
      </c>
      <c r="H491">
        <v>0</v>
      </c>
      <c r="I491">
        <v>6</v>
      </c>
      <c r="J491">
        <v>2015</v>
      </c>
      <c r="K491">
        <v>5</v>
      </c>
      <c r="L491" t="s">
        <v>17</v>
      </c>
      <c r="M491">
        <f>SUM(Pharma_Sales_Data[[#This Row],[M01AB]:[R06]])</f>
        <v>70.356999999999999</v>
      </c>
      <c r="N491" s="2">
        <f>Pharma_Sales_Data[[#This Row],[Total Drug Sales]]*150</f>
        <v>10553.55</v>
      </c>
      <c r="O491" s="2">
        <f>Pharma_Sales_Data[[#This Row],[Total Revenue]]*0.3</f>
        <v>3166.0649999999996</v>
      </c>
      <c r="P491" t="str">
        <f>IF(Pharma_Sales_Data[[#This Row],[Total Revenue]]&gt;20000,"High Value", IF(Pharma_Sales_Data[[#This Row],[Total Revenue]]&gt;=10000,"Medium Value","Low Value"))</f>
        <v>Medium Value</v>
      </c>
    </row>
    <row r="492" spans="1:16" x14ac:dyDescent="0.35">
      <c r="A492" s="1">
        <v>42131</v>
      </c>
      <c r="B492">
        <v>2</v>
      </c>
      <c r="C492">
        <v>3.34</v>
      </c>
      <c r="D492">
        <v>2</v>
      </c>
      <c r="E492">
        <v>21</v>
      </c>
      <c r="F492">
        <v>4</v>
      </c>
      <c r="G492">
        <v>1</v>
      </c>
      <c r="H492">
        <v>5</v>
      </c>
      <c r="I492">
        <v>10</v>
      </c>
      <c r="J492">
        <v>2015</v>
      </c>
      <c r="K492">
        <v>5</v>
      </c>
      <c r="L492" t="s">
        <v>11</v>
      </c>
      <c r="M492">
        <f>SUM(Pharma_Sales_Data[[#This Row],[M01AB]:[R06]])</f>
        <v>48.34</v>
      </c>
      <c r="N492" s="2">
        <f>Pharma_Sales_Data[[#This Row],[Total Drug Sales]]*150</f>
        <v>7251.0000000000009</v>
      </c>
      <c r="O492" s="2">
        <f>Pharma_Sales_Data[[#This Row],[Total Revenue]]*0.3</f>
        <v>2175.3000000000002</v>
      </c>
      <c r="P492" t="str">
        <f>IF(Pharma_Sales_Data[[#This Row],[Total Revenue]]&gt;20000,"High Value", IF(Pharma_Sales_Data[[#This Row],[Total Revenue]]&gt;=10000,"Medium Value","Low Value"))</f>
        <v>Low Value</v>
      </c>
    </row>
    <row r="493" spans="1:16" x14ac:dyDescent="0.35">
      <c r="A493" s="1">
        <v>42132</v>
      </c>
      <c r="B493">
        <v>1</v>
      </c>
      <c r="C493">
        <v>6.34</v>
      </c>
      <c r="D493">
        <v>5</v>
      </c>
      <c r="E493">
        <v>16</v>
      </c>
      <c r="F493">
        <v>8</v>
      </c>
      <c r="G493">
        <v>0</v>
      </c>
      <c r="H493">
        <v>4</v>
      </c>
      <c r="I493">
        <v>1</v>
      </c>
      <c r="J493">
        <v>2015</v>
      </c>
      <c r="K493">
        <v>5</v>
      </c>
      <c r="L493" t="s">
        <v>12</v>
      </c>
      <c r="M493">
        <f>SUM(Pharma_Sales_Data[[#This Row],[M01AB]:[R06]])</f>
        <v>41.34</v>
      </c>
      <c r="N493" s="2">
        <f>Pharma_Sales_Data[[#This Row],[Total Drug Sales]]*150</f>
        <v>6201.0000000000009</v>
      </c>
      <c r="O493" s="2">
        <f>Pharma_Sales_Data[[#This Row],[Total Revenue]]*0.3</f>
        <v>1860.3000000000002</v>
      </c>
      <c r="P493" t="str">
        <f>IF(Pharma_Sales_Data[[#This Row],[Total Revenue]]&gt;20000,"High Value", IF(Pharma_Sales_Data[[#This Row],[Total Revenue]]&gt;=10000,"Medium Value","Low Value"))</f>
        <v>Low Value</v>
      </c>
    </row>
    <row r="494" spans="1:16" x14ac:dyDescent="0.35">
      <c r="A494" s="1">
        <v>42133</v>
      </c>
      <c r="B494">
        <v>3.66</v>
      </c>
      <c r="C494">
        <v>4.34</v>
      </c>
      <c r="D494">
        <v>7.4</v>
      </c>
      <c r="E494">
        <v>21</v>
      </c>
      <c r="F494">
        <v>11</v>
      </c>
      <c r="G494">
        <v>1</v>
      </c>
      <c r="H494">
        <v>1</v>
      </c>
      <c r="I494">
        <v>6</v>
      </c>
      <c r="J494">
        <v>2015</v>
      </c>
      <c r="K494">
        <v>5</v>
      </c>
      <c r="L494" t="s">
        <v>13</v>
      </c>
      <c r="M494">
        <f>SUM(Pharma_Sales_Data[[#This Row],[M01AB]:[R06]])</f>
        <v>55.4</v>
      </c>
      <c r="N494" s="2">
        <f>Pharma_Sales_Data[[#This Row],[Total Drug Sales]]*150</f>
        <v>8310</v>
      </c>
      <c r="O494" s="2">
        <f>Pharma_Sales_Data[[#This Row],[Total Revenue]]*0.3</f>
        <v>2493</v>
      </c>
      <c r="P494" t="str">
        <f>IF(Pharma_Sales_Data[[#This Row],[Total Revenue]]&gt;20000,"High Value", IF(Pharma_Sales_Data[[#This Row],[Total Revenue]]&gt;=10000,"Medium Value","Low Value"))</f>
        <v>Low Value</v>
      </c>
    </row>
    <row r="495" spans="1:16" x14ac:dyDescent="0.35">
      <c r="A495" s="1">
        <v>42134</v>
      </c>
      <c r="B495">
        <v>3.34</v>
      </c>
      <c r="C495">
        <v>5.4269999999999996</v>
      </c>
      <c r="D495">
        <v>3.8</v>
      </c>
      <c r="E495">
        <v>13</v>
      </c>
      <c r="F495">
        <v>3</v>
      </c>
      <c r="G495">
        <v>0</v>
      </c>
      <c r="H495">
        <v>1</v>
      </c>
      <c r="I495">
        <v>10</v>
      </c>
      <c r="J495">
        <v>2015</v>
      </c>
      <c r="K495">
        <v>5</v>
      </c>
      <c r="L495" t="s">
        <v>14</v>
      </c>
      <c r="M495">
        <f>SUM(Pharma_Sales_Data[[#This Row],[M01AB]:[R06]])</f>
        <v>39.567</v>
      </c>
      <c r="N495" s="2">
        <f>Pharma_Sales_Data[[#This Row],[Total Drug Sales]]*150</f>
        <v>5935.05</v>
      </c>
      <c r="O495" s="2">
        <f>Pharma_Sales_Data[[#This Row],[Total Revenue]]*0.3</f>
        <v>1780.5150000000001</v>
      </c>
      <c r="P495" t="str">
        <f>IF(Pharma_Sales_Data[[#This Row],[Total Revenue]]&gt;20000,"High Value", IF(Pharma_Sales_Data[[#This Row],[Total Revenue]]&gt;=10000,"Medium Value","Low Value"))</f>
        <v>Low Value</v>
      </c>
    </row>
    <row r="496" spans="1:16" x14ac:dyDescent="0.35">
      <c r="A496" s="1">
        <v>42135</v>
      </c>
      <c r="B496">
        <v>3.33</v>
      </c>
      <c r="C496">
        <v>6.66</v>
      </c>
      <c r="D496">
        <v>5.9</v>
      </c>
      <c r="E496">
        <v>21</v>
      </c>
      <c r="F496">
        <v>3</v>
      </c>
      <c r="G496">
        <v>0</v>
      </c>
      <c r="H496">
        <v>6</v>
      </c>
      <c r="I496">
        <v>4</v>
      </c>
      <c r="J496">
        <v>2015</v>
      </c>
      <c r="K496">
        <v>5</v>
      </c>
      <c r="L496" t="s">
        <v>15</v>
      </c>
      <c r="M496">
        <f>SUM(Pharma_Sales_Data[[#This Row],[M01AB]:[R06]])</f>
        <v>49.89</v>
      </c>
      <c r="N496" s="2">
        <f>Pharma_Sales_Data[[#This Row],[Total Drug Sales]]*150</f>
        <v>7483.5</v>
      </c>
      <c r="O496" s="2">
        <f>Pharma_Sales_Data[[#This Row],[Total Revenue]]*0.3</f>
        <v>2245.0499999999997</v>
      </c>
      <c r="P496" t="str">
        <f>IF(Pharma_Sales_Data[[#This Row],[Total Revenue]]&gt;20000,"High Value", IF(Pharma_Sales_Data[[#This Row],[Total Revenue]]&gt;=10000,"Medium Value","Low Value"))</f>
        <v>Low Value</v>
      </c>
    </row>
    <row r="497" spans="1:16" x14ac:dyDescent="0.35">
      <c r="A497" s="1">
        <v>42136</v>
      </c>
      <c r="B497">
        <v>7.33</v>
      </c>
      <c r="C497">
        <v>1.99</v>
      </c>
      <c r="D497">
        <v>8.1999999999999993</v>
      </c>
      <c r="E497">
        <v>22.95</v>
      </c>
      <c r="F497">
        <v>13</v>
      </c>
      <c r="G497">
        <v>0</v>
      </c>
      <c r="H497">
        <v>0</v>
      </c>
      <c r="I497">
        <v>8</v>
      </c>
      <c r="J497">
        <v>2015</v>
      </c>
      <c r="K497">
        <v>5</v>
      </c>
      <c r="L497" t="s">
        <v>16</v>
      </c>
      <c r="M497">
        <f>SUM(Pharma_Sales_Data[[#This Row],[M01AB]:[R06]])</f>
        <v>61.47</v>
      </c>
      <c r="N497" s="2">
        <f>Pharma_Sales_Data[[#This Row],[Total Drug Sales]]*150</f>
        <v>9220.5</v>
      </c>
      <c r="O497" s="2">
        <f>Pharma_Sales_Data[[#This Row],[Total Revenue]]*0.3</f>
        <v>2766.15</v>
      </c>
      <c r="P497" t="str">
        <f>IF(Pharma_Sales_Data[[#This Row],[Total Revenue]]&gt;20000,"High Value", IF(Pharma_Sales_Data[[#This Row],[Total Revenue]]&gt;=10000,"Medium Value","Low Value"))</f>
        <v>Low Value</v>
      </c>
    </row>
    <row r="498" spans="1:16" x14ac:dyDescent="0.35">
      <c r="A498" s="1">
        <v>42137</v>
      </c>
      <c r="B498">
        <v>8</v>
      </c>
      <c r="C498">
        <v>3.44</v>
      </c>
      <c r="D498">
        <v>9</v>
      </c>
      <c r="E498">
        <v>28.4</v>
      </c>
      <c r="F498">
        <v>5</v>
      </c>
      <c r="G498">
        <v>0</v>
      </c>
      <c r="H498">
        <v>2</v>
      </c>
      <c r="I498">
        <v>4.5</v>
      </c>
      <c r="J498">
        <v>2015</v>
      </c>
      <c r="K498">
        <v>5</v>
      </c>
      <c r="L498" t="s">
        <v>17</v>
      </c>
      <c r="M498">
        <f>SUM(Pharma_Sales_Data[[#This Row],[M01AB]:[R06]])</f>
        <v>60.339999999999996</v>
      </c>
      <c r="N498" s="2">
        <f>Pharma_Sales_Data[[#This Row],[Total Drug Sales]]*150</f>
        <v>9051</v>
      </c>
      <c r="O498" s="2">
        <f>Pharma_Sales_Data[[#This Row],[Total Revenue]]*0.3</f>
        <v>2715.2999999999997</v>
      </c>
      <c r="P498" t="str">
        <f>IF(Pharma_Sales_Data[[#This Row],[Total Revenue]]&gt;20000,"High Value", IF(Pharma_Sales_Data[[#This Row],[Total Revenue]]&gt;=10000,"Medium Value","Low Value"))</f>
        <v>Low Value</v>
      </c>
    </row>
    <row r="499" spans="1:16" x14ac:dyDescent="0.35">
      <c r="A499" s="1">
        <v>42138</v>
      </c>
      <c r="B499">
        <v>3</v>
      </c>
      <c r="C499">
        <v>5.0670000000000002</v>
      </c>
      <c r="D499">
        <v>3</v>
      </c>
      <c r="E499">
        <v>14</v>
      </c>
      <c r="F499">
        <v>1</v>
      </c>
      <c r="G499">
        <v>0</v>
      </c>
      <c r="H499">
        <v>0</v>
      </c>
      <c r="I499">
        <v>5</v>
      </c>
      <c r="J499">
        <v>2015</v>
      </c>
      <c r="K499">
        <v>5</v>
      </c>
      <c r="L499" t="s">
        <v>11</v>
      </c>
      <c r="M499">
        <f>SUM(Pharma_Sales_Data[[#This Row],[M01AB]:[R06]])</f>
        <v>31.067</v>
      </c>
      <c r="N499" s="2">
        <f>Pharma_Sales_Data[[#This Row],[Total Drug Sales]]*150</f>
        <v>4660.05</v>
      </c>
      <c r="O499" s="2">
        <f>Pharma_Sales_Data[[#This Row],[Total Revenue]]*0.3</f>
        <v>1398.0150000000001</v>
      </c>
      <c r="P499" t="str">
        <f>IF(Pharma_Sales_Data[[#This Row],[Total Revenue]]&gt;20000,"High Value", IF(Pharma_Sales_Data[[#This Row],[Total Revenue]]&gt;=10000,"Medium Value","Low Value"))</f>
        <v>Low Value</v>
      </c>
    </row>
    <row r="500" spans="1:16" x14ac:dyDescent="0.35">
      <c r="A500" s="1">
        <v>42139</v>
      </c>
      <c r="B500">
        <v>3.34</v>
      </c>
      <c r="C500">
        <v>6.53</v>
      </c>
      <c r="D500">
        <v>4.3</v>
      </c>
      <c r="E500">
        <v>48.4</v>
      </c>
      <c r="F500">
        <v>8</v>
      </c>
      <c r="G500">
        <v>0</v>
      </c>
      <c r="H500">
        <v>4</v>
      </c>
      <c r="I500">
        <v>3.2</v>
      </c>
      <c r="J500">
        <v>2015</v>
      </c>
      <c r="K500">
        <v>5</v>
      </c>
      <c r="L500" t="s">
        <v>12</v>
      </c>
      <c r="M500">
        <f>SUM(Pharma_Sales_Data[[#This Row],[M01AB]:[R06]])</f>
        <v>77.77</v>
      </c>
      <c r="N500" s="2">
        <f>Pharma_Sales_Data[[#This Row],[Total Drug Sales]]*150</f>
        <v>11665.5</v>
      </c>
      <c r="O500" s="2">
        <f>Pharma_Sales_Data[[#This Row],[Total Revenue]]*0.3</f>
        <v>3499.65</v>
      </c>
      <c r="P500" t="str">
        <f>IF(Pharma_Sales_Data[[#This Row],[Total Revenue]]&gt;20000,"High Value", IF(Pharma_Sales_Data[[#This Row],[Total Revenue]]&gt;=10000,"Medium Value","Low Value"))</f>
        <v>Medium Value</v>
      </c>
    </row>
    <row r="501" spans="1:16" x14ac:dyDescent="0.35">
      <c r="A501" s="1">
        <v>42140</v>
      </c>
      <c r="B501">
        <v>5</v>
      </c>
      <c r="C501">
        <v>4.0659999999999998</v>
      </c>
      <c r="D501">
        <v>4.0999999999999996</v>
      </c>
      <c r="E501">
        <v>40.4</v>
      </c>
      <c r="F501">
        <v>4</v>
      </c>
      <c r="G501">
        <v>0</v>
      </c>
      <c r="H501">
        <v>0</v>
      </c>
      <c r="I501">
        <v>4</v>
      </c>
      <c r="J501">
        <v>2015</v>
      </c>
      <c r="K501">
        <v>5</v>
      </c>
      <c r="L501" t="s">
        <v>13</v>
      </c>
      <c r="M501">
        <f>SUM(Pharma_Sales_Data[[#This Row],[M01AB]:[R06]])</f>
        <v>61.565999999999995</v>
      </c>
      <c r="N501" s="2">
        <f>Pharma_Sales_Data[[#This Row],[Total Drug Sales]]*150</f>
        <v>9234.9</v>
      </c>
      <c r="O501" s="2">
        <f>Pharma_Sales_Data[[#This Row],[Total Revenue]]*0.3</f>
        <v>2770.47</v>
      </c>
      <c r="P501" t="str">
        <f>IF(Pharma_Sales_Data[[#This Row],[Total Revenue]]&gt;20000,"High Value", IF(Pharma_Sales_Data[[#This Row],[Total Revenue]]&gt;=10000,"Medium Value","Low Value"))</f>
        <v>Low Value</v>
      </c>
    </row>
    <row r="502" spans="1:16" x14ac:dyDescent="0.35">
      <c r="A502" s="1">
        <v>42141</v>
      </c>
      <c r="B502">
        <v>5</v>
      </c>
      <c r="C502">
        <v>3.33</v>
      </c>
      <c r="D502">
        <v>5</v>
      </c>
      <c r="E502">
        <v>23.2</v>
      </c>
      <c r="F502">
        <v>0</v>
      </c>
      <c r="G502">
        <v>0</v>
      </c>
      <c r="H502">
        <v>0</v>
      </c>
      <c r="I502">
        <v>8</v>
      </c>
      <c r="J502">
        <v>2015</v>
      </c>
      <c r="K502">
        <v>5</v>
      </c>
      <c r="L502" t="s">
        <v>14</v>
      </c>
      <c r="M502">
        <f>SUM(Pharma_Sales_Data[[#This Row],[M01AB]:[R06]])</f>
        <v>44.53</v>
      </c>
      <c r="N502" s="2">
        <f>Pharma_Sales_Data[[#This Row],[Total Drug Sales]]*150</f>
        <v>6679.5</v>
      </c>
      <c r="O502" s="2">
        <f>Pharma_Sales_Data[[#This Row],[Total Revenue]]*0.3</f>
        <v>2003.85</v>
      </c>
      <c r="P502" t="str">
        <f>IF(Pharma_Sales_Data[[#This Row],[Total Revenue]]&gt;20000,"High Value", IF(Pharma_Sales_Data[[#This Row],[Total Revenue]]&gt;=10000,"Medium Value","Low Value"))</f>
        <v>Low Value</v>
      </c>
    </row>
    <row r="503" spans="1:16" x14ac:dyDescent="0.35">
      <c r="A503" s="1">
        <v>42142</v>
      </c>
      <c r="B503">
        <v>7</v>
      </c>
      <c r="C503">
        <v>2.7130000000000001</v>
      </c>
      <c r="D503">
        <v>5.2</v>
      </c>
      <c r="E503">
        <v>21.4</v>
      </c>
      <c r="F503">
        <v>6</v>
      </c>
      <c r="G503">
        <v>1</v>
      </c>
      <c r="H503">
        <v>2</v>
      </c>
      <c r="I503">
        <v>2.2000000000000002</v>
      </c>
      <c r="J503">
        <v>2015</v>
      </c>
      <c r="K503">
        <v>5</v>
      </c>
      <c r="L503" t="s">
        <v>15</v>
      </c>
      <c r="M503">
        <f>SUM(Pharma_Sales_Data[[#This Row],[M01AB]:[R06]])</f>
        <v>47.513000000000005</v>
      </c>
      <c r="N503" s="2">
        <f>Pharma_Sales_Data[[#This Row],[Total Drug Sales]]*150</f>
        <v>7126.9500000000007</v>
      </c>
      <c r="O503" s="2">
        <f>Pharma_Sales_Data[[#This Row],[Total Revenue]]*0.3</f>
        <v>2138.085</v>
      </c>
      <c r="P503" t="str">
        <f>IF(Pharma_Sales_Data[[#This Row],[Total Revenue]]&gt;20000,"High Value", IF(Pharma_Sales_Data[[#This Row],[Total Revenue]]&gt;=10000,"Medium Value","Low Value"))</f>
        <v>Low Value</v>
      </c>
    </row>
    <row r="504" spans="1:16" x14ac:dyDescent="0.35">
      <c r="A504" s="1">
        <v>42143</v>
      </c>
      <c r="B504">
        <v>3</v>
      </c>
      <c r="C504">
        <v>1.66</v>
      </c>
      <c r="D504">
        <v>3</v>
      </c>
      <c r="E504">
        <v>20</v>
      </c>
      <c r="F504">
        <v>8</v>
      </c>
      <c r="G504">
        <v>0</v>
      </c>
      <c r="H504">
        <v>0</v>
      </c>
      <c r="I504">
        <v>3</v>
      </c>
      <c r="J504">
        <v>2015</v>
      </c>
      <c r="K504">
        <v>5</v>
      </c>
      <c r="L504" t="s">
        <v>16</v>
      </c>
      <c r="M504">
        <f>SUM(Pharma_Sales_Data[[#This Row],[M01AB]:[R06]])</f>
        <v>38.659999999999997</v>
      </c>
      <c r="N504" s="2">
        <f>Pharma_Sales_Data[[#This Row],[Total Drug Sales]]*150</f>
        <v>5798.9999999999991</v>
      </c>
      <c r="O504" s="2">
        <f>Pharma_Sales_Data[[#This Row],[Total Revenue]]*0.3</f>
        <v>1739.6999999999996</v>
      </c>
      <c r="P504" t="str">
        <f>IF(Pharma_Sales_Data[[#This Row],[Total Revenue]]&gt;20000,"High Value", IF(Pharma_Sales_Data[[#This Row],[Total Revenue]]&gt;=10000,"Medium Value","Low Value"))</f>
        <v>Low Value</v>
      </c>
    </row>
    <row r="505" spans="1:16" x14ac:dyDescent="0.35">
      <c r="A505" s="1">
        <v>42144</v>
      </c>
      <c r="B505">
        <v>5.67</v>
      </c>
      <c r="C505">
        <v>6.4649999999999999</v>
      </c>
      <c r="D505">
        <v>2</v>
      </c>
      <c r="E505">
        <v>17</v>
      </c>
      <c r="F505">
        <v>12</v>
      </c>
      <c r="G505">
        <v>1</v>
      </c>
      <c r="H505">
        <v>5</v>
      </c>
      <c r="I505">
        <v>6</v>
      </c>
      <c r="J505">
        <v>2015</v>
      </c>
      <c r="K505">
        <v>5</v>
      </c>
      <c r="L505" t="s">
        <v>17</v>
      </c>
      <c r="M505">
        <f>SUM(Pharma_Sales_Data[[#This Row],[M01AB]:[R06]])</f>
        <v>55.134999999999998</v>
      </c>
      <c r="N505" s="2">
        <f>Pharma_Sales_Data[[#This Row],[Total Drug Sales]]*150</f>
        <v>8270.25</v>
      </c>
      <c r="O505" s="2">
        <f>Pharma_Sales_Data[[#This Row],[Total Revenue]]*0.3</f>
        <v>2481.0749999999998</v>
      </c>
      <c r="P505" t="str">
        <f>IF(Pharma_Sales_Data[[#This Row],[Total Revenue]]&gt;20000,"High Value", IF(Pharma_Sales_Data[[#This Row],[Total Revenue]]&gt;=10000,"Medium Value","Low Value"))</f>
        <v>Low Value</v>
      </c>
    </row>
    <row r="506" spans="1:16" x14ac:dyDescent="0.35">
      <c r="A506" s="1">
        <v>42145</v>
      </c>
      <c r="B506">
        <v>6</v>
      </c>
      <c r="C506">
        <v>1.9570000000000001</v>
      </c>
      <c r="D506">
        <v>3</v>
      </c>
      <c r="E506">
        <v>10</v>
      </c>
      <c r="F506">
        <v>5</v>
      </c>
      <c r="G506">
        <v>0</v>
      </c>
      <c r="H506">
        <v>1</v>
      </c>
      <c r="I506">
        <v>3.3</v>
      </c>
      <c r="J506">
        <v>2015</v>
      </c>
      <c r="K506">
        <v>5</v>
      </c>
      <c r="L506" t="s">
        <v>11</v>
      </c>
      <c r="M506">
        <f>SUM(Pharma_Sales_Data[[#This Row],[M01AB]:[R06]])</f>
        <v>30.257000000000001</v>
      </c>
      <c r="N506" s="2">
        <f>Pharma_Sales_Data[[#This Row],[Total Drug Sales]]*150</f>
        <v>4538.55</v>
      </c>
      <c r="O506" s="2">
        <f>Pharma_Sales_Data[[#This Row],[Total Revenue]]*0.3</f>
        <v>1361.5650000000001</v>
      </c>
      <c r="P506" t="str">
        <f>IF(Pharma_Sales_Data[[#This Row],[Total Revenue]]&gt;20000,"High Value", IF(Pharma_Sales_Data[[#This Row],[Total Revenue]]&gt;=10000,"Medium Value","Low Value"))</f>
        <v>Low Value</v>
      </c>
    </row>
    <row r="507" spans="1:16" x14ac:dyDescent="0.35">
      <c r="A507" s="1">
        <v>42146</v>
      </c>
      <c r="B507">
        <v>3</v>
      </c>
      <c r="C507">
        <v>0.19800000000000001</v>
      </c>
      <c r="D507">
        <v>2</v>
      </c>
      <c r="E507">
        <v>15</v>
      </c>
      <c r="F507">
        <v>8</v>
      </c>
      <c r="G507">
        <v>0</v>
      </c>
      <c r="H507">
        <v>0</v>
      </c>
      <c r="I507">
        <v>7</v>
      </c>
      <c r="J507">
        <v>2015</v>
      </c>
      <c r="K507">
        <v>5</v>
      </c>
      <c r="L507" t="s">
        <v>12</v>
      </c>
      <c r="M507">
        <f>SUM(Pharma_Sales_Data[[#This Row],[M01AB]:[R06]])</f>
        <v>35.198</v>
      </c>
      <c r="N507" s="2">
        <f>Pharma_Sales_Data[[#This Row],[Total Drug Sales]]*150</f>
        <v>5279.7</v>
      </c>
      <c r="O507" s="2">
        <f>Pharma_Sales_Data[[#This Row],[Total Revenue]]*0.3</f>
        <v>1583.9099999999999</v>
      </c>
      <c r="P507" t="str">
        <f>IF(Pharma_Sales_Data[[#This Row],[Total Revenue]]&gt;20000,"High Value", IF(Pharma_Sales_Data[[#This Row],[Total Revenue]]&gt;=10000,"Medium Value","Low Value"))</f>
        <v>Low Value</v>
      </c>
    </row>
    <row r="508" spans="1:16" x14ac:dyDescent="0.35">
      <c r="A508" s="1">
        <v>42147</v>
      </c>
      <c r="B508">
        <v>5.68</v>
      </c>
      <c r="C508">
        <v>2.69</v>
      </c>
      <c r="D508">
        <v>5</v>
      </c>
      <c r="E508">
        <v>23.45</v>
      </c>
      <c r="F508">
        <v>10</v>
      </c>
      <c r="G508">
        <v>0</v>
      </c>
      <c r="H508">
        <v>2</v>
      </c>
      <c r="I508">
        <v>7</v>
      </c>
      <c r="J508">
        <v>2015</v>
      </c>
      <c r="K508">
        <v>5</v>
      </c>
      <c r="L508" t="s">
        <v>13</v>
      </c>
      <c r="M508">
        <f>SUM(Pharma_Sales_Data[[#This Row],[M01AB]:[R06]])</f>
        <v>55.82</v>
      </c>
      <c r="N508" s="2">
        <f>Pharma_Sales_Data[[#This Row],[Total Drug Sales]]*150</f>
        <v>8373</v>
      </c>
      <c r="O508" s="2">
        <f>Pharma_Sales_Data[[#This Row],[Total Revenue]]*0.3</f>
        <v>2511.9</v>
      </c>
      <c r="P508" t="str">
        <f>IF(Pharma_Sales_Data[[#This Row],[Total Revenue]]&gt;20000,"High Value", IF(Pharma_Sales_Data[[#This Row],[Total Revenue]]&gt;=10000,"Medium Value","Low Value"))</f>
        <v>Low Value</v>
      </c>
    </row>
    <row r="509" spans="1:16" x14ac:dyDescent="0.35">
      <c r="A509" s="1">
        <v>42148</v>
      </c>
      <c r="B509">
        <v>5.33</v>
      </c>
      <c r="C509">
        <v>7.7690000000000001</v>
      </c>
      <c r="D509">
        <v>3</v>
      </c>
      <c r="E509">
        <v>20</v>
      </c>
      <c r="F509">
        <v>5</v>
      </c>
      <c r="G509">
        <v>0</v>
      </c>
      <c r="H509">
        <v>0</v>
      </c>
      <c r="I509">
        <v>1.3</v>
      </c>
      <c r="J509">
        <v>2015</v>
      </c>
      <c r="K509">
        <v>5</v>
      </c>
      <c r="L509" t="s">
        <v>14</v>
      </c>
      <c r="M509">
        <f>SUM(Pharma_Sales_Data[[#This Row],[M01AB]:[R06]])</f>
        <v>42.399000000000001</v>
      </c>
      <c r="N509" s="2">
        <f>Pharma_Sales_Data[[#This Row],[Total Drug Sales]]*150</f>
        <v>6359.85</v>
      </c>
      <c r="O509" s="2">
        <f>Pharma_Sales_Data[[#This Row],[Total Revenue]]*0.3</f>
        <v>1907.9549999999999</v>
      </c>
      <c r="P509" t="str">
        <f>IF(Pharma_Sales_Data[[#This Row],[Total Revenue]]&gt;20000,"High Value", IF(Pharma_Sales_Data[[#This Row],[Total Revenue]]&gt;=10000,"Medium Value","Low Value"))</f>
        <v>Low Value</v>
      </c>
    </row>
    <row r="510" spans="1:16" x14ac:dyDescent="0.35">
      <c r="A510" s="1">
        <v>42149</v>
      </c>
      <c r="B510">
        <v>9.66</v>
      </c>
      <c r="C510">
        <v>3.33</v>
      </c>
      <c r="D510">
        <v>4</v>
      </c>
      <c r="E510">
        <v>30</v>
      </c>
      <c r="F510">
        <v>11</v>
      </c>
      <c r="G510">
        <v>3</v>
      </c>
      <c r="H510">
        <v>0</v>
      </c>
      <c r="I510">
        <v>3</v>
      </c>
      <c r="J510">
        <v>2015</v>
      </c>
      <c r="K510">
        <v>5</v>
      </c>
      <c r="L510" t="s">
        <v>15</v>
      </c>
      <c r="M510">
        <f>SUM(Pharma_Sales_Data[[#This Row],[M01AB]:[R06]])</f>
        <v>63.99</v>
      </c>
      <c r="N510" s="2">
        <f>Pharma_Sales_Data[[#This Row],[Total Drug Sales]]*150</f>
        <v>9598.5</v>
      </c>
      <c r="O510" s="2">
        <f>Pharma_Sales_Data[[#This Row],[Total Revenue]]*0.3</f>
        <v>2879.5499999999997</v>
      </c>
      <c r="P510" t="str">
        <f>IF(Pharma_Sales_Data[[#This Row],[Total Revenue]]&gt;20000,"High Value", IF(Pharma_Sales_Data[[#This Row],[Total Revenue]]&gt;=10000,"Medium Value","Low Value"))</f>
        <v>Low Value</v>
      </c>
    </row>
    <row r="511" spans="1:16" x14ac:dyDescent="0.35">
      <c r="A511" s="1">
        <v>42150</v>
      </c>
      <c r="B511">
        <v>7.34</v>
      </c>
      <c r="C511">
        <v>3.34</v>
      </c>
      <c r="D511">
        <v>4.5</v>
      </c>
      <c r="E511">
        <v>27</v>
      </c>
      <c r="F511">
        <v>11</v>
      </c>
      <c r="G511">
        <v>0</v>
      </c>
      <c r="H511">
        <v>22</v>
      </c>
      <c r="I511">
        <v>10</v>
      </c>
      <c r="J511">
        <v>2015</v>
      </c>
      <c r="K511">
        <v>5</v>
      </c>
      <c r="L511" t="s">
        <v>16</v>
      </c>
      <c r="M511">
        <f>SUM(Pharma_Sales_Data[[#This Row],[M01AB]:[R06]])</f>
        <v>85.18</v>
      </c>
      <c r="N511" s="2">
        <f>Pharma_Sales_Data[[#This Row],[Total Drug Sales]]*150</f>
        <v>12777.000000000002</v>
      </c>
      <c r="O511" s="2">
        <f>Pharma_Sales_Data[[#This Row],[Total Revenue]]*0.3</f>
        <v>3833.1000000000004</v>
      </c>
      <c r="P511" t="str">
        <f>IF(Pharma_Sales_Data[[#This Row],[Total Revenue]]&gt;20000,"High Value", IF(Pharma_Sales_Data[[#This Row],[Total Revenue]]&gt;=10000,"Medium Value","Low Value"))</f>
        <v>Medium Value</v>
      </c>
    </row>
    <row r="512" spans="1:16" x14ac:dyDescent="0.35">
      <c r="A512" s="1">
        <v>42151</v>
      </c>
      <c r="B512">
        <v>4</v>
      </c>
      <c r="C512">
        <v>2.66</v>
      </c>
      <c r="D512">
        <v>2</v>
      </c>
      <c r="E512">
        <v>24.2</v>
      </c>
      <c r="F512">
        <v>7</v>
      </c>
      <c r="G512">
        <v>0</v>
      </c>
      <c r="H512">
        <v>0</v>
      </c>
      <c r="I512">
        <v>1</v>
      </c>
      <c r="J512">
        <v>2015</v>
      </c>
      <c r="K512">
        <v>5</v>
      </c>
      <c r="L512" t="s">
        <v>17</v>
      </c>
      <c r="M512">
        <f>SUM(Pharma_Sales_Data[[#This Row],[M01AB]:[R06]])</f>
        <v>40.86</v>
      </c>
      <c r="N512" s="2">
        <f>Pharma_Sales_Data[[#This Row],[Total Drug Sales]]*150</f>
        <v>6129</v>
      </c>
      <c r="O512" s="2">
        <f>Pharma_Sales_Data[[#This Row],[Total Revenue]]*0.3</f>
        <v>1838.7</v>
      </c>
      <c r="P512" t="str">
        <f>IF(Pharma_Sales_Data[[#This Row],[Total Revenue]]&gt;20000,"High Value", IF(Pharma_Sales_Data[[#This Row],[Total Revenue]]&gt;=10000,"Medium Value","Low Value"))</f>
        <v>Low Value</v>
      </c>
    </row>
    <row r="513" spans="1:16" x14ac:dyDescent="0.35">
      <c r="A513" s="1">
        <v>42152</v>
      </c>
      <c r="B513">
        <v>6</v>
      </c>
      <c r="C513">
        <v>2.33</v>
      </c>
      <c r="D513">
        <v>6.7</v>
      </c>
      <c r="E513">
        <v>17.100000000000001</v>
      </c>
      <c r="F513">
        <v>3</v>
      </c>
      <c r="G513">
        <v>0</v>
      </c>
      <c r="H513">
        <v>20</v>
      </c>
      <c r="I513">
        <v>3</v>
      </c>
      <c r="J513">
        <v>2015</v>
      </c>
      <c r="K513">
        <v>5</v>
      </c>
      <c r="L513" t="s">
        <v>11</v>
      </c>
      <c r="M513">
        <f>SUM(Pharma_Sales_Data[[#This Row],[M01AB]:[R06]])</f>
        <v>58.13</v>
      </c>
      <c r="N513" s="2">
        <f>Pharma_Sales_Data[[#This Row],[Total Drug Sales]]*150</f>
        <v>8719.5</v>
      </c>
      <c r="O513" s="2">
        <f>Pharma_Sales_Data[[#This Row],[Total Revenue]]*0.3</f>
        <v>2615.85</v>
      </c>
      <c r="P513" t="str">
        <f>IF(Pharma_Sales_Data[[#This Row],[Total Revenue]]&gt;20000,"High Value", IF(Pharma_Sales_Data[[#This Row],[Total Revenue]]&gt;=10000,"Medium Value","Low Value"))</f>
        <v>Low Value</v>
      </c>
    </row>
    <row r="514" spans="1:16" x14ac:dyDescent="0.35">
      <c r="A514" s="1">
        <v>42153</v>
      </c>
      <c r="B514">
        <v>6.33</v>
      </c>
      <c r="C514">
        <v>5.01</v>
      </c>
      <c r="D514">
        <v>3</v>
      </c>
      <c r="E514">
        <v>41.8</v>
      </c>
      <c r="F514">
        <v>6</v>
      </c>
      <c r="G514">
        <v>0</v>
      </c>
      <c r="H514">
        <v>5</v>
      </c>
      <c r="I514">
        <v>3</v>
      </c>
      <c r="J514">
        <v>2015</v>
      </c>
      <c r="K514">
        <v>5</v>
      </c>
      <c r="L514" t="s">
        <v>12</v>
      </c>
      <c r="M514">
        <f>SUM(Pharma_Sales_Data[[#This Row],[M01AB]:[R06]])</f>
        <v>70.14</v>
      </c>
      <c r="N514" s="2">
        <f>Pharma_Sales_Data[[#This Row],[Total Drug Sales]]*150</f>
        <v>10521</v>
      </c>
      <c r="O514" s="2">
        <f>Pharma_Sales_Data[[#This Row],[Total Revenue]]*0.3</f>
        <v>3156.2999999999997</v>
      </c>
      <c r="P514" t="str">
        <f>IF(Pharma_Sales_Data[[#This Row],[Total Revenue]]&gt;20000,"High Value", IF(Pharma_Sales_Data[[#This Row],[Total Revenue]]&gt;=10000,"Medium Value","Low Value"))</f>
        <v>Medium Value</v>
      </c>
    </row>
    <row r="515" spans="1:16" x14ac:dyDescent="0.35">
      <c r="A515" s="1">
        <v>42154</v>
      </c>
      <c r="B515">
        <v>14</v>
      </c>
      <c r="C515">
        <v>2.68</v>
      </c>
      <c r="D515">
        <v>6</v>
      </c>
      <c r="E515">
        <v>24.5</v>
      </c>
      <c r="F515">
        <v>4</v>
      </c>
      <c r="G515">
        <v>0</v>
      </c>
      <c r="H515">
        <v>4</v>
      </c>
      <c r="I515">
        <v>8</v>
      </c>
      <c r="J515">
        <v>2015</v>
      </c>
      <c r="K515">
        <v>5</v>
      </c>
      <c r="L515" t="s">
        <v>13</v>
      </c>
      <c r="M515">
        <f>SUM(Pharma_Sales_Data[[#This Row],[M01AB]:[R06]])</f>
        <v>63.18</v>
      </c>
      <c r="N515" s="2">
        <f>Pharma_Sales_Data[[#This Row],[Total Drug Sales]]*150</f>
        <v>9477</v>
      </c>
      <c r="O515" s="2">
        <f>Pharma_Sales_Data[[#This Row],[Total Revenue]]*0.3</f>
        <v>2843.1</v>
      </c>
      <c r="P515" t="str">
        <f>IF(Pharma_Sales_Data[[#This Row],[Total Revenue]]&gt;20000,"High Value", IF(Pharma_Sales_Data[[#This Row],[Total Revenue]]&gt;=10000,"Medium Value","Low Value"))</f>
        <v>Low Value</v>
      </c>
    </row>
    <row r="516" spans="1:16" x14ac:dyDescent="0.35">
      <c r="A516" s="1">
        <v>42155</v>
      </c>
      <c r="B516">
        <v>3</v>
      </c>
      <c r="C516">
        <v>4.6970000000000001</v>
      </c>
      <c r="D516">
        <v>6.3</v>
      </c>
      <c r="E516">
        <v>31.5</v>
      </c>
      <c r="F516">
        <v>2</v>
      </c>
      <c r="G516">
        <v>0</v>
      </c>
      <c r="H516">
        <v>0</v>
      </c>
      <c r="I516">
        <v>10.5</v>
      </c>
      <c r="J516">
        <v>2015</v>
      </c>
      <c r="K516">
        <v>5</v>
      </c>
      <c r="L516" t="s">
        <v>14</v>
      </c>
      <c r="M516">
        <f>SUM(Pharma_Sales_Data[[#This Row],[M01AB]:[R06]])</f>
        <v>57.997</v>
      </c>
      <c r="N516" s="2">
        <f>Pharma_Sales_Data[[#This Row],[Total Drug Sales]]*150</f>
        <v>8699.5499999999993</v>
      </c>
      <c r="O516" s="2">
        <f>Pharma_Sales_Data[[#This Row],[Total Revenue]]*0.3</f>
        <v>2609.8649999999998</v>
      </c>
      <c r="P516" t="str">
        <f>IF(Pharma_Sales_Data[[#This Row],[Total Revenue]]&gt;20000,"High Value", IF(Pharma_Sales_Data[[#This Row],[Total Revenue]]&gt;=10000,"Medium Value","Low Value"))</f>
        <v>Low Value</v>
      </c>
    </row>
    <row r="517" spans="1:16" x14ac:dyDescent="0.35">
      <c r="A517" s="1">
        <v>42156</v>
      </c>
      <c r="B517">
        <v>4.66</v>
      </c>
      <c r="C517">
        <v>5</v>
      </c>
      <c r="D517">
        <v>2.5</v>
      </c>
      <c r="E517">
        <v>23.55</v>
      </c>
      <c r="F517">
        <v>12</v>
      </c>
      <c r="G517">
        <v>0</v>
      </c>
      <c r="H517">
        <v>2</v>
      </c>
      <c r="I517">
        <v>3</v>
      </c>
      <c r="J517">
        <v>2015</v>
      </c>
      <c r="K517">
        <v>6</v>
      </c>
      <c r="L517" t="s">
        <v>15</v>
      </c>
      <c r="M517">
        <f>SUM(Pharma_Sales_Data[[#This Row],[M01AB]:[R06]])</f>
        <v>52.71</v>
      </c>
      <c r="N517" s="2">
        <f>Pharma_Sales_Data[[#This Row],[Total Drug Sales]]*150</f>
        <v>7906.5</v>
      </c>
      <c r="O517" s="2">
        <f>Pharma_Sales_Data[[#This Row],[Total Revenue]]*0.3</f>
        <v>2371.9499999999998</v>
      </c>
      <c r="P517" t="str">
        <f>IF(Pharma_Sales_Data[[#This Row],[Total Revenue]]&gt;20000,"High Value", IF(Pharma_Sales_Data[[#This Row],[Total Revenue]]&gt;=10000,"Medium Value","Low Value"))</f>
        <v>Low Value</v>
      </c>
    </row>
    <row r="518" spans="1:16" x14ac:dyDescent="0.35">
      <c r="A518" s="1">
        <v>42157</v>
      </c>
      <c r="B518">
        <v>8.33</v>
      </c>
      <c r="C518">
        <v>8</v>
      </c>
      <c r="D518">
        <v>7.9</v>
      </c>
      <c r="E518">
        <v>24</v>
      </c>
      <c r="F518">
        <v>10</v>
      </c>
      <c r="G518">
        <v>4</v>
      </c>
      <c r="H518">
        <v>3</v>
      </c>
      <c r="I518">
        <v>6</v>
      </c>
      <c r="J518">
        <v>2015</v>
      </c>
      <c r="K518">
        <v>6</v>
      </c>
      <c r="L518" t="s">
        <v>16</v>
      </c>
      <c r="M518">
        <f>SUM(Pharma_Sales_Data[[#This Row],[M01AB]:[R06]])</f>
        <v>71.22999999999999</v>
      </c>
      <c r="N518" s="2">
        <f>Pharma_Sales_Data[[#This Row],[Total Drug Sales]]*150</f>
        <v>10684.499999999998</v>
      </c>
      <c r="O518" s="2">
        <f>Pharma_Sales_Data[[#This Row],[Total Revenue]]*0.3</f>
        <v>3205.3499999999995</v>
      </c>
      <c r="P518" t="str">
        <f>IF(Pharma_Sales_Data[[#This Row],[Total Revenue]]&gt;20000,"High Value", IF(Pharma_Sales_Data[[#This Row],[Total Revenue]]&gt;=10000,"Medium Value","Low Value"))</f>
        <v>Medium Value</v>
      </c>
    </row>
    <row r="519" spans="1:16" x14ac:dyDescent="0.35">
      <c r="A519" s="1">
        <v>42158</v>
      </c>
      <c r="B519">
        <v>5</v>
      </c>
      <c r="C519">
        <v>1.66</v>
      </c>
      <c r="D519">
        <v>5.3</v>
      </c>
      <c r="E519">
        <v>30</v>
      </c>
      <c r="F519">
        <v>9</v>
      </c>
      <c r="G519">
        <v>0</v>
      </c>
      <c r="H519">
        <v>6</v>
      </c>
      <c r="I519">
        <v>2</v>
      </c>
      <c r="J519">
        <v>2015</v>
      </c>
      <c r="K519">
        <v>6</v>
      </c>
      <c r="L519" t="s">
        <v>17</v>
      </c>
      <c r="M519">
        <f>SUM(Pharma_Sales_Data[[#This Row],[M01AB]:[R06]])</f>
        <v>58.96</v>
      </c>
      <c r="N519" s="2">
        <f>Pharma_Sales_Data[[#This Row],[Total Drug Sales]]*150</f>
        <v>8844</v>
      </c>
      <c r="O519" s="2">
        <f>Pharma_Sales_Data[[#This Row],[Total Revenue]]*0.3</f>
        <v>2653.2</v>
      </c>
      <c r="P519" t="str">
        <f>IF(Pharma_Sales_Data[[#This Row],[Total Revenue]]&gt;20000,"High Value", IF(Pharma_Sales_Data[[#This Row],[Total Revenue]]&gt;=10000,"Medium Value","Low Value"))</f>
        <v>Low Value</v>
      </c>
    </row>
    <row r="520" spans="1:16" x14ac:dyDescent="0.35">
      <c r="A520" s="1">
        <v>42159</v>
      </c>
      <c r="B520">
        <v>2.33</v>
      </c>
      <c r="C520">
        <v>4</v>
      </c>
      <c r="D520">
        <v>3</v>
      </c>
      <c r="E520">
        <v>20</v>
      </c>
      <c r="F520">
        <v>5</v>
      </c>
      <c r="G520">
        <v>0</v>
      </c>
      <c r="H520">
        <v>2</v>
      </c>
      <c r="I520">
        <v>2</v>
      </c>
      <c r="J520">
        <v>2015</v>
      </c>
      <c r="K520">
        <v>6</v>
      </c>
      <c r="L520" t="s">
        <v>11</v>
      </c>
      <c r="M520">
        <f>SUM(Pharma_Sales_Data[[#This Row],[M01AB]:[R06]])</f>
        <v>38.33</v>
      </c>
      <c r="N520" s="2">
        <f>Pharma_Sales_Data[[#This Row],[Total Drug Sales]]*150</f>
        <v>5749.5</v>
      </c>
      <c r="O520" s="2">
        <f>Pharma_Sales_Data[[#This Row],[Total Revenue]]*0.3</f>
        <v>1724.85</v>
      </c>
      <c r="P520" t="str">
        <f>IF(Pharma_Sales_Data[[#This Row],[Total Revenue]]&gt;20000,"High Value", IF(Pharma_Sales_Data[[#This Row],[Total Revenue]]&gt;=10000,"Medium Value","Low Value"))</f>
        <v>Low Value</v>
      </c>
    </row>
    <row r="521" spans="1:16" x14ac:dyDescent="0.35">
      <c r="A521" s="1">
        <v>42160</v>
      </c>
      <c r="B521">
        <v>5</v>
      </c>
      <c r="C521">
        <v>0.67</v>
      </c>
      <c r="D521">
        <v>5</v>
      </c>
      <c r="E521">
        <v>13</v>
      </c>
      <c r="F521">
        <v>6</v>
      </c>
      <c r="G521">
        <v>0</v>
      </c>
      <c r="H521">
        <v>1</v>
      </c>
      <c r="I521">
        <v>7</v>
      </c>
      <c r="J521">
        <v>2015</v>
      </c>
      <c r="K521">
        <v>6</v>
      </c>
      <c r="L521" t="s">
        <v>12</v>
      </c>
      <c r="M521">
        <f>SUM(Pharma_Sales_Data[[#This Row],[M01AB]:[R06]])</f>
        <v>37.67</v>
      </c>
      <c r="N521" s="2">
        <f>Pharma_Sales_Data[[#This Row],[Total Drug Sales]]*150</f>
        <v>5650.5</v>
      </c>
      <c r="O521" s="2">
        <f>Pharma_Sales_Data[[#This Row],[Total Revenue]]*0.3</f>
        <v>1695.1499999999999</v>
      </c>
      <c r="P521" t="str">
        <f>IF(Pharma_Sales_Data[[#This Row],[Total Revenue]]&gt;20000,"High Value", IF(Pharma_Sales_Data[[#This Row],[Total Revenue]]&gt;=10000,"Medium Value","Low Value"))</f>
        <v>Low Value</v>
      </c>
    </row>
    <row r="522" spans="1:16" x14ac:dyDescent="0.35">
      <c r="A522" s="1">
        <v>42161</v>
      </c>
      <c r="B522">
        <v>3.68</v>
      </c>
      <c r="C522">
        <v>3.68</v>
      </c>
      <c r="D522">
        <v>2</v>
      </c>
      <c r="E522">
        <v>16</v>
      </c>
      <c r="F522">
        <v>6</v>
      </c>
      <c r="G522">
        <v>0</v>
      </c>
      <c r="H522">
        <v>17</v>
      </c>
      <c r="I522">
        <v>2</v>
      </c>
      <c r="J522">
        <v>2015</v>
      </c>
      <c r="K522">
        <v>6</v>
      </c>
      <c r="L522" t="s">
        <v>13</v>
      </c>
      <c r="M522">
        <f>SUM(Pharma_Sales_Data[[#This Row],[M01AB]:[R06]])</f>
        <v>50.36</v>
      </c>
      <c r="N522" s="2">
        <f>Pharma_Sales_Data[[#This Row],[Total Drug Sales]]*150</f>
        <v>7554</v>
      </c>
      <c r="O522" s="2">
        <f>Pharma_Sales_Data[[#This Row],[Total Revenue]]*0.3</f>
        <v>2266.1999999999998</v>
      </c>
      <c r="P522" t="str">
        <f>IF(Pharma_Sales_Data[[#This Row],[Total Revenue]]&gt;20000,"High Value", IF(Pharma_Sales_Data[[#This Row],[Total Revenue]]&gt;=10000,"Medium Value","Low Value"))</f>
        <v>Low Value</v>
      </c>
    </row>
    <row r="523" spans="1:16" x14ac:dyDescent="0.35">
      <c r="A523" s="1">
        <v>42162</v>
      </c>
      <c r="B523">
        <v>6.34</v>
      </c>
      <c r="C523">
        <v>5.01</v>
      </c>
      <c r="D523">
        <v>2</v>
      </c>
      <c r="E523">
        <v>17</v>
      </c>
      <c r="F523">
        <v>6</v>
      </c>
      <c r="G523">
        <v>1</v>
      </c>
      <c r="H523">
        <v>22</v>
      </c>
      <c r="I523">
        <v>6</v>
      </c>
      <c r="J523">
        <v>2015</v>
      </c>
      <c r="K523">
        <v>6</v>
      </c>
      <c r="L523" t="s">
        <v>14</v>
      </c>
      <c r="M523">
        <f>SUM(Pharma_Sales_Data[[#This Row],[M01AB]:[R06]])</f>
        <v>65.349999999999994</v>
      </c>
      <c r="N523" s="2">
        <f>Pharma_Sales_Data[[#This Row],[Total Drug Sales]]*150</f>
        <v>9802.5</v>
      </c>
      <c r="O523" s="2">
        <f>Pharma_Sales_Data[[#This Row],[Total Revenue]]*0.3</f>
        <v>2940.75</v>
      </c>
      <c r="P523" t="str">
        <f>IF(Pharma_Sales_Data[[#This Row],[Total Revenue]]&gt;20000,"High Value", IF(Pharma_Sales_Data[[#This Row],[Total Revenue]]&gt;=10000,"Medium Value","Low Value"))</f>
        <v>Low Value</v>
      </c>
    </row>
    <row r="524" spans="1:16" x14ac:dyDescent="0.35">
      <c r="A524" s="1">
        <v>42163</v>
      </c>
      <c r="B524">
        <v>6</v>
      </c>
      <c r="C524">
        <v>5.66</v>
      </c>
      <c r="D524">
        <v>2.5</v>
      </c>
      <c r="E524">
        <v>31</v>
      </c>
      <c r="F524">
        <v>10</v>
      </c>
      <c r="G524">
        <v>1</v>
      </c>
      <c r="H524">
        <v>3</v>
      </c>
      <c r="I524">
        <v>7</v>
      </c>
      <c r="J524">
        <v>2015</v>
      </c>
      <c r="K524">
        <v>6</v>
      </c>
      <c r="L524" t="s">
        <v>15</v>
      </c>
      <c r="M524">
        <f>SUM(Pharma_Sales_Data[[#This Row],[M01AB]:[R06]])</f>
        <v>66.16</v>
      </c>
      <c r="N524" s="2">
        <f>Pharma_Sales_Data[[#This Row],[Total Drug Sales]]*150</f>
        <v>9924</v>
      </c>
      <c r="O524" s="2">
        <f>Pharma_Sales_Data[[#This Row],[Total Revenue]]*0.3</f>
        <v>2977.2</v>
      </c>
      <c r="P524" t="str">
        <f>IF(Pharma_Sales_Data[[#This Row],[Total Revenue]]&gt;20000,"High Value", IF(Pharma_Sales_Data[[#This Row],[Total Revenue]]&gt;=10000,"Medium Value","Low Value"))</f>
        <v>Low Value</v>
      </c>
    </row>
    <row r="525" spans="1:16" x14ac:dyDescent="0.35">
      <c r="A525" s="1">
        <v>42164</v>
      </c>
      <c r="B525">
        <v>3</v>
      </c>
      <c r="C525">
        <v>4</v>
      </c>
      <c r="D525">
        <v>4</v>
      </c>
      <c r="E525">
        <v>26.6</v>
      </c>
      <c r="F525">
        <v>14</v>
      </c>
      <c r="G525">
        <v>0</v>
      </c>
      <c r="H525">
        <v>0</v>
      </c>
      <c r="I525">
        <v>4.5999999999999996</v>
      </c>
      <c r="J525">
        <v>2015</v>
      </c>
      <c r="K525">
        <v>6</v>
      </c>
      <c r="L525" t="s">
        <v>16</v>
      </c>
      <c r="M525">
        <f>SUM(Pharma_Sales_Data[[#This Row],[M01AB]:[R06]])</f>
        <v>56.2</v>
      </c>
      <c r="N525" s="2">
        <f>Pharma_Sales_Data[[#This Row],[Total Drug Sales]]*150</f>
        <v>8430</v>
      </c>
      <c r="O525" s="2">
        <f>Pharma_Sales_Data[[#This Row],[Total Revenue]]*0.3</f>
        <v>2529</v>
      </c>
      <c r="P525" t="str">
        <f>IF(Pharma_Sales_Data[[#This Row],[Total Revenue]]&gt;20000,"High Value", IF(Pharma_Sales_Data[[#This Row],[Total Revenue]]&gt;=10000,"Medium Value","Low Value"))</f>
        <v>Low Value</v>
      </c>
    </row>
    <row r="526" spans="1:16" x14ac:dyDescent="0.35">
      <c r="A526" s="1">
        <v>42165</v>
      </c>
      <c r="B526">
        <v>4.34</v>
      </c>
      <c r="C526">
        <v>3.01</v>
      </c>
      <c r="D526">
        <v>8</v>
      </c>
      <c r="E526">
        <v>18.675999999999998</v>
      </c>
      <c r="F526">
        <v>6</v>
      </c>
      <c r="G526">
        <v>0</v>
      </c>
      <c r="H526">
        <v>7</v>
      </c>
      <c r="I526">
        <v>2</v>
      </c>
      <c r="J526">
        <v>2015</v>
      </c>
      <c r="K526">
        <v>6</v>
      </c>
      <c r="L526" t="s">
        <v>17</v>
      </c>
      <c r="M526">
        <f>SUM(Pharma_Sales_Data[[#This Row],[M01AB]:[R06]])</f>
        <v>49.025999999999996</v>
      </c>
      <c r="N526" s="2">
        <f>Pharma_Sales_Data[[#This Row],[Total Drug Sales]]*150</f>
        <v>7353.9</v>
      </c>
      <c r="O526" s="2">
        <f>Pharma_Sales_Data[[#This Row],[Total Revenue]]*0.3</f>
        <v>2206.1699999999996</v>
      </c>
      <c r="P526" t="str">
        <f>IF(Pharma_Sales_Data[[#This Row],[Total Revenue]]&gt;20000,"High Value", IF(Pharma_Sales_Data[[#This Row],[Total Revenue]]&gt;=10000,"Medium Value","Low Value"))</f>
        <v>Low Value</v>
      </c>
    </row>
    <row r="527" spans="1:16" x14ac:dyDescent="0.35">
      <c r="A527" s="1">
        <v>42166</v>
      </c>
      <c r="B527">
        <v>6</v>
      </c>
      <c r="C527">
        <v>2.33</v>
      </c>
      <c r="D527">
        <v>5.0999999999999996</v>
      </c>
      <c r="E527">
        <v>38.299999999999997</v>
      </c>
      <c r="F527">
        <v>11</v>
      </c>
      <c r="G527">
        <v>0</v>
      </c>
      <c r="H527">
        <v>1</v>
      </c>
      <c r="I527">
        <v>3</v>
      </c>
      <c r="J527">
        <v>2015</v>
      </c>
      <c r="K527">
        <v>6</v>
      </c>
      <c r="L527" t="s">
        <v>11</v>
      </c>
      <c r="M527">
        <f>SUM(Pharma_Sales_Data[[#This Row],[M01AB]:[R06]])</f>
        <v>66.72999999999999</v>
      </c>
      <c r="N527" s="2">
        <f>Pharma_Sales_Data[[#This Row],[Total Drug Sales]]*150</f>
        <v>10009.499999999998</v>
      </c>
      <c r="O527" s="2">
        <f>Pharma_Sales_Data[[#This Row],[Total Revenue]]*0.3</f>
        <v>3002.8499999999995</v>
      </c>
      <c r="P527" t="str">
        <f>IF(Pharma_Sales_Data[[#This Row],[Total Revenue]]&gt;20000,"High Value", IF(Pharma_Sales_Data[[#This Row],[Total Revenue]]&gt;=10000,"Medium Value","Low Value"))</f>
        <v>Medium Value</v>
      </c>
    </row>
    <row r="528" spans="1:16" x14ac:dyDescent="0.35">
      <c r="A528" s="1">
        <v>42167</v>
      </c>
      <c r="B528">
        <v>1.67</v>
      </c>
      <c r="C528">
        <v>1.66</v>
      </c>
      <c r="D528">
        <v>2</v>
      </c>
      <c r="E528">
        <v>17.5</v>
      </c>
      <c r="F528">
        <v>2</v>
      </c>
      <c r="G528">
        <v>2</v>
      </c>
      <c r="H528">
        <v>0</v>
      </c>
      <c r="I528">
        <v>5</v>
      </c>
      <c r="J528">
        <v>2015</v>
      </c>
      <c r="K528">
        <v>6</v>
      </c>
      <c r="L528" t="s">
        <v>12</v>
      </c>
      <c r="M528">
        <f>SUM(Pharma_Sales_Data[[#This Row],[M01AB]:[R06]])</f>
        <v>31.83</v>
      </c>
      <c r="N528" s="2">
        <f>Pharma_Sales_Data[[#This Row],[Total Drug Sales]]*150</f>
        <v>4774.5</v>
      </c>
      <c r="O528" s="2">
        <f>Pharma_Sales_Data[[#This Row],[Total Revenue]]*0.3</f>
        <v>1432.35</v>
      </c>
      <c r="P528" t="str">
        <f>IF(Pharma_Sales_Data[[#This Row],[Total Revenue]]&gt;20000,"High Value", IF(Pharma_Sales_Data[[#This Row],[Total Revenue]]&gt;=10000,"Medium Value","Low Value"))</f>
        <v>Low Value</v>
      </c>
    </row>
    <row r="529" spans="1:16" x14ac:dyDescent="0.35">
      <c r="A529" s="1">
        <v>42168</v>
      </c>
      <c r="B529">
        <v>2.33</v>
      </c>
      <c r="C529">
        <v>4.66</v>
      </c>
      <c r="D529">
        <v>7.3</v>
      </c>
      <c r="E529">
        <v>21.4</v>
      </c>
      <c r="F529">
        <v>6</v>
      </c>
      <c r="G529">
        <v>0</v>
      </c>
      <c r="H529">
        <v>12</v>
      </c>
      <c r="I529">
        <v>4</v>
      </c>
      <c r="J529">
        <v>2015</v>
      </c>
      <c r="K529">
        <v>6</v>
      </c>
      <c r="L529" t="s">
        <v>13</v>
      </c>
      <c r="M529">
        <f>SUM(Pharma_Sales_Data[[#This Row],[M01AB]:[R06]])</f>
        <v>57.69</v>
      </c>
      <c r="N529" s="2">
        <f>Pharma_Sales_Data[[#This Row],[Total Drug Sales]]*150</f>
        <v>8653.5</v>
      </c>
      <c r="O529" s="2">
        <f>Pharma_Sales_Data[[#This Row],[Total Revenue]]*0.3</f>
        <v>2596.0499999999997</v>
      </c>
      <c r="P529" t="str">
        <f>IF(Pharma_Sales_Data[[#This Row],[Total Revenue]]&gt;20000,"High Value", IF(Pharma_Sales_Data[[#This Row],[Total Revenue]]&gt;=10000,"Medium Value","Low Value"))</f>
        <v>Low Value</v>
      </c>
    </row>
    <row r="530" spans="1:16" x14ac:dyDescent="0.35">
      <c r="A530" s="1">
        <v>42169</v>
      </c>
      <c r="B530">
        <v>5</v>
      </c>
      <c r="C530">
        <v>3.67</v>
      </c>
      <c r="D530">
        <v>1.6</v>
      </c>
      <c r="E530">
        <v>14</v>
      </c>
      <c r="F530">
        <v>6</v>
      </c>
      <c r="G530">
        <v>0</v>
      </c>
      <c r="H530">
        <v>3</v>
      </c>
      <c r="I530">
        <v>2</v>
      </c>
      <c r="J530">
        <v>2015</v>
      </c>
      <c r="K530">
        <v>6</v>
      </c>
      <c r="L530" t="s">
        <v>14</v>
      </c>
      <c r="M530">
        <f>SUM(Pharma_Sales_Data[[#This Row],[M01AB]:[R06]])</f>
        <v>35.269999999999996</v>
      </c>
      <c r="N530" s="2">
        <f>Pharma_Sales_Data[[#This Row],[Total Drug Sales]]*150</f>
        <v>5290.4999999999991</v>
      </c>
      <c r="O530" s="2">
        <f>Pharma_Sales_Data[[#This Row],[Total Revenue]]*0.3</f>
        <v>1587.1499999999996</v>
      </c>
      <c r="P530" t="str">
        <f>IF(Pharma_Sales_Data[[#This Row],[Total Revenue]]&gt;20000,"High Value", IF(Pharma_Sales_Data[[#This Row],[Total Revenue]]&gt;=10000,"Medium Value","Low Value"))</f>
        <v>Low Value</v>
      </c>
    </row>
    <row r="531" spans="1:16" x14ac:dyDescent="0.35">
      <c r="A531" s="1">
        <v>42170</v>
      </c>
      <c r="B531">
        <v>4</v>
      </c>
      <c r="C531">
        <v>3.36</v>
      </c>
      <c r="D531">
        <v>5</v>
      </c>
      <c r="E531">
        <v>37</v>
      </c>
      <c r="F531">
        <v>9</v>
      </c>
      <c r="G531">
        <v>0</v>
      </c>
      <c r="H531">
        <v>6</v>
      </c>
      <c r="I531">
        <v>9</v>
      </c>
      <c r="J531">
        <v>2015</v>
      </c>
      <c r="K531">
        <v>6</v>
      </c>
      <c r="L531" t="s">
        <v>15</v>
      </c>
      <c r="M531">
        <f>SUM(Pharma_Sales_Data[[#This Row],[M01AB]:[R06]])</f>
        <v>73.36</v>
      </c>
      <c r="N531" s="2">
        <f>Pharma_Sales_Data[[#This Row],[Total Drug Sales]]*150</f>
        <v>11004</v>
      </c>
      <c r="O531" s="2">
        <f>Pharma_Sales_Data[[#This Row],[Total Revenue]]*0.3</f>
        <v>3301.2</v>
      </c>
      <c r="P531" t="str">
        <f>IF(Pharma_Sales_Data[[#This Row],[Total Revenue]]&gt;20000,"High Value", IF(Pharma_Sales_Data[[#This Row],[Total Revenue]]&gt;=10000,"Medium Value","Low Value"))</f>
        <v>Medium Value</v>
      </c>
    </row>
    <row r="532" spans="1:16" x14ac:dyDescent="0.35">
      <c r="A532" s="1">
        <v>42171</v>
      </c>
      <c r="B532">
        <v>7</v>
      </c>
      <c r="C532">
        <v>3.34</v>
      </c>
      <c r="D532">
        <v>4</v>
      </c>
      <c r="E532">
        <v>20</v>
      </c>
      <c r="F532">
        <v>6</v>
      </c>
      <c r="G532">
        <v>0</v>
      </c>
      <c r="H532">
        <v>8</v>
      </c>
      <c r="I532">
        <v>5</v>
      </c>
      <c r="J532">
        <v>2015</v>
      </c>
      <c r="K532">
        <v>6</v>
      </c>
      <c r="L532" t="s">
        <v>16</v>
      </c>
      <c r="M532">
        <f>SUM(Pharma_Sales_Data[[#This Row],[M01AB]:[R06]])</f>
        <v>53.34</v>
      </c>
      <c r="N532" s="2">
        <f>Pharma_Sales_Data[[#This Row],[Total Drug Sales]]*150</f>
        <v>8001.0000000000009</v>
      </c>
      <c r="O532" s="2">
        <f>Pharma_Sales_Data[[#This Row],[Total Revenue]]*0.3</f>
        <v>2400.3000000000002</v>
      </c>
      <c r="P532" t="str">
        <f>IF(Pharma_Sales_Data[[#This Row],[Total Revenue]]&gt;20000,"High Value", IF(Pharma_Sales_Data[[#This Row],[Total Revenue]]&gt;=10000,"Medium Value","Low Value"))</f>
        <v>Low Value</v>
      </c>
    </row>
    <row r="533" spans="1:16" x14ac:dyDescent="0.35">
      <c r="A533" s="1">
        <v>42172</v>
      </c>
      <c r="B533">
        <v>3.66</v>
      </c>
      <c r="C533">
        <v>3.32</v>
      </c>
      <c r="D533">
        <v>8.66</v>
      </c>
      <c r="E533">
        <v>24</v>
      </c>
      <c r="F533">
        <v>10</v>
      </c>
      <c r="G533">
        <v>1</v>
      </c>
      <c r="H533">
        <v>20</v>
      </c>
      <c r="I533">
        <v>2</v>
      </c>
      <c r="J533">
        <v>2015</v>
      </c>
      <c r="K533">
        <v>6</v>
      </c>
      <c r="L533" t="s">
        <v>17</v>
      </c>
      <c r="M533">
        <f>SUM(Pharma_Sales_Data[[#This Row],[M01AB]:[R06]])</f>
        <v>72.64</v>
      </c>
      <c r="N533" s="2">
        <f>Pharma_Sales_Data[[#This Row],[Total Drug Sales]]*150</f>
        <v>10896</v>
      </c>
      <c r="O533" s="2">
        <f>Pharma_Sales_Data[[#This Row],[Total Revenue]]*0.3</f>
        <v>3268.7999999999997</v>
      </c>
      <c r="P533" t="str">
        <f>IF(Pharma_Sales_Data[[#This Row],[Total Revenue]]&gt;20000,"High Value", IF(Pharma_Sales_Data[[#This Row],[Total Revenue]]&gt;=10000,"Medium Value","Low Value"))</f>
        <v>Medium Value</v>
      </c>
    </row>
    <row r="534" spans="1:16" x14ac:dyDescent="0.35">
      <c r="A534" s="1">
        <v>42173</v>
      </c>
      <c r="B534">
        <v>3</v>
      </c>
      <c r="C534">
        <v>5.33</v>
      </c>
      <c r="D534">
        <v>7</v>
      </c>
      <c r="E534">
        <v>24.6</v>
      </c>
      <c r="F534">
        <v>4</v>
      </c>
      <c r="G534">
        <v>0</v>
      </c>
      <c r="H534">
        <v>23</v>
      </c>
      <c r="I534">
        <v>3.6</v>
      </c>
      <c r="J534">
        <v>2015</v>
      </c>
      <c r="K534">
        <v>6</v>
      </c>
      <c r="L534" t="s">
        <v>11</v>
      </c>
      <c r="M534">
        <f>SUM(Pharma_Sales_Data[[#This Row],[M01AB]:[R06]])</f>
        <v>70.53</v>
      </c>
      <c r="N534" s="2">
        <f>Pharma_Sales_Data[[#This Row],[Total Drug Sales]]*150</f>
        <v>10579.5</v>
      </c>
      <c r="O534" s="2">
        <f>Pharma_Sales_Data[[#This Row],[Total Revenue]]*0.3</f>
        <v>3173.85</v>
      </c>
      <c r="P534" t="str">
        <f>IF(Pharma_Sales_Data[[#This Row],[Total Revenue]]&gt;20000,"High Value", IF(Pharma_Sales_Data[[#This Row],[Total Revenue]]&gt;=10000,"Medium Value","Low Value"))</f>
        <v>Medium Value</v>
      </c>
    </row>
    <row r="535" spans="1:16" x14ac:dyDescent="0.35">
      <c r="A535" s="1">
        <v>42174</v>
      </c>
      <c r="B535">
        <v>5.33</v>
      </c>
      <c r="C535">
        <v>4.01</v>
      </c>
      <c r="D535">
        <v>3.1</v>
      </c>
      <c r="E535">
        <v>24</v>
      </c>
      <c r="F535">
        <v>13</v>
      </c>
      <c r="G535">
        <v>2</v>
      </c>
      <c r="H535">
        <v>10</v>
      </c>
      <c r="I535">
        <v>6.3</v>
      </c>
      <c r="J535">
        <v>2015</v>
      </c>
      <c r="K535">
        <v>6</v>
      </c>
      <c r="L535" t="s">
        <v>12</v>
      </c>
      <c r="M535">
        <f>SUM(Pharma_Sales_Data[[#This Row],[M01AB]:[R06]])</f>
        <v>67.739999999999995</v>
      </c>
      <c r="N535" s="2">
        <f>Pharma_Sales_Data[[#This Row],[Total Drug Sales]]*150</f>
        <v>10161</v>
      </c>
      <c r="O535" s="2">
        <f>Pharma_Sales_Data[[#This Row],[Total Revenue]]*0.3</f>
        <v>3048.2999999999997</v>
      </c>
      <c r="P535" t="str">
        <f>IF(Pharma_Sales_Data[[#This Row],[Total Revenue]]&gt;20000,"High Value", IF(Pharma_Sales_Data[[#This Row],[Total Revenue]]&gt;=10000,"Medium Value","Low Value"))</f>
        <v>Medium Value</v>
      </c>
    </row>
    <row r="536" spans="1:16" x14ac:dyDescent="0.35">
      <c r="A536" s="1">
        <v>42175</v>
      </c>
      <c r="B536">
        <v>9.34</v>
      </c>
      <c r="C536">
        <v>3</v>
      </c>
      <c r="D536">
        <v>3</v>
      </c>
      <c r="E536">
        <v>26.8</v>
      </c>
      <c r="F536">
        <v>5</v>
      </c>
      <c r="G536">
        <v>0</v>
      </c>
      <c r="H536">
        <v>10</v>
      </c>
      <c r="I536">
        <v>7</v>
      </c>
      <c r="J536">
        <v>2015</v>
      </c>
      <c r="K536">
        <v>6</v>
      </c>
      <c r="L536" t="s">
        <v>13</v>
      </c>
      <c r="M536">
        <f>SUM(Pharma_Sales_Data[[#This Row],[M01AB]:[R06]])</f>
        <v>64.14</v>
      </c>
      <c r="N536" s="2">
        <f>Pharma_Sales_Data[[#This Row],[Total Drug Sales]]*150</f>
        <v>9621</v>
      </c>
      <c r="O536" s="2">
        <f>Pharma_Sales_Data[[#This Row],[Total Revenue]]*0.3</f>
        <v>2886.2999999999997</v>
      </c>
      <c r="P536" t="str">
        <f>IF(Pharma_Sales_Data[[#This Row],[Total Revenue]]&gt;20000,"High Value", IF(Pharma_Sales_Data[[#This Row],[Total Revenue]]&gt;=10000,"Medium Value","Low Value"))</f>
        <v>Low Value</v>
      </c>
    </row>
    <row r="537" spans="1:16" x14ac:dyDescent="0.35">
      <c r="A537" s="1">
        <v>42176</v>
      </c>
      <c r="B537">
        <v>9.34</v>
      </c>
      <c r="C537">
        <v>0.68</v>
      </c>
      <c r="D537">
        <v>5</v>
      </c>
      <c r="E537">
        <v>18</v>
      </c>
      <c r="F537">
        <v>5</v>
      </c>
      <c r="G537">
        <v>0</v>
      </c>
      <c r="H537">
        <v>6</v>
      </c>
      <c r="I537">
        <v>2</v>
      </c>
      <c r="J537">
        <v>2015</v>
      </c>
      <c r="K537">
        <v>6</v>
      </c>
      <c r="L537" t="s">
        <v>14</v>
      </c>
      <c r="M537">
        <f>SUM(Pharma_Sales_Data[[#This Row],[M01AB]:[R06]])</f>
        <v>46.019999999999996</v>
      </c>
      <c r="N537" s="2">
        <f>Pharma_Sales_Data[[#This Row],[Total Drug Sales]]*150</f>
        <v>6902.9999999999991</v>
      </c>
      <c r="O537" s="2">
        <f>Pharma_Sales_Data[[#This Row],[Total Revenue]]*0.3</f>
        <v>2070.8999999999996</v>
      </c>
      <c r="P537" t="str">
        <f>IF(Pharma_Sales_Data[[#This Row],[Total Revenue]]&gt;20000,"High Value", IF(Pharma_Sales_Data[[#This Row],[Total Revenue]]&gt;=10000,"Medium Value","Low Value"))</f>
        <v>Low Value</v>
      </c>
    </row>
    <row r="538" spans="1:16" x14ac:dyDescent="0.35">
      <c r="A538" s="1">
        <v>42177</v>
      </c>
      <c r="B538">
        <v>5.17</v>
      </c>
      <c r="C538">
        <v>6.99</v>
      </c>
      <c r="D538">
        <v>9.6</v>
      </c>
      <c r="E538">
        <v>29.062000000000001</v>
      </c>
      <c r="F538">
        <v>0</v>
      </c>
      <c r="G538">
        <v>0</v>
      </c>
      <c r="H538">
        <v>1</v>
      </c>
      <c r="I538">
        <v>5</v>
      </c>
      <c r="J538">
        <v>2015</v>
      </c>
      <c r="K538">
        <v>6</v>
      </c>
      <c r="L538" t="s">
        <v>15</v>
      </c>
      <c r="M538">
        <f>SUM(Pharma_Sales_Data[[#This Row],[M01AB]:[R06]])</f>
        <v>56.822000000000003</v>
      </c>
      <c r="N538" s="2">
        <f>Pharma_Sales_Data[[#This Row],[Total Drug Sales]]*150</f>
        <v>8523.3000000000011</v>
      </c>
      <c r="O538" s="2">
        <f>Pharma_Sales_Data[[#This Row],[Total Revenue]]*0.3</f>
        <v>2556.9900000000002</v>
      </c>
      <c r="P538" t="str">
        <f>IF(Pharma_Sales_Data[[#This Row],[Total Revenue]]&gt;20000,"High Value", IF(Pharma_Sales_Data[[#This Row],[Total Revenue]]&gt;=10000,"Medium Value","Low Value"))</f>
        <v>Low Value</v>
      </c>
    </row>
    <row r="539" spans="1:16" x14ac:dyDescent="0.35">
      <c r="A539" s="1">
        <v>42178</v>
      </c>
      <c r="B539">
        <v>4.67</v>
      </c>
      <c r="C539">
        <v>5.67</v>
      </c>
      <c r="D539">
        <v>3.5</v>
      </c>
      <c r="E539">
        <v>19</v>
      </c>
      <c r="F539">
        <v>7</v>
      </c>
      <c r="G539">
        <v>0</v>
      </c>
      <c r="H539">
        <v>5</v>
      </c>
      <c r="I539">
        <v>5</v>
      </c>
      <c r="J539">
        <v>2015</v>
      </c>
      <c r="K539">
        <v>6</v>
      </c>
      <c r="L539" t="s">
        <v>16</v>
      </c>
      <c r="M539">
        <f>SUM(Pharma_Sales_Data[[#This Row],[M01AB]:[R06]])</f>
        <v>49.84</v>
      </c>
      <c r="N539" s="2">
        <f>Pharma_Sales_Data[[#This Row],[Total Drug Sales]]*150</f>
        <v>7476.0000000000009</v>
      </c>
      <c r="O539" s="2">
        <f>Pharma_Sales_Data[[#This Row],[Total Revenue]]*0.3</f>
        <v>2242.8000000000002</v>
      </c>
      <c r="P539" t="str">
        <f>IF(Pharma_Sales_Data[[#This Row],[Total Revenue]]&gt;20000,"High Value", IF(Pharma_Sales_Data[[#This Row],[Total Revenue]]&gt;=10000,"Medium Value","Low Value"))</f>
        <v>Low Value</v>
      </c>
    </row>
    <row r="540" spans="1:16" x14ac:dyDescent="0.35">
      <c r="A540" s="1">
        <v>42179</v>
      </c>
      <c r="B540">
        <v>3.83</v>
      </c>
      <c r="C540">
        <v>4</v>
      </c>
      <c r="D540">
        <v>7</v>
      </c>
      <c r="E540">
        <v>23.8</v>
      </c>
      <c r="F540">
        <v>5</v>
      </c>
      <c r="G540">
        <v>1</v>
      </c>
      <c r="H540">
        <v>4</v>
      </c>
      <c r="I540">
        <v>3</v>
      </c>
      <c r="J540">
        <v>2015</v>
      </c>
      <c r="K540">
        <v>6</v>
      </c>
      <c r="L540" t="s">
        <v>17</v>
      </c>
      <c r="M540">
        <f>SUM(Pharma_Sales_Data[[#This Row],[M01AB]:[R06]])</f>
        <v>51.63</v>
      </c>
      <c r="N540" s="2">
        <f>Pharma_Sales_Data[[#This Row],[Total Drug Sales]]*150</f>
        <v>7744.5</v>
      </c>
      <c r="O540" s="2">
        <f>Pharma_Sales_Data[[#This Row],[Total Revenue]]*0.3</f>
        <v>2323.35</v>
      </c>
      <c r="P540" t="str">
        <f>IF(Pharma_Sales_Data[[#This Row],[Total Revenue]]&gt;20000,"High Value", IF(Pharma_Sales_Data[[#This Row],[Total Revenue]]&gt;=10000,"Medium Value","Low Value"))</f>
        <v>Low Value</v>
      </c>
    </row>
    <row r="541" spans="1:16" x14ac:dyDescent="0.35">
      <c r="A541" s="1">
        <v>42180</v>
      </c>
      <c r="B541">
        <v>6.33</v>
      </c>
      <c r="C541">
        <v>4.34</v>
      </c>
      <c r="D541">
        <v>6</v>
      </c>
      <c r="E541">
        <v>24.125</v>
      </c>
      <c r="F541">
        <v>4</v>
      </c>
      <c r="G541">
        <v>0</v>
      </c>
      <c r="H541">
        <v>0</v>
      </c>
      <c r="I541">
        <v>3</v>
      </c>
      <c r="J541">
        <v>2015</v>
      </c>
      <c r="K541">
        <v>6</v>
      </c>
      <c r="L541" t="s">
        <v>11</v>
      </c>
      <c r="M541">
        <f>SUM(Pharma_Sales_Data[[#This Row],[M01AB]:[R06]])</f>
        <v>47.795000000000002</v>
      </c>
      <c r="N541" s="2">
        <f>Pharma_Sales_Data[[#This Row],[Total Drug Sales]]*150</f>
        <v>7169.25</v>
      </c>
      <c r="O541" s="2">
        <f>Pharma_Sales_Data[[#This Row],[Total Revenue]]*0.3</f>
        <v>2150.7750000000001</v>
      </c>
      <c r="P541" t="str">
        <f>IF(Pharma_Sales_Data[[#This Row],[Total Revenue]]&gt;20000,"High Value", IF(Pharma_Sales_Data[[#This Row],[Total Revenue]]&gt;=10000,"Medium Value","Low Value"))</f>
        <v>Low Value</v>
      </c>
    </row>
    <row r="542" spans="1:16" x14ac:dyDescent="0.35">
      <c r="A542" s="1">
        <v>42181</v>
      </c>
      <c r="B542">
        <v>7.17</v>
      </c>
      <c r="C542">
        <v>0.33</v>
      </c>
      <c r="D542">
        <v>2</v>
      </c>
      <c r="E542">
        <v>29</v>
      </c>
      <c r="F542">
        <v>3</v>
      </c>
      <c r="G542">
        <v>0</v>
      </c>
      <c r="H542">
        <v>1</v>
      </c>
      <c r="I542">
        <v>4</v>
      </c>
      <c r="J542">
        <v>2015</v>
      </c>
      <c r="K542">
        <v>6</v>
      </c>
      <c r="L542" t="s">
        <v>12</v>
      </c>
      <c r="M542">
        <f>SUM(Pharma_Sales_Data[[#This Row],[M01AB]:[R06]])</f>
        <v>46.5</v>
      </c>
      <c r="N542" s="2">
        <f>Pharma_Sales_Data[[#This Row],[Total Drug Sales]]*150</f>
        <v>6975</v>
      </c>
      <c r="O542" s="2">
        <f>Pharma_Sales_Data[[#This Row],[Total Revenue]]*0.3</f>
        <v>2092.5</v>
      </c>
      <c r="P542" t="str">
        <f>IF(Pharma_Sales_Data[[#This Row],[Total Revenue]]&gt;20000,"High Value", IF(Pharma_Sales_Data[[#This Row],[Total Revenue]]&gt;=10000,"Medium Value","Low Value"))</f>
        <v>Low Value</v>
      </c>
    </row>
    <row r="543" spans="1:16" x14ac:dyDescent="0.35">
      <c r="A543" s="1">
        <v>42182</v>
      </c>
      <c r="B543">
        <v>7.33</v>
      </c>
      <c r="C543">
        <v>3.33</v>
      </c>
      <c r="D543">
        <v>6</v>
      </c>
      <c r="E543">
        <v>36</v>
      </c>
      <c r="F543">
        <v>10</v>
      </c>
      <c r="G543">
        <v>0</v>
      </c>
      <c r="H543">
        <v>1</v>
      </c>
      <c r="I543">
        <v>2</v>
      </c>
      <c r="J543">
        <v>2015</v>
      </c>
      <c r="K543">
        <v>6</v>
      </c>
      <c r="L543" t="s">
        <v>13</v>
      </c>
      <c r="M543">
        <f>SUM(Pharma_Sales_Data[[#This Row],[M01AB]:[R06]])</f>
        <v>65.66</v>
      </c>
      <c r="N543" s="2">
        <f>Pharma_Sales_Data[[#This Row],[Total Drug Sales]]*150</f>
        <v>9849</v>
      </c>
      <c r="O543" s="2">
        <f>Pharma_Sales_Data[[#This Row],[Total Revenue]]*0.3</f>
        <v>2954.7</v>
      </c>
      <c r="P543" t="str">
        <f>IF(Pharma_Sales_Data[[#This Row],[Total Revenue]]&gt;20000,"High Value", IF(Pharma_Sales_Data[[#This Row],[Total Revenue]]&gt;=10000,"Medium Value","Low Value"))</f>
        <v>Low Value</v>
      </c>
    </row>
    <row r="544" spans="1:16" x14ac:dyDescent="0.35">
      <c r="A544" s="1">
        <v>42183</v>
      </c>
      <c r="B544">
        <v>5.34</v>
      </c>
      <c r="C544">
        <v>4.6500000000000004</v>
      </c>
      <c r="D544">
        <v>7.4</v>
      </c>
      <c r="E544">
        <v>12</v>
      </c>
      <c r="F544">
        <v>0</v>
      </c>
      <c r="G544">
        <v>0</v>
      </c>
      <c r="H544">
        <v>6</v>
      </c>
      <c r="I544">
        <v>6</v>
      </c>
      <c r="J544">
        <v>2015</v>
      </c>
      <c r="K544">
        <v>6</v>
      </c>
      <c r="L544" t="s">
        <v>14</v>
      </c>
      <c r="M544">
        <f>SUM(Pharma_Sales_Data[[#This Row],[M01AB]:[R06]])</f>
        <v>41.39</v>
      </c>
      <c r="N544" s="2">
        <f>Pharma_Sales_Data[[#This Row],[Total Drug Sales]]*150</f>
        <v>6208.5</v>
      </c>
      <c r="O544" s="2">
        <f>Pharma_Sales_Data[[#This Row],[Total Revenue]]*0.3</f>
        <v>1862.55</v>
      </c>
      <c r="P544" t="str">
        <f>IF(Pharma_Sales_Data[[#This Row],[Total Revenue]]&gt;20000,"High Value", IF(Pharma_Sales_Data[[#This Row],[Total Revenue]]&gt;=10000,"Medium Value","Low Value"))</f>
        <v>Low Value</v>
      </c>
    </row>
    <row r="545" spans="1:16" x14ac:dyDescent="0.35">
      <c r="A545" s="1">
        <v>42184</v>
      </c>
      <c r="B545">
        <v>5.68</v>
      </c>
      <c r="C545">
        <v>3.66</v>
      </c>
      <c r="D545">
        <v>4</v>
      </c>
      <c r="E545">
        <v>22</v>
      </c>
      <c r="F545">
        <v>15</v>
      </c>
      <c r="G545">
        <v>0</v>
      </c>
      <c r="H545">
        <v>11</v>
      </c>
      <c r="I545">
        <v>3</v>
      </c>
      <c r="J545">
        <v>2015</v>
      </c>
      <c r="K545">
        <v>6</v>
      </c>
      <c r="L545" t="s">
        <v>15</v>
      </c>
      <c r="M545">
        <f>SUM(Pharma_Sales_Data[[#This Row],[M01AB]:[R06]])</f>
        <v>64.34</v>
      </c>
      <c r="N545" s="2">
        <f>Pharma_Sales_Data[[#This Row],[Total Drug Sales]]*150</f>
        <v>9651</v>
      </c>
      <c r="O545" s="2">
        <f>Pharma_Sales_Data[[#This Row],[Total Revenue]]*0.3</f>
        <v>2895.2999999999997</v>
      </c>
      <c r="P545" t="str">
        <f>IF(Pharma_Sales_Data[[#This Row],[Total Revenue]]&gt;20000,"High Value", IF(Pharma_Sales_Data[[#This Row],[Total Revenue]]&gt;=10000,"Medium Value","Low Value"))</f>
        <v>Low Value</v>
      </c>
    </row>
    <row r="546" spans="1:16" x14ac:dyDescent="0.35">
      <c r="A546" s="1">
        <v>42185</v>
      </c>
      <c r="B546">
        <v>1</v>
      </c>
      <c r="C546">
        <v>4.67</v>
      </c>
      <c r="D546">
        <v>6</v>
      </c>
      <c r="E546">
        <v>35</v>
      </c>
      <c r="F546">
        <v>12</v>
      </c>
      <c r="G546">
        <v>0</v>
      </c>
      <c r="H546">
        <v>2</v>
      </c>
      <c r="I546">
        <v>4.3</v>
      </c>
      <c r="J546">
        <v>2015</v>
      </c>
      <c r="K546">
        <v>6</v>
      </c>
      <c r="L546" t="s">
        <v>16</v>
      </c>
      <c r="M546">
        <f>SUM(Pharma_Sales_Data[[#This Row],[M01AB]:[R06]])</f>
        <v>64.97</v>
      </c>
      <c r="N546" s="2">
        <f>Pharma_Sales_Data[[#This Row],[Total Drug Sales]]*150</f>
        <v>9745.5</v>
      </c>
      <c r="O546" s="2">
        <f>Pharma_Sales_Data[[#This Row],[Total Revenue]]*0.3</f>
        <v>2923.65</v>
      </c>
      <c r="P546" t="str">
        <f>IF(Pharma_Sales_Data[[#This Row],[Total Revenue]]&gt;20000,"High Value", IF(Pharma_Sales_Data[[#This Row],[Total Revenue]]&gt;=10000,"Medium Value","Low Value"))</f>
        <v>Low Value</v>
      </c>
    </row>
    <row r="547" spans="1:16" x14ac:dyDescent="0.35">
      <c r="A547" s="1">
        <v>42186</v>
      </c>
      <c r="B547">
        <v>8.83</v>
      </c>
      <c r="C547">
        <v>5.68</v>
      </c>
      <c r="D547">
        <v>5.4</v>
      </c>
      <c r="E547">
        <v>18.25</v>
      </c>
      <c r="F547">
        <v>14</v>
      </c>
      <c r="G547">
        <v>1</v>
      </c>
      <c r="H547">
        <v>12</v>
      </c>
      <c r="I547">
        <v>10</v>
      </c>
      <c r="J547">
        <v>2015</v>
      </c>
      <c r="K547">
        <v>7</v>
      </c>
      <c r="L547" t="s">
        <v>17</v>
      </c>
      <c r="M547">
        <f>SUM(Pharma_Sales_Data[[#This Row],[M01AB]:[R06]])</f>
        <v>75.16</v>
      </c>
      <c r="N547" s="2">
        <f>Pharma_Sales_Data[[#This Row],[Total Drug Sales]]*150</f>
        <v>11274</v>
      </c>
      <c r="O547" s="2">
        <f>Pharma_Sales_Data[[#This Row],[Total Revenue]]*0.3</f>
        <v>3382.2</v>
      </c>
      <c r="P547" t="str">
        <f>IF(Pharma_Sales_Data[[#This Row],[Total Revenue]]&gt;20000,"High Value", IF(Pharma_Sales_Data[[#This Row],[Total Revenue]]&gt;=10000,"Medium Value","Low Value"))</f>
        <v>Medium Value</v>
      </c>
    </row>
    <row r="548" spans="1:16" x14ac:dyDescent="0.35">
      <c r="A548" s="1">
        <v>42187</v>
      </c>
      <c r="B548">
        <v>3</v>
      </c>
      <c r="C548">
        <v>2</v>
      </c>
      <c r="D548">
        <v>1</v>
      </c>
      <c r="E548">
        <v>23.15</v>
      </c>
      <c r="F548">
        <v>3</v>
      </c>
      <c r="G548">
        <v>0</v>
      </c>
      <c r="H548">
        <v>1</v>
      </c>
      <c r="I548">
        <v>2</v>
      </c>
      <c r="J548">
        <v>2015</v>
      </c>
      <c r="K548">
        <v>7</v>
      </c>
      <c r="L548" t="s">
        <v>11</v>
      </c>
      <c r="M548">
        <f>SUM(Pharma_Sales_Data[[#This Row],[M01AB]:[R06]])</f>
        <v>35.15</v>
      </c>
      <c r="N548" s="2">
        <f>Pharma_Sales_Data[[#This Row],[Total Drug Sales]]*150</f>
        <v>5272.5</v>
      </c>
      <c r="O548" s="2">
        <f>Pharma_Sales_Data[[#This Row],[Total Revenue]]*0.3</f>
        <v>1581.75</v>
      </c>
      <c r="P548" t="str">
        <f>IF(Pharma_Sales_Data[[#This Row],[Total Revenue]]&gt;20000,"High Value", IF(Pharma_Sales_Data[[#This Row],[Total Revenue]]&gt;=10000,"Medium Value","Low Value"))</f>
        <v>Low Value</v>
      </c>
    </row>
    <row r="549" spans="1:16" x14ac:dyDescent="0.35">
      <c r="A549" s="1">
        <v>42188</v>
      </c>
      <c r="B549">
        <v>5.5</v>
      </c>
      <c r="C549">
        <v>4.33</v>
      </c>
      <c r="D549">
        <v>3.5</v>
      </c>
      <c r="E549">
        <v>24.5</v>
      </c>
      <c r="F549">
        <v>10</v>
      </c>
      <c r="G549">
        <v>0</v>
      </c>
      <c r="H549">
        <v>8</v>
      </c>
      <c r="I549">
        <v>4</v>
      </c>
      <c r="J549">
        <v>2015</v>
      </c>
      <c r="K549">
        <v>7</v>
      </c>
      <c r="L549" t="s">
        <v>12</v>
      </c>
      <c r="M549">
        <f>SUM(Pharma_Sales_Data[[#This Row],[M01AB]:[R06]])</f>
        <v>59.83</v>
      </c>
      <c r="N549" s="2">
        <f>Pharma_Sales_Data[[#This Row],[Total Drug Sales]]*150</f>
        <v>8974.5</v>
      </c>
      <c r="O549" s="2">
        <f>Pharma_Sales_Data[[#This Row],[Total Revenue]]*0.3</f>
        <v>2692.35</v>
      </c>
      <c r="P549" t="str">
        <f>IF(Pharma_Sales_Data[[#This Row],[Total Revenue]]&gt;20000,"High Value", IF(Pharma_Sales_Data[[#This Row],[Total Revenue]]&gt;=10000,"Medium Value","Low Value"))</f>
        <v>Low Value</v>
      </c>
    </row>
    <row r="550" spans="1:16" x14ac:dyDescent="0.35">
      <c r="A550" s="1">
        <v>42189</v>
      </c>
      <c r="B550">
        <v>7.35</v>
      </c>
      <c r="C550">
        <v>2.34</v>
      </c>
      <c r="D550">
        <v>4.2</v>
      </c>
      <c r="E550">
        <v>15.2</v>
      </c>
      <c r="F550">
        <v>2</v>
      </c>
      <c r="G550">
        <v>0</v>
      </c>
      <c r="H550">
        <v>0</v>
      </c>
      <c r="I550">
        <v>3</v>
      </c>
      <c r="J550">
        <v>2015</v>
      </c>
      <c r="K550">
        <v>7</v>
      </c>
      <c r="L550" t="s">
        <v>13</v>
      </c>
      <c r="M550">
        <f>SUM(Pharma_Sales_Data[[#This Row],[M01AB]:[R06]])</f>
        <v>34.090000000000003</v>
      </c>
      <c r="N550" s="2">
        <f>Pharma_Sales_Data[[#This Row],[Total Drug Sales]]*150</f>
        <v>5113.5000000000009</v>
      </c>
      <c r="O550" s="2">
        <f>Pharma_Sales_Data[[#This Row],[Total Revenue]]*0.3</f>
        <v>1534.0500000000002</v>
      </c>
      <c r="P550" t="str">
        <f>IF(Pharma_Sales_Data[[#This Row],[Total Revenue]]&gt;20000,"High Value", IF(Pharma_Sales_Data[[#This Row],[Total Revenue]]&gt;=10000,"Medium Value","Low Value"))</f>
        <v>Low Value</v>
      </c>
    </row>
    <row r="551" spans="1:16" x14ac:dyDescent="0.35">
      <c r="A551" s="1">
        <v>42190</v>
      </c>
      <c r="B551">
        <v>5</v>
      </c>
      <c r="C551">
        <v>4.34</v>
      </c>
      <c r="D551">
        <v>4.2</v>
      </c>
      <c r="E551">
        <v>14</v>
      </c>
      <c r="F551">
        <v>10</v>
      </c>
      <c r="G551">
        <v>0</v>
      </c>
      <c r="H551">
        <v>1</v>
      </c>
      <c r="I551">
        <v>4</v>
      </c>
      <c r="J551">
        <v>2015</v>
      </c>
      <c r="K551">
        <v>7</v>
      </c>
      <c r="L551" t="s">
        <v>14</v>
      </c>
      <c r="M551">
        <f>SUM(Pharma_Sales_Data[[#This Row],[M01AB]:[R06]])</f>
        <v>42.54</v>
      </c>
      <c r="N551" s="2">
        <f>Pharma_Sales_Data[[#This Row],[Total Drug Sales]]*150</f>
        <v>6381</v>
      </c>
      <c r="O551" s="2">
        <f>Pharma_Sales_Data[[#This Row],[Total Revenue]]*0.3</f>
        <v>1914.3</v>
      </c>
      <c r="P551" t="str">
        <f>IF(Pharma_Sales_Data[[#This Row],[Total Revenue]]&gt;20000,"High Value", IF(Pharma_Sales_Data[[#This Row],[Total Revenue]]&gt;=10000,"Medium Value","Low Value"))</f>
        <v>Low Value</v>
      </c>
    </row>
    <row r="552" spans="1:16" x14ac:dyDescent="0.35">
      <c r="A552" s="1">
        <v>42191</v>
      </c>
      <c r="B552">
        <v>5.5</v>
      </c>
      <c r="C552">
        <v>4.68</v>
      </c>
      <c r="D552">
        <v>2</v>
      </c>
      <c r="E552">
        <v>20</v>
      </c>
      <c r="F552">
        <v>8</v>
      </c>
      <c r="G552">
        <v>0</v>
      </c>
      <c r="H552">
        <v>3</v>
      </c>
      <c r="I552">
        <v>3</v>
      </c>
      <c r="J552">
        <v>2015</v>
      </c>
      <c r="K552">
        <v>7</v>
      </c>
      <c r="L552" t="s">
        <v>15</v>
      </c>
      <c r="M552">
        <f>SUM(Pharma_Sales_Data[[#This Row],[M01AB]:[R06]])</f>
        <v>46.18</v>
      </c>
      <c r="N552" s="2">
        <f>Pharma_Sales_Data[[#This Row],[Total Drug Sales]]*150</f>
        <v>6927</v>
      </c>
      <c r="O552" s="2">
        <f>Pharma_Sales_Data[[#This Row],[Total Revenue]]*0.3</f>
        <v>2078.1</v>
      </c>
      <c r="P552" t="str">
        <f>IF(Pharma_Sales_Data[[#This Row],[Total Revenue]]&gt;20000,"High Value", IF(Pharma_Sales_Data[[#This Row],[Total Revenue]]&gt;=10000,"Medium Value","Low Value"))</f>
        <v>Low Value</v>
      </c>
    </row>
    <row r="553" spans="1:16" x14ac:dyDescent="0.35">
      <c r="A553" s="1">
        <v>42192</v>
      </c>
      <c r="B553">
        <v>4.84</v>
      </c>
      <c r="C553">
        <v>4.68</v>
      </c>
      <c r="D553">
        <v>2.2999999999999998</v>
      </c>
      <c r="E553">
        <v>19.600000000000001</v>
      </c>
      <c r="F553">
        <v>5</v>
      </c>
      <c r="G553">
        <v>0</v>
      </c>
      <c r="H553">
        <v>3</v>
      </c>
      <c r="I553">
        <v>7</v>
      </c>
      <c r="J553">
        <v>2015</v>
      </c>
      <c r="K553">
        <v>7</v>
      </c>
      <c r="L553" t="s">
        <v>16</v>
      </c>
      <c r="M553">
        <f>SUM(Pharma_Sales_Data[[#This Row],[M01AB]:[R06]])</f>
        <v>46.42</v>
      </c>
      <c r="N553" s="2">
        <f>Pharma_Sales_Data[[#This Row],[Total Drug Sales]]*150</f>
        <v>6963</v>
      </c>
      <c r="O553" s="2">
        <f>Pharma_Sales_Data[[#This Row],[Total Revenue]]*0.3</f>
        <v>2088.9</v>
      </c>
      <c r="P553" t="str">
        <f>IF(Pharma_Sales_Data[[#This Row],[Total Revenue]]&gt;20000,"High Value", IF(Pharma_Sales_Data[[#This Row],[Total Revenue]]&gt;=10000,"Medium Value","Low Value"))</f>
        <v>Low Value</v>
      </c>
    </row>
    <row r="554" spans="1:16" x14ac:dyDescent="0.35">
      <c r="A554" s="1">
        <v>42193</v>
      </c>
      <c r="B554">
        <v>2</v>
      </c>
      <c r="C554">
        <v>1.35</v>
      </c>
      <c r="D554">
        <v>3</v>
      </c>
      <c r="E554">
        <v>18.600000000000001</v>
      </c>
      <c r="F554">
        <v>6</v>
      </c>
      <c r="G554">
        <v>0</v>
      </c>
      <c r="H554">
        <v>5</v>
      </c>
      <c r="I554">
        <v>3</v>
      </c>
      <c r="J554">
        <v>2015</v>
      </c>
      <c r="K554">
        <v>7</v>
      </c>
      <c r="L554" t="s">
        <v>17</v>
      </c>
      <c r="M554">
        <f>SUM(Pharma_Sales_Data[[#This Row],[M01AB]:[R06]])</f>
        <v>38.950000000000003</v>
      </c>
      <c r="N554" s="2">
        <f>Pharma_Sales_Data[[#This Row],[Total Drug Sales]]*150</f>
        <v>5842.5</v>
      </c>
      <c r="O554" s="2">
        <f>Pharma_Sales_Data[[#This Row],[Total Revenue]]*0.3</f>
        <v>1752.75</v>
      </c>
      <c r="P554" t="str">
        <f>IF(Pharma_Sales_Data[[#This Row],[Total Revenue]]&gt;20000,"High Value", IF(Pharma_Sales_Data[[#This Row],[Total Revenue]]&gt;=10000,"Medium Value","Low Value"))</f>
        <v>Low Value</v>
      </c>
    </row>
    <row r="555" spans="1:16" x14ac:dyDescent="0.35">
      <c r="A555" s="1">
        <v>42194</v>
      </c>
      <c r="B555">
        <v>2.34</v>
      </c>
      <c r="C555">
        <v>1.67</v>
      </c>
      <c r="D555">
        <v>2</v>
      </c>
      <c r="E555">
        <v>32.75</v>
      </c>
      <c r="F555">
        <v>4</v>
      </c>
      <c r="G555">
        <v>0</v>
      </c>
      <c r="H555">
        <v>0</v>
      </c>
      <c r="I555">
        <v>5</v>
      </c>
      <c r="J555">
        <v>2015</v>
      </c>
      <c r="K555">
        <v>7</v>
      </c>
      <c r="L555" t="s">
        <v>11</v>
      </c>
      <c r="M555">
        <f>SUM(Pharma_Sales_Data[[#This Row],[M01AB]:[R06]])</f>
        <v>47.76</v>
      </c>
      <c r="N555" s="2">
        <f>Pharma_Sales_Data[[#This Row],[Total Drug Sales]]*150</f>
        <v>7164</v>
      </c>
      <c r="O555" s="2">
        <f>Pharma_Sales_Data[[#This Row],[Total Revenue]]*0.3</f>
        <v>2149.1999999999998</v>
      </c>
      <c r="P555" t="str">
        <f>IF(Pharma_Sales_Data[[#This Row],[Total Revenue]]&gt;20000,"High Value", IF(Pharma_Sales_Data[[#This Row],[Total Revenue]]&gt;=10000,"Medium Value","Low Value"))</f>
        <v>Low Value</v>
      </c>
    </row>
    <row r="556" spans="1:16" x14ac:dyDescent="0.35">
      <c r="A556" s="1">
        <v>42195</v>
      </c>
      <c r="B556">
        <v>5.5</v>
      </c>
      <c r="C556">
        <v>6.34</v>
      </c>
      <c r="D556">
        <v>5</v>
      </c>
      <c r="E556">
        <v>37</v>
      </c>
      <c r="F556">
        <v>15</v>
      </c>
      <c r="G556">
        <v>0</v>
      </c>
      <c r="H556">
        <v>8</v>
      </c>
      <c r="I556">
        <v>6</v>
      </c>
      <c r="J556">
        <v>2015</v>
      </c>
      <c r="K556">
        <v>7</v>
      </c>
      <c r="L556" t="s">
        <v>12</v>
      </c>
      <c r="M556">
        <f>SUM(Pharma_Sales_Data[[#This Row],[M01AB]:[R06]])</f>
        <v>82.84</v>
      </c>
      <c r="N556" s="2">
        <f>Pharma_Sales_Data[[#This Row],[Total Drug Sales]]*150</f>
        <v>12426</v>
      </c>
      <c r="O556" s="2">
        <f>Pharma_Sales_Data[[#This Row],[Total Revenue]]*0.3</f>
        <v>3727.7999999999997</v>
      </c>
      <c r="P556" t="str">
        <f>IF(Pharma_Sales_Data[[#This Row],[Total Revenue]]&gt;20000,"High Value", IF(Pharma_Sales_Data[[#This Row],[Total Revenue]]&gt;=10000,"Medium Value","Low Value"))</f>
        <v>Medium Value</v>
      </c>
    </row>
    <row r="557" spans="1:16" x14ac:dyDescent="0.35">
      <c r="A557" s="1">
        <v>42196</v>
      </c>
      <c r="B557">
        <v>4</v>
      </c>
      <c r="C557">
        <v>2.33</v>
      </c>
      <c r="D557">
        <v>4.9000000000000004</v>
      </c>
      <c r="E557">
        <v>45</v>
      </c>
      <c r="F557">
        <v>9</v>
      </c>
      <c r="G557">
        <v>0</v>
      </c>
      <c r="H557">
        <v>2</v>
      </c>
      <c r="I557">
        <v>10</v>
      </c>
      <c r="J557">
        <v>2015</v>
      </c>
      <c r="K557">
        <v>7</v>
      </c>
      <c r="L557" t="s">
        <v>13</v>
      </c>
      <c r="M557">
        <f>SUM(Pharma_Sales_Data[[#This Row],[M01AB]:[R06]])</f>
        <v>77.23</v>
      </c>
      <c r="N557" s="2">
        <f>Pharma_Sales_Data[[#This Row],[Total Drug Sales]]*150</f>
        <v>11584.5</v>
      </c>
      <c r="O557" s="2">
        <f>Pharma_Sales_Data[[#This Row],[Total Revenue]]*0.3</f>
        <v>3475.35</v>
      </c>
      <c r="P557" t="str">
        <f>IF(Pharma_Sales_Data[[#This Row],[Total Revenue]]&gt;20000,"High Value", IF(Pharma_Sales_Data[[#This Row],[Total Revenue]]&gt;=10000,"Medium Value","Low Value"))</f>
        <v>Medium Value</v>
      </c>
    </row>
    <row r="558" spans="1:16" x14ac:dyDescent="0.35">
      <c r="A558" s="1">
        <v>42197</v>
      </c>
      <c r="B558">
        <v>6.33</v>
      </c>
      <c r="C558">
        <v>5.33</v>
      </c>
      <c r="D558">
        <v>5</v>
      </c>
      <c r="E558">
        <v>25.3</v>
      </c>
      <c r="F558">
        <v>5</v>
      </c>
      <c r="G558">
        <v>0</v>
      </c>
      <c r="H558">
        <v>0</v>
      </c>
      <c r="I558">
        <v>6.5</v>
      </c>
      <c r="J558">
        <v>2015</v>
      </c>
      <c r="K558">
        <v>7</v>
      </c>
      <c r="L558" t="s">
        <v>14</v>
      </c>
      <c r="M558">
        <f>SUM(Pharma_Sales_Data[[#This Row],[M01AB]:[R06]])</f>
        <v>53.46</v>
      </c>
      <c r="N558" s="2">
        <f>Pharma_Sales_Data[[#This Row],[Total Drug Sales]]*150</f>
        <v>8019</v>
      </c>
      <c r="O558" s="2">
        <f>Pharma_Sales_Data[[#This Row],[Total Revenue]]*0.3</f>
        <v>2405.6999999999998</v>
      </c>
      <c r="P558" t="str">
        <f>IF(Pharma_Sales_Data[[#This Row],[Total Revenue]]&gt;20000,"High Value", IF(Pharma_Sales_Data[[#This Row],[Total Revenue]]&gt;=10000,"Medium Value","Low Value"))</f>
        <v>Low Value</v>
      </c>
    </row>
    <row r="559" spans="1:16" x14ac:dyDescent="0.35">
      <c r="A559" s="1">
        <v>42198</v>
      </c>
      <c r="B559">
        <v>3.68</v>
      </c>
      <c r="C559">
        <v>0.66</v>
      </c>
      <c r="D559">
        <v>8</v>
      </c>
      <c r="E559">
        <v>22.55</v>
      </c>
      <c r="F559">
        <v>5</v>
      </c>
      <c r="G559">
        <v>0</v>
      </c>
      <c r="H559">
        <v>0</v>
      </c>
      <c r="I559">
        <v>3</v>
      </c>
      <c r="J559">
        <v>2015</v>
      </c>
      <c r="K559">
        <v>7</v>
      </c>
      <c r="L559" t="s">
        <v>15</v>
      </c>
      <c r="M559">
        <f>SUM(Pharma_Sales_Data[[#This Row],[M01AB]:[R06]])</f>
        <v>42.89</v>
      </c>
      <c r="N559" s="2">
        <f>Pharma_Sales_Data[[#This Row],[Total Drug Sales]]*150</f>
        <v>6433.5</v>
      </c>
      <c r="O559" s="2">
        <f>Pharma_Sales_Data[[#This Row],[Total Revenue]]*0.3</f>
        <v>1930.05</v>
      </c>
      <c r="P559" t="str">
        <f>IF(Pharma_Sales_Data[[#This Row],[Total Revenue]]&gt;20000,"High Value", IF(Pharma_Sales_Data[[#This Row],[Total Revenue]]&gt;=10000,"Medium Value","Low Value"))</f>
        <v>Low Value</v>
      </c>
    </row>
    <row r="560" spans="1:16" x14ac:dyDescent="0.35">
      <c r="A560" s="1">
        <v>42199</v>
      </c>
      <c r="B560">
        <v>0.34</v>
      </c>
      <c r="C560">
        <v>4.33</v>
      </c>
      <c r="D560">
        <v>5</v>
      </c>
      <c r="E560">
        <v>14</v>
      </c>
      <c r="F560">
        <v>1</v>
      </c>
      <c r="G560">
        <v>0</v>
      </c>
      <c r="H560">
        <v>2</v>
      </c>
      <c r="I560">
        <v>2</v>
      </c>
      <c r="J560">
        <v>2015</v>
      </c>
      <c r="K560">
        <v>7</v>
      </c>
      <c r="L560" t="s">
        <v>16</v>
      </c>
      <c r="M560">
        <f>SUM(Pharma_Sales_Data[[#This Row],[M01AB]:[R06]])</f>
        <v>28.67</v>
      </c>
      <c r="N560" s="2">
        <f>Pharma_Sales_Data[[#This Row],[Total Drug Sales]]*150</f>
        <v>4300.5</v>
      </c>
      <c r="O560" s="2">
        <f>Pharma_Sales_Data[[#This Row],[Total Revenue]]*0.3</f>
        <v>1290.1499999999999</v>
      </c>
      <c r="P560" t="str">
        <f>IF(Pharma_Sales_Data[[#This Row],[Total Revenue]]&gt;20000,"High Value", IF(Pharma_Sales_Data[[#This Row],[Total Revenue]]&gt;=10000,"Medium Value","Low Value"))</f>
        <v>Low Value</v>
      </c>
    </row>
    <row r="561" spans="1:16" x14ac:dyDescent="0.35">
      <c r="A561" s="1">
        <v>42200</v>
      </c>
      <c r="B561">
        <v>8.49</v>
      </c>
      <c r="C561">
        <v>1.66</v>
      </c>
      <c r="D561">
        <v>4</v>
      </c>
      <c r="E561">
        <v>20.2</v>
      </c>
      <c r="F561">
        <v>5</v>
      </c>
      <c r="G561">
        <v>0</v>
      </c>
      <c r="H561">
        <v>1</v>
      </c>
      <c r="I561">
        <v>9</v>
      </c>
      <c r="J561">
        <v>2015</v>
      </c>
      <c r="K561">
        <v>7</v>
      </c>
      <c r="L561" t="s">
        <v>17</v>
      </c>
      <c r="M561">
        <f>SUM(Pharma_Sales_Data[[#This Row],[M01AB]:[R06]])</f>
        <v>49.35</v>
      </c>
      <c r="N561" s="2">
        <f>Pharma_Sales_Data[[#This Row],[Total Drug Sales]]*150</f>
        <v>7402.5</v>
      </c>
      <c r="O561" s="2">
        <f>Pharma_Sales_Data[[#This Row],[Total Revenue]]*0.3</f>
        <v>2220.75</v>
      </c>
      <c r="P561" t="str">
        <f>IF(Pharma_Sales_Data[[#This Row],[Total Revenue]]&gt;20000,"High Value", IF(Pharma_Sales_Data[[#This Row],[Total Revenue]]&gt;=10000,"Medium Value","Low Value"))</f>
        <v>Low Value</v>
      </c>
    </row>
    <row r="562" spans="1:16" x14ac:dyDescent="0.35">
      <c r="A562" s="1">
        <v>42201</v>
      </c>
      <c r="B562">
        <v>8.34</v>
      </c>
      <c r="C562">
        <v>3.33</v>
      </c>
      <c r="D562">
        <v>1</v>
      </c>
      <c r="E562">
        <v>18</v>
      </c>
      <c r="F562">
        <v>3</v>
      </c>
      <c r="G562">
        <v>0</v>
      </c>
      <c r="H562">
        <v>2</v>
      </c>
      <c r="I562">
        <v>4</v>
      </c>
      <c r="J562">
        <v>2015</v>
      </c>
      <c r="K562">
        <v>7</v>
      </c>
      <c r="L562" t="s">
        <v>11</v>
      </c>
      <c r="M562">
        <f>SUM(Pharma_Sales_Data[[#This Row],[M01AB]:[R06]])</f>
        <v>39.67</v>
      </c>
      <c r="N562" s="2">
        <f>Pharma_Sales_Data[[#This Row],[Total Drug Sales]]*150</f>
        <v>5950.5</v>
      </c>
      <c r="O562" s="2">
        <f>Pharma_Sales_Data[[#This Row],[Total Revenue]]*0.3</f>
        <v>1785.1499999999999</v>
      </c>
      <c r="P562" t="str">
        <f>IF(Pharma_Sales_Data[[#This Row],[Total Revenue]]&gt;20000,"High Value", IF(Pharma_Sales_Data[[#This Row],[Total Revenue]]&gt;=10000,"Medium Value","Low Value"))</f>
        <v>Low Value</v>
      </c>
    </row>
    <row r="563" spans="1:16" x14ac:dyDescent="0.35">
      <c r="A563" s="1">
        <v>42202</v>
      </c>
      <c r="B563">
        <v>2.5</v>
      </c>
      <c r="C563">
        <v>1.33</v>
      </c>
      <c r="D563">
        <v>1</v>
      </c>
      <c r="E563">
        <v>28</v>
      </c>
      <c r="F563">
        <v>3</v>
      </c>
      <c r="G563">
        <v>0</v>
      </c>
      <c r="H563">
        <v>0</v>
      </c>
      <c r="I563">
        <v>2.2999999999999998</v>
      </c>
      <c r="J563">
        <v>2015</v>
      </c>
      <c r="K563">
        <v>7</v>
      </c>
      <c r="L563" t="s">
        <v>12</v>
      </c>
      <c r="M563">
        <f>SUM(Pharma_Sales_Data[[#This Row],[M01AB]:[R06]])</f>
        <v>38.129999999999995</v>
      </c>
      <c r="N563" s="2">
        <f>Pharma_Sales_Data[[#This Row],[Total Drug Sales]]*150</f>
        <v>5719.4999999999991</v>
      </c>
      <c r="O563" s="2">
        <f>Pharma_Sales_Data[[#This Row],[Total Revenue]]*0.3</f>
        <v>1715.8499999999997</v>
      </c>
      <c r="P563" t="str">
        <f>IF(Pharma_Sales_Data[[#This Row],[Total Revenue]]&gt;20000,"High Value", IF(Pharma_Sales_Data[[#This Row],[Total Revenue]]&gt;=10000,"Medium Value","Low Value"))</f>
        <v>Low Value</v>
      </c>
    </row>
    <row r="564" spans="1:16" x14ac:dyDescent="0.35">
      <c r="A564" s="1">
        <v>42203</v>
      </c>
      <c r="B564">
        <v>3.68</v>
      </c>
      <c r="C564">
        <v>7.38</v>
      </c>
      <c r="D564">
        <v>2</v>
      </c>
      <c r="E564">
        <v>25</v>
      </c>
      <c r="F564">
        <v>8</v>
      </c>
      <c r="G564">
        <v>3</v>
      </c>
      <c r="H564">
        <v>1</v>
      </c>
      <c r="I564">
        <v>3</v>
      </c>
      <c r="J564">
        <v>2015</v>
      </c>
      <c r="K564">
        <v>7</v>
      </c>
      <c r="L564" t="s">
        <v>13</v>
      </c>
      <c r="M564">
        <f>SUM(Pharma_Sales_Data[[#This Row],[M01AB]:[R06]])</f>
        <v>53.06</v>
      </c>
      <c r="N564" s="2">
        <f>Pharma_Sales_Data[[#This Row],[Total Drug Sales]]*150</f>
        <v>7959</v>
      </c>
      <c r="O564" s="2">
        <f>Pharma_Sales_Data[[#This Row],[Total Revenue]]*0.3</f>
        <v>2387.6999999999998</v>
      </c>
      <c r="P564" t="str">
        <f>IF(Pharma_Sales_Data[[#This Row],[Total Revenue]]&gt;20000,"High Value", IF(Pharma_Sales_Data[[#This Row],[Total Revenue]]&gt;=10000,"Medium Value","Low Value"))</f>
        <v>Low Value</v>
      </c>
    </row>
    <row r="565" spans="1:16" x14ac:dyDescent="0.35">
      <c r="A565" s="1">
        <v>42204</v>
      </c>
      <c r="B565">
        <v>11.68</v>
      </c>
      <c r="C565">
        <v>1.68</v>
      </c>
      <c r="D565">
        <v>2</v>
      </c>
      <c r="E565">
        <v>15</v>
      </c>
      <c r="F565">
        <v>1</v>
      </c>
      <c r="G565">
        <v>0</v>
      </c>
      <c r="H565">
        <v>1</v>
      </c>
      <c r="I565">
        <v>3</v>
      </c>
      <c r="J565">
        <v>2015</v>
      </c>
      <c r="K565">
        <v>7</v>
      </c>
      <c r="L565" t="s">
        <v>14</v>
      </c>
      <c r="M565">
        <f>SUM(Pharma_Sales_Data[[#This Row],[M01AB]:[R06]])</f>
        <v>35.36</v>
      </c>
      <c r="N565" s="2">
        <f>Pharma_Sales_Data[[#This Row],[Total Drug Sales]]*150</f>
        <v>5304</v>
      </c>
      <c r="O565" s="2">
        <f>Pharma_Sales_Data[[#This Row],[Total Revenue]]*0.3</f>
        <v>1591.2</v>
      </c>
      <c r="P565" t="str">
        <f>IF(Pharma_Sales_Data[[#This Row],[Total Revenue]]&gt;20000,"High Value", IF(Pharma_Sales_Data[[#This Row],[Total Revenue]]&gt;=10000,"Medium Value","Low Value"))</f>
        <v>Low Value</v>
      </c>
    </row>
    <row r="566" spans="1:16" x14ac:dyDescent="0.35">
      <c r="A566" s="1">
        <v>42205</v>
      </c>
      <c r="B566">
        <v>5.84</v>
      </c>
      <c r="C566">
        <v>4.67</v>
      </c>
      <c r="D566">
        <v>5</v>
      </c>
      <c r="E566">
        <v>41</v>
      </c>
      <c r="F566">
        <v>4</v>
      </c>
      <c r="G566">
        <v>0</v>
      </c>
      <c r="H566">
        <v>0</v>
      </c>
      <c r="I566">
        <v>2</v>
      </c>
      <c r="J566">
        <v>2015</v>
      </c>
      <c r="K566">
        <v>7</v>
      </c>
      <c r="L566" t="s">
        <v>15</v>
      </c>
      <c r="M566">
        <f>SUM(Pharma_Sales_Data[[#This Row],[M01AB]:[R06]])</f>
        <v>62.51</v>
      </c>
      <c r="N566" s="2">
        <f>Pharma_Sales_Data[[#This Row],[Total Drug Sales]]*150</f>
        <v>9376.5</v>
      </c>
      <c r="O566" s="2">
        <f>Pharma_Sales_Data[[#This Row],[Total Revenue]]*0.3</f>
        <v>2812.95</v>
      </c>
      <c r="P566" t="str">
        <f>IF(Pharma_Sales_Data[[#This Row],[Total Revenue]]&gt;20000,"High Value", IF(Pharma_Sales_Data[[#This Row],[Total Revenue]]&gt;=10000,"Medium Value","Low Value"))</f>
        <v>Low Value</v>
      </c>
    </row>
    <row r="567" spans="1:16" x14ac:dyDescent="0.35">
      <c r="A567" s="1">
        <v>42206</v>
      </c>
      <c r="B567">
        <v>4.68</v>
      </c>
      <c r="C567">
        <v>1</v>
      </c>
      <c r="D567">
        <v>3.2</v>
      </c>
      <c r="E567">
        <v>14.25</v>
      </c>
      <c r="F567">
        <v>7</v>
      </c>
      <c r="G567">
        <v>0</v>
      </c>
      <c r="H567">
        <v>1</v>
      </c>
      <c r="I567">
        <v>4</v>
      </c>
      <c r="J567">
        <v>2015</v>
      </c>
      <c r="K567">
        <v>7</v>
      </c>
      <c r="L567" t="s">
        <v>16</v>
      </c>
      <c r="M567">
        <f>SUM(Pharma_Sales_Data[[#This Row],[M01AB]:[R06]])</f>
        <v>35.129999999999995</v>
      </c>
      <c r="N567" s="2">
        <f>Pharma_Sales_Data[[#This Row],[Total Drug Sales]]*150</f>
        <v>5269.4999999999991</v>
      </c>
      <c r="O567" s="2">
        <f>Pharma_Sales_Data[[#This Row],[Total Revenue]]*0.3</f>
        <v>1580.8499999999997</v>
      </c>
      <c r="P567" t="str">
        <f>IF(Pharma_Sales_Data[[#This Row],[Total Revenue]]&gt;20000,"High Value", IF(Pharma_Sales_Data[[#This Row],[Total Revenue]]&gt;=10000,"Medium Value","Low Value"))</f>
        <v>Low Value</v>
      </c>
    </row>
    <row r="568" spans="1:16" x14ac:dyDescent="0.35">
      <c r="A568" s="1">
        <v>42207</v>
      </c>
      <c r="B568">
        <v>9.33</v>
      </c>
      <c r="C568">
        <v>0.34</v>
      </c>
      <c r="D568">
        <v>5</v>
      </c>
      <c r="E568">
        <v>22</v>
      </c>
      <c r="F568">
        <v>10</v>
      </c>
      <c r="G568">
        <v>0</v>
      </c>
      <c r="H568">
        <v>5</v>
      </c>
      <c r="I568">
        <v>3</v>
      </c>
      <c r="J568">
        <v>2015</v>
      </c>
      <c r="K568">
        <v>7</v>
      </c>
      <c r="L568" t="s">
        <v>17</v>
      </c>
      <c r="M568">
        <f>SUM(Pharma_Sales_Data[[#This Row],[M01AB]:[R06]])</f>
        <v>54.67</v>
      </c>
      <c r="N568" s="2">
        <f>Pharma_Sales_Data[[#This Row],[Total Drug Sales]]*150</f>
        <v>8200.5</v>
      </c>
      <c r="O568" s="2">
        <f>Pharma_Sales_Data[[#This Row],[Total Revenue]]*0.3</f>
        <v>2460.15</v>
      </c>
      <c r="P568" t="str">
        <f>IF(Pharma_Sales_Data[[#This Row],[Total Revenue]]&gt;20000,"High Value", IF(Pharma_Sales_Data[[#This Row],[Total Revenue]]&gt;=10000,"Medium Value","Low Value"))</f>
        <v>Low Value</v>
      </c>
    </row>
    <row r="569" spans="1:16" x14ac:dyDescent="0.35">
      <c r="A569" s="1">
        <v>42208</v>
      </c>
      <c r="B569">
        <v>1.5</v>
      </c>
      <c r="C569">
        <v>4</v>
      </c>
      <c r="D569">
        <v>3</v>
      </c>
      <c r="E569">
        <v>14</v>
      </c>
      <c r="F569">
        <v>3</v>
      </c>
      <c r="G569">
        <v>0</v>
      </c>
      <c r="H569">
        <v>0</v>
      </c>
      <c r="I569">
        <v>2</v>
      </c>
      <c r="J569">
        <v>2015</v>
      </c>
      <c r="K569">
        <v>7</v>
      </c>
      <c r="L569" t="s">
        <v>11</v>
      </c>
      <c r="M569">
        <f>SUM(Pharma_Sales_Data[[#This Row],[M01AB]:[R06]])</f>
        <v>27.5</v>
      </c>
      <c r="N569" s="2">
        <f>Pharma_Sales_Data[[#This Row],[Total Drug Sales]]*150</f>
        <v>4125</v>
      </c>
      <c r="O569" s="2">
        <f>Pharma_Sales_Data[[#This Row],[Total Revenue]]*0.3</f>
        <v>1237.5</v>
      </c>
      <c r="P569" t="str">
        <f>IF(Pharma_Sales_Data[[#This Row],[Total Revenue]]&gt;20000,"High Value", IF(Pharma_Sales_Data[[#This Row],[Total Revenue]]&gt;=10000,"Medium Value","Low Value"))</f>
        <v>Low Value</v>
      </c>
    </row>
    <row r="570" spans="1:16" x14ac:dyDescent="0.35">
      <c r="A570" s="1">
        <v>42209</v>
      </c>
      <c r="B570">
        <v>6</v>
      </c>
      <c r="C570">
        <v>6.34</v>
      </c>
      <c r="D570">
        <v>3.6</v>
      </c>
      <c r="E570">
        <v>29.6</v>
      </c>
      <c r="F570">
        <v>9</v>
      </c>
      <c r="G570">
        <v>1</v>
      </c>
      <c r="H570">
        <v>1</v>
      </c>
      <c r="I570">
        <v>10</v>
      </c>
      <c r="J570">
        <v>2015</v>
      </c>
      <c r="K570">
        <v>7</v>
      </c>
      <c r="L570" t="s">
        <v>12</v>
      </c>
      <c r="M570">
        <f>SUM(Pharma_Sales_Data[[#This Row],[M01AB]:[R06]])</f>
        <v>66.539999999999992</v>
      </c>
      <c r="N570" s="2">
        <f>Pharma_Sales_Data[[#This Row],[Total Drug Sales]]*150</f>
        <v>9980.9999999999982</v>
      </c>
      <c r="O570" s="2">
        <f>Pharma_Sales_Data[[#This Row],[Total Revenue]]*0.3</f>
        <v>2994.2999999999993</v>
      </c>
      <c r="P570" t="str">
        <f>IF(Pharma_Sales_Data[[#This Row],[Total Revenue]]&gt;20000,"High Value", IF(Pharma_Sales_Data[[#This Row],[Total Revenue]]&gt;=10000,"Medium Value","Low Value"))</f>
        <v>Low Value</v>
      </c>
    </row>
    <row r="571" spans="1:16" x14ac:dyDescent="0.35">
      <c r="A571" s="1">
        <v>42210</v>
      </c>
      <c r="B571">
        <v>4</v>
      </c>
      <c r="C571">
        <v>4</v>
      </c>
      <c r="D571">
        <v>5</v>
      </c>
      <c r="E571">
        <v>22</v>
      </c>
      <c r="F571">
        <v>7</v>
      </c>
      <c r="G571">
        <v>1</v>
      </c>
      <c r="H571">
        <v>0</v>
      </c>
      <c r="I571">
        <v>4</v>
      </c>
      <c r="J571">
        <v>2015</v>
      </c>
      <c r="K571">
        <v>7</v>
      </c>
      <c r="L571" t="s">
        <v>13</v>
      </c>
      <c r="M571">
        <f>SUM(Pharma_Sales_Data[[#This Row],[M01AB]:[R06]])</f>
        <v>47</v>
      </c>
      <c r="N571" s="2">
        <f>Pharma_Sales_Data[[#This Row],[Total Drug Sales]]*150</f>
        <v>7050</v>
      </c>
      <c r="O571" s="2">
        <f>Pharma_Sales_Data[[#This Row],[Total Revenue]]*0.3</f>
        <v>2115</v>
      </c>
      <c r="P571" t="str">
        <f>IF(Pharma_Sales_Data[[#This Row],[Total Revenue]]&gt;20000,"High Value", IF(Pharma_Sales_Data[[#This Row],[Total Revenue]]&gt;=10000,"Medium Value","Low Value"))</f>
        <v>Low Value</v>
      </c>
    </row>
    <row r="572" spans="1:16" x14ac:dyDescent="0.35">
      <c r="A572" s="1">
        <v>42211</v>
      </c>
      <c r="B572">
        <v>5</v>
      </c>
      <c r="C572">
        <v>2.99</v>
      </c>
      <c r="D572">
        <v>3</v>
      </c>
      <c r="E572">
        <v>29</v>
      </c>
      <c r="F572">
        <v>4</v>
      </c>
      <c r="G572">
        <v>0</v>
      </c>
      <c r="H572">
        <v>0</v>
      </c>
      <c r="I572">
        <v>0</v>
      </c>
      <c r="J572">
        <v>2015</v>
      </c>
      <c r="K572">
        <v>7</v>
      </c>
      <c r="L572" t="s">
        <v>14</v>
      </c>
      <c r="M572">
        <f>SUM(Pharma_Sales_Data[[#This Row],[M01AB]:[R06]])</f>
        <v>43.99</v>
      </c>
      <c r="N572" s="2">
        <f>Pharma_Sales_Data[[#This Row],[Total Drug Sales]]*150</f>
        <v>6598.5</v>
      </c>
      <c r="O572" s="2">
        <f>Pharma_Sales_Data[[#This Row],[Total Revenue]]*0.3</f>
        <v>1979.55</v>
      </c>
      <c r="P572" t="str">
        <f>IF(Pharma_Sales_Data[[#This Row],[Total Revenue]]&gt;20000,"High Value", IF(Pharma_Sales_Data[[#This Row],[Total Revenue]]&gt;=10000,"Medium Value","Low Value"))</f>
        <v>Low Value</v>
      </c>
    </row>
    <row r="573" spans="1:16" x14ac:dyDescent="0.35">
      <c r="A573" s="1">
        <v>42212</v>
      </c>
      <c r="B573">
        <v>7.34</v>
      </c>
      <c r="C573">
        <v>3.34</v>
      </c>
      <c r="D573">
        <v>7</v>
      </c>
      <c r="E573">
        <v>24</v>
      </c>
      <c r="F573">
        <v>9</v>
      </c>
      <c r="G573">
        <v>0</v>
      </c>
      <c r="H573">
        <v>0</v>
      </c>
      <c r="I573">
        <v>1.5</v>
      </c>
      <c r="J573">
        <v>2015</v>
      </c>
      <c r="K573">
        <v>7</v>
      </c>
      <c r="L573" t="s">
        <v>15</v>
      </c>
      <c r="M573">
        <f>SUM(Pharma_Sales_Data[[#This Row],[M01AB]:[R06]])</f>
        <v>52.18</v>
      </c>
      <c r="N573" s="2">
        <f>Pharma_Sales_Data[[#This Row],[Total Drug Sales]]*150</f>
        <v>7827</v>
      </c>
      <c r="O573" s="2">
        <f>Pharma_Sales_Data[[#This Row],[Total Revenue]]*0.3</f>
        <v>2348.1</v>
      </c>
      <c r="P573" t="str">
        <f>IF(Pharma_Sales_Data[[#This Row],[Total Revenue]]&gt;20000,"High Value", IF(Pharma_Sales_Data[[#This Row],[Total Revenue]]&gt;=10000,"Medium Value","Low Value"))</f>
        <v>Low Value</v>
      </c>
    </row>
    <row r="574" spans="1:16" x14ac:dyDescent="0.35">
      <c r="A574" s="1">
        <v>42213</v>
      </c>
      <c r="B574">
        <v>14.18</v>
      </c>
      <c r="C574">
        <v>6.02</v>
      </c>
      <c r="D574">
        <v>1</v>
      </c>
      <c r="E574">
        <v>15.2</v>
      </c>
      <c r="F574">
        <v>14</v>
      </c>
      <c r="G574">
        <v>0</v>
      </c>
      <c r="H574">
        <v>1</v>
      </c>
      <c r="I574">
        <v>3</v>
      </c>
      <c r="J574">
        <v>2015</v>
      </c>
      <c r="K574">
        <v>7</v>
      </c>
      <c r="L574" t="s">
        <v>16</v>
      </c>
      <c r="M574">
        <f>SUM(Pharma_Sales_Data[[#This Row],[M01AB]:[R06]])</f>
        <v>54.4</v>
      </c>
      <c r="N574" s="2">
        <f>Pharma_Sales_Data[[#This Row],[Total Drug Sales]]*150</f>
        <v>8160</v>
      </c>
      <c r="O574" s="2">
        <f>Pharma_Sales_Data[[#This Row],[Total Revenue]]*0.3</f>
        <v>2448</v>
      </c>
      <c r="P574" t="str">
        <f>IF(Pharma_Sales_Data[[#This Row],[Total Revenue]]&gt;20000,"High Value", IF(Pharma_Sales_Data[[#This Row],[Total Revenue]]&gt;=10000,"Medium Value","Low Value"))</f>
        <v>Low Value</v>
      </c>
    </row>
    <row r="575" spans="1:16" x14ac:dyDescent="0.35">
      <c r="A575" s="1">
        <v>42214</v>
      </c>
      <c r="B575">
        <v>10.34</v>
      </c>
      <c r="C575">
        <v>3.34</v>
      </c>
      <c r="D575">
        <v>4</v>
      </c>
      <c r="E575">
        <v>21.378</v>
      </c>
      <c r="F575">
        <v>8</v>
      </c>
      <c r="G575">
        <v>0</v>
      </c>
      <c r="H575">
        <v>2</v>
      </c>
      <c r="I575">
        <v>1</v>
      </c>
      <c r="J575">
        <v>2015</v>
      </c>
      <c r="K575">
        <v>7</v>
      </c>
      <c r="L575" t="s">
        <v>17</v>
      </c>
      <c r="M575">
        <f>SUM(Pharma_Sales_Data[[#This Row],[M01AB]:[R06]])</f>
        <v>50.058</v>
      </c>
      <c r="N575" s="2">
        <f>Pharma_Sales_Data[[#This Row],[Total Drug Sales]]*150</f>
        <v>7508.7</v>
      </c>
      <c r="O575" s="2">
        <f>Pharma_Sales_Data[[#This Row],[Total Revenue]]*0.3</f>
        <v>2252.6099999999997</v>
      </c>
      <c r="P575" t="str">
        <f>IF(Pharma_Sales_Data[[#This Row],[Total Revenue]]&gt;20000,"High Value", IF(Pharma_Sales_Data[[#This Row],[Total Revenue]]&gt;=10000,"Medium Value","Low Value"))</f>
        <v>Low Value</v>
      </c>
    </row>
    <row r="576" spans="1:16" x14ac:dyDescent="0.35">
      <c r="A576" s="1">
        <v>42215</v>
      </c>
      <c r="B576">
        <v>3</v>
      </c>
      <c r="C576">
        <v>3.33</v>
      </c>
      <c r="D576">
        <v>14</v>
      </c>
      <c r="E576">
        <v>16.3</v>
      </c>
      <c r="F576">
        <v>3</v>
      </c>
      <c r="G576">
        <v>0</v>
      </c>
      <c r="H576">
        <v>0</v>
      </c>
      <c r="I576">
        <v>4</v>
      </c>
      <c r="J576">
        <v>2015</v>
      </c>
      <c r="K576">
        <v>7</v>
      </c>
      <c r="L576" t="s">
        <v>11</v>
      </c>
      <c r="M576">
        <f>SUM(Pharma_Sales_Data[[#This Row],[M01AB]:[R06]])</f>
        <v>43.629999999999995</v>
      </c>
      <c r="N576" s="2">
        <f>Pharma_Sales_Data[[#This Row],[Total Drug Sales]]*150</f>
        <v>6544.4999999999991</v>
      </c>
      <c r="O576" s="2">
        <f>Pharma_Sales_Data[[#This Row],[Total Revenue]]*0.3</f>
        <v>1963.3499999999997</v>
      </c>
      <c r="P576" t="str">
        <f>IF(Pharma_Sales_Data[[#This Row],[Total Revenue]]&gt;20000,"High Value", IF(Pharma_Sales_Data[[#This Row],[Total Revenue]]&gt;=10000,"Medium Value","Low Value"))</f>
        <v>Low Value</v>
      </c>
    </row>
    <row r="577" spans="1:16" x14ac:dyDescent="0.35">
      <c r="A577" s="1">
        <v>42216</v>
      </c>
      <c r="B577">
        <v>5.5</v>
      </c>
      <c r="C577">
        <v>9</v>
      </c>
      <c r="D577">
        <v>6.2</v>
      </c>
      <c r="E577">
        <v>24</v>
      </c>
      <c r="F577">
        <v>8</v>
      </c>
      <c r="G577">
        <v>0</v>
      </c>
      <c r="H577">
        <v>0</v>
      </c>
      <c r="I577">
        <v>6</v>
      </c>
      <c r="J577">
        <v>2015</v>
      </c>
      <c r="K577">
        <v>7</v>
      </c>
      <c r="L577" t="s">
        <v>12</v>
      </c>
      <c r="M577">
        <f>SUM(Pharma_Sales_Data[[#This Row],[M01AB]:[R06]])</f>
        <v>58.7</v>
      </c>
      <c r="N577" s="2">
        <f>Pharma_Sales_Data[[#This Row],[Total Drug Sales]]*150</f>
        <v>8805</v>
      </c>
      <c r="O577" s="2">
        <f>Pharma_Sales_Data[[#This Row],[Total Revenue]]*0.3</f>
        <v>2641.5</v>
      </c>
      <c r="P577" t="str">
        <f>IF(Pharma_Sales_Data[[#This Row],[Total Revenue]]&gt;20000,"High Value", IF(Pharma_Sales_Data[[#This Row],[Total Revenue]]&gt;=10000,"Medium Value","Low Value"))</f>
        <v>Low Value</v>
      </c>
    </row>
    <row r="578" spans="1:16" x14ac:dyDescent="0.35">
      <c r="A578" s="1">
        <v>42217</v>
      </c>
      <c r="B578">
        <v>5</v>
      </c>
      <c r="C578">
        <v>5</v>
      </c>
      <c r="D578">
        <v>4</v>
      </c>
      <c r="E578">
        <v>19</v>
      </c>
      <c r="F578">
        <v>14</v>
      </c>
      <c r="G578">
        <v>0</v>
      </c>
      <c r="H578">
        <v>0</v>
      </c>
      <c r="I578">
        <v>2</v>
      </c>
      <c r="J578">
        <v>2015</v>
      </c>
      <c r="K578">
        <v>8</v>
      </c>
      <c r="L578" t="s">
        <v>13</v>
      </c>
      <c r="M578">
        <f>SUM(Pharma_Sales_Data[[#This Row],[M01AB]:[R06]])</f>
        <v>49</v>
      </c>
      <c r="N578" s="2">
        <f>Pharma_Sales_Data[[#This Row],[Total Drug Sales]]*150</f>
        <v>7350</v>
      </c>
      <c r="O578" s="2">
        <f>Pharma_Sales_Data[[#This Row],[Total Revenue]]*0.3</f>
        <v>2205</v>
      </c>
      <c r="P578" t="str">
        <f>IF(Pharma_Sales_Data[[#This Row],[Total Revenue]]&gt;20000,"High Value", IF(Pharma_Sales_Data[[#This Row],[Total Revenue]]&gt;=10000,"Medium Value","Low Value"))</f>
        <v>Low Value</v>
      </c>
    </row>
    <row r="579" spans="1:16" x14ac:dyDescent="0.35">
      <c r="A579" s="1">
        <v>42218</v>
      </c>
      <c r="B579">
        <v>5</v>
      </c>
      <c r="C579">
        <v>6.7</v>
      </c>
      <c r="D579">
        <v>4</v>
      </c>
      <c r="E579">
        <v>15</v>
      </c>
      <c r="F579">
        <v>9</v>
      </c>
      <c r="G579">
        <v>0</v>
      </c>
      <c r="H579">
        <v>0</v>
      </c>
      <c r="I579">
        <v>2</v>
      </c>
      <c r="J579">
        <v>2015</v>
      </c>
      <c r="K579">
        <v>8</v>
      </c>
      <c r="L579" t="s">
        <v>14</v>
      </c>
      <c r="M579">
        <f>SUM(Pharma_Sales_Data[[#This Row],[M01AB]:[R06]])</f>
        <v>41.7</v>
      </c>
      <c r="N579" s="2">
        <f>Pharma_Sales_Data[[#This Row],[Total Drug Sales]]*150</f>
        <v>6255</v>
      </c>
      <c r="O579" s="2">
        <f>Pharma_Sales_Data[[#This Row],[Total Revenue]]*0.3</f>
        <v>1876.5</v>
      </c>
      <c r="P579" t="str">
        <f>IF(Pharma_Sales_Data[[#This Row],[Total Revenue]]&gt;20000,"High Value", IF(Pharma_Sales_Data[[#This Row],[Total Revenue]]&gt;=10000,"Medium Value","Low Value"))</f>
        <v>Low Value</v>
      </c>
    </row>
    <row r="580" spans="1:16" x14ac:dyDescent="0.35">
      <c r="A580" s="1">
        <v>42219</v>
      </c>
      <c r="B580">
        <v>1.5</v>
      </c>
      <c r="C580">
        <v>2.33</v>
      </c>
      <c r="D580">
        <v>1.5</v>
      </c>
      <c r="E580">
        <v>23</v>
      </c>
      <c r="F580">
        <v>3.5</v>
      </c>
      <c r="G580">
        <v>1</v>
      </c>
      <c r="H580">
        <v>5</v>
      </c>
      <c r="I580">
        <v>1</v>
      </c>
      <c r="J580">
        <v>2015</v>
      </c>
      <c r="K580">
        <v>8</v>
      </c>
      <c r="L580" t="s">
        <v>15</v>
      </c>
      <c r="M580">
        <f>SUM(Pharma_Sales_Data[[#This Row],[M01AB]:[R06]])</f>
        <v>38.83</v>
      </c>
      <c r="N580" s="2">
        <f>Pharma_Sales_Data[[#This Row],[Total Drug Sales]]*150</f>
        <v>5824.5</v>
      </c>
      <c r="O580" s="2">
        <f>Pharma_Sales_Data[[#This Row],[Total Revenue]]*0.3</f>
        <v>1747.35</v>
      </c>
      <c r="P580" t="str">
        <f>IF(Pharma_Sales_Data[[#This Row],[Total Revenue]]&gt;20000,"High Value", IF(Pharma_Sales_Data[[#This Row],[Total Revenue]]&gt;=10000,"Medium Value","Low Value"))</f>
        <v>Low Value</v>
      </c>
    </row>
    <row r="581" spans="1:16" x14ac:dyDescent="0.35">
      <c r="A581" s="1">
        <v>42220</v>
      </c>
      <c r="B581">
        <v>6.34</v>
      </c>
      <c r="C581">
        <v>2.33</v>
      </c>
      <c r="D581">
        <v>3</v>
      </c>
      <c r="E581">
        <v>23</v>
      </c>
      <c r="F581">
        <v>5</v>
      </c>
      <c r="G581">
        <v>1</v>
      </c>
      <c r="H581">
        <v>0</v>
      </c>
      <c r="I581">
        <v>4</v>
      </c>
      <c r="J581">
        <v>2015</v>
      </c>
      <c r="K581">
        <v>8</v>
      </c>
      <c r="L581" t="s">
        <v>16</v>
      </c>
      <c r="M581">
        <f>SUM(Pharma_Sales_Data[[#This Row],[M01AB]:[R06]])</f>
        <v>44.67</v>
      </c>
      <c r="N581" s="2">
        <f>Pharma_Sales_Data[[#This Row],[Total Drug Sales]]*150</f>
        <v>6700.5</v>
      </c>
      <c r="O581" s="2">
        <f>Pharma_Sales_Data[[#This Row],[Total Revenue]]*0.3</f>
        <v>2010.1499999999999</v>
      </c>
      <c r="P581" t="str">
        <f>IF(Pharma_Sales_Data[[#This Row],[Total Revenue]]&gt;20000,"High Value", IF(Pharma_Sales_Data[[#This Row],[Total Revenue]]&gt;=10000,"Medium Value","Low Value"))</f>
        <v>Low Value</v>
      </c>
    </row>
    <row r="582" spans="1:16" x14ac:dyDescent="0.35">
      <c r="A582" s="1">
        <v>42221</v>
      </c>
      <c r="B582">
        <v>5</v>
      </c>
      <c r="C582">
        <v>3.33</v>
      </c>
      <c r="D582">
        <v>4.2</v>
      </c>
      <c r="E582">
        <v>22.2</v>
      </c>
      <c r="F582">
        <v>3.5</v>
      </c>
      <c r="G582">
        <v>0</v>
      </c>
      <c r="H582">
        <v>0</v>
      </c>
      <c r="I582">
        <v>1</v>
      </c>
      <c r="J582">
        <v>2015</v>
      </c>
      <c r="K582">
        <v>8</v>
      </c>
      <c r="L582" t="s">
        <v>17</v>
      </c>
      <c r="M582">
        <f>SUM(Pharma_Sales_Data[[#This Row],[M01AB]:[R06]])</f>
        <v>39.230000000000004</v>
      </c>
      <c r="N582" s="2">
        <f>Pharma_Sales_Data[[#This Row],[Total Drug Sales]]*150</f>
        <v>5884.5000000000009</v>
      </c>
      <c r="O582" s="2">
        <f>Pharma_Sales_Data[[#This Row],[Total Revenue]]*0.3</f>
        <v>1765.3500000000001</v>
      </c>
      <c r="P582" t="str">
        <f>IF(Pharma_Sales_Data[[#This Row],[Total Revenue]]&gt;20000,"High Value", IF(Pharma_Sales_Data[[#This Row],[Total Revenue]]&gt;=10000,"Medium Value","Low Value"))</f>
        <v>Low Value</v>
      </c>
    </row>
    <row r="583" spans="1:16" x14ac:dyDescent="0.35">
      <c r="A583" s="1">
        <v>42222</v>
      </c>
      <c r="B583">
        <v>5.33</v>
      </c>
      <c r="C583">
        <v>1.67</v>
      </c>
      <c r="D583">
        <v>8</v>
      </c>
      <c r="E583">
        <v>35</v>
      </c>
      <c r="F583">
        <v>11</v>
      </c>
      <c r="G583">
        <v>0</v>
      </c>
      <c r="H583">
        <v>3</v>
      </c>
      <c r="I583">
        <v>2</v>
      </c>
      <c r="J583">
        <v>2015</v>
      </c>
      <c r="K583">
        <v>8</v>
      </c>
      <c r="L583" t="s">
        <v>11</v>
      </c>
      <c r="M583">
        <f>SUM(Pharma_Sales_Data[[#This Row],[M01AB]:[R06]])</f>
        <v>66</v>
      </c>
      <c r="N583" s="2">
        <f>Pharma_Sales_Data[[#This Row],[Total Drug Sales]]*150</f>
        <v>9900</v>
      </c>
      <c r="O583" s="2">
        <f>Pharma_Sales_Data[[#This Row],[Total Revenue]]*0.3</f>
        <v>2970</v>
      </c>
      <c r="P583" t="str">
        <f>IF(Pharma_Sales_Data[[#This Row],[Total Revenue]]&gt;20000,"High Value", IF(Pharma_Sales_Data[[#This Row],[Total Revenue]]&gt;=10000,"Medium Value","Low Value"))</f>
        <v>Low Value</v>
      </c>
    </row>
    <row r="584" spans="1:16" x14ac:dyDescent="0.35">
      <c r="A584" s="1">
        <v>42223</v>
      </c>
      <c r="B584">
        <v>4.33</v>
      </c>
      <c r="C584">
        <v>4</v>
      </c>
      <c r="D584">
        <v>6</v>
      </c>
      <c r="E584">
        <v>22</v>
      </c>
      <c r="F584">
        <v>9</v>
      </c>
      <c r="G584">
        <v>2</v>
      </c>
      <c r="H584">
        <v>1</v>
      </c>
      <c r="I584">
        <v>6</v>
      </c>
      <c r="J584">
        <v>2015</v>
      </c>
      <c r="K584">
        <v>8</v>
      </c>
      <c r="L584" t="s">
        <v>12</v>
      </c>
      <c r="M584">
        <f>SUM(Pharma_Sales_Data[[#This Row],[M01AB]:[R06]])</f>
        <v>54.33</v>
      </c>
      <c r="N584" s="2">
        <f>Pharma_Sales_Data[[#This Row],[Total Drug Sales]]*150</f>
        <v>8149.5</v>
      </c>
      <c r="O584" s="2">
        <f>Pharma_Sales_Data[[#This Row],[Total Revenue]]*0.3</f>
        <v>2444.85</v>
      </c>
      <c r="P584" t="str">
        <f>IF(Pharma_Sales_Data[[#This Row],[Total Revenue]]&gt;20000,"High Value", IF(Pharma_Sales_Data[[#This Row],[Total Revenue]]&gt;=10000,"Medium Value","Low Value"))</f>
        <v>Low Value</v>
      </c>
    </row>
    <row r="585" spans="1:16" x14ac:dyDescent="0.35">
      <c r="A585" s="1">
        <v>42224</v>
      </c>
      <c r="B585">
        <v>6.33</v>
      </c>
      <c r="C585">
        <v>5.33</v>
      </c>
      <c r="D585">
        <v>7</v>
      </c>
      <c r="E585">
        <v>22</v>
      </c>
      <c r="F585">
        <v>5</v>
      </c>
      <c r="G585">
        <v>0</v>
      </c>
      <c r="H585">
        <v>0</v>
      </c>
      <c r="I585">
        <v>0.7</v>
      </c>
      <c r="J585">
        <v>2015</v>
      </c>
      <c r="K585">
        <v>8</v>
      </c>
      <c r="L585" t="s">
        <v>13</v>
      </c>
      <c r="M585">
        <f>SUM(Pharma_Sales_Data[[#This Row],[M01AB]:[R06]])</f>
        <v>46.36</v>
      </c>
      <c r="N585" s="2">
        <f>Pharma_Sales_Data[[#This Row],[Total Drug Sales]]*150</f>
        <v>6954</v>
      </c>
      <c r="O585" s="2">
        <f>Pharma_Sales_Data[[#This Row],[Total Revenue]]*0.3</f>
        <v>2086.1999999999998</v>
      </c>
      <c r="P585" t="str">
        <f>IF(Pharma_Sales_Data[[#This Row],[Total Revenue]]&gt;20000,"High Value", IF(Pharma_Sales_Data[[#This Row],[Total Revenue]]&gt;=10000,"Medium Value","Low Value"))</f>
        <v>Low Value</v>
      </c>
    </row>
    <row r="586" spans="1:16" x14ac:dyDescent="0.35">
      <c r="A586" s="1">
        <v>42225</v>
      </c>
      <c r="B586">
        <v>5</v>
      </c>
      <c r="C586">
        <v>3.66</v>
      </c>
      <c r="D586">
        <v>2</v>
      </c>
      <c r="E586">
        <v>21</v>
      </c>
      <c r="F586">
        <v>5</v>
      </c>
      <c r="G586">
        <v>0</v>
      </c>
      <c r="H586">
        <v>2</v>
      </c>
      <c r="I586">
        <v>3</v>
      </c>
      <c r="J586">
        <v>2015</v>
      </c>
      <c r="K586">
        <v>8</v>
      </c>
      <c r="L586" t="s">
        <v>14</v>
      </c>
      <c r="M586">
        <f>SUM(Pharma_Sales_Data[[#This Row],[M01AB]:[R06]])</f>
        <v>41.66</v>
      </c>
      <c r="N586" s="2">
        <f>Pharma_Sales_Data[[#This Row],[Total Drug Sales]]*150</f>
        <v>6248.9999999999991</v>
      </c>
      <c r="O586" s="2">
        <f>Pharma_Sales_Data[[#This Row],[Total Revenue]]*0.3</f>
        <v>1874.6999999999996</v>
      </c>
      <c r="P586" t="str">
        <f>IF(Pharma_Sales_Data[[#This Row],[Total Revenue]]&gt;20000,"High Value", IF(Pharma_Sales_Data[[#This Row],[Total Revenue]]&gt;=10000,"Medium Value","Low Value"))</f>
        <v>Low Value</v>
      </c>
    </row>
    <row r="587" spans="1:16" x14ac:dyDescent="0.35">
      <c r="A587" s="1">
        <v>42226</v>
      </c>
      <c r="B587">
        <v>3.67</v>
      </c>
      <c r="C587">
        <v>5.68</v>
      </c>
      <c r="D587">
        <v>4.2</v>
      </c>
      <c r="E587">
        <v>29</v>
      </c>
      <c r="F587">
        <v>12.5</v>
      </c>
      <c r="G587">
        <v>0</v>
      </c>
      <c r="H587">
        <v>1</v>
      </c>
      <c r="I587">
        <v>5</v>
      </c>
      <c r="J587">
        <v>2015</v>
      </c>
      <c r="K587">
        <v>8</v>
      </c>
      <c r="L587" t="s">
        <v>15</v>
      </c>
      <c r="M587">
        <f>SUM(Pharma_Sales_Data[[#This Row],[M01AB]:[R06]])</f>
        <v>61.05</v>
      </c>
      <c r="N587" s="2">
        <f>Pharma_Sales_Data[[#This Row],[Total Drug Sales]]*150</f>
        <v>9157.5</v>
      </c>
      <c r="O587" s="2">
        <f>Pharma_Sales_Data[[#This Row],[Total Revenue]]*0.3</f>
        <v>2747.25</v>
      </c>
      <c r="P587" t="str">
        <f>IF(Pharma_Sales_Data[[#This Row],[Total Revenue]]&gt;20000,"High Value", IF(Pharma_Sales_Data[[#This Row],[Total Revenue]]&gt;=10000,"Medium Value","Low Value"))</f>
        <v>Low Value</v>
      </c>
    </row>
    <row r="588" spans="1:16" x14ac:dyDescent="0.35">
      <c r="A588" s="1">
        <v>42227</v>
      </c>
      <c r="B588">
        <v>12.33</v>
      </c>
      <c r="C588">
        <v>6.66</v>
      </c>
      <c r="D588">
        <v>7.4</v>
      </c>
      <c r="E588">
        <v>18.100000000000001</v>
      </c>
      <c r="F588">
        <v>10</v>
      </c>
      <c r="G588">
        <v>0</v>
      </c>
      <c r="H588">
        <v>0</v>
      </c>
      <c r="I588">
        <v>4</v>
      </c>
      <c r="J588">
        <v>2015</v>
      </c>
      <c r="K588">
        <v>8</v>
      </c>
      <c r="L588" t="s">
        <v>16</v>
      </c>
      <c r="M588">
        <f>SUM(Pharma_Sales_Data[[#This Row],[M01AB]:[R06]])</f>
        <v>58.49</v>
      </c>
      <c r="N588" s="2">
        <f>Pharma_Sales_Data[[#This Row],[Total Drug Sales]]*150</f>
        <v>8773.5</v>
      </c>
      <c r="O588" s="2">
        <f>Pharma_Sales_Data[[#This Row],[Total Revenue]]*0.3</f>
        <v>2632.0499999999997</v>
      </c>
      <c r="P588" t="str">
        <f>IF(Pharma_Sales_Data[[#This Row],[Total Revenue]]&gt;20000,"High Value", IF(Pharma_Sales_Data[[#This Row],[Total Revenue]]&gt;=10000,"Medium Value","Low Value"))</f>
        <v>Low Value</v>
      </c>
    </row>
    <row r="589" spans="1:16" x14ac:dyDescent="0.35">
      <c r="A589" s="1">
        <v>42228</v>
      </c>
      <c r="B589">
        <v>8.67</v>
      </c>
      <c r="C589">
        <v>7.6929999999999996</v>
      </c>
      <c r="D589">
        <v>4</v>
      </c>
      <c r="E589">
        <v>28.2</v>
      </c>
      <c r="F589">
        <v>9.5</v>
      </c>
      <c r="G589">
        <v>0</v>
      </c>
      <c r="H589">
        <v>1</v>
      </c>
      <c r="I589">
        <v>1</v>
      </c>
      <c r="J589">
        <v>2015</v>
      </c>
      <c r="K589">
        <v>8</v>
      </c>
      <c r="L589" t="s">
        <v>17</v>
      </c>
      <c r="M589">
        <f>SUM(Pharma_Sales_Data[[#This Row],[M01AB]:[R06]])</f>
        <v>60.063000000000002</v>
      </c>
      <c r="N589" s="2">
        <f>Pharma_Sales_Data[[#This Row],[Total Drug Sales]]*150</f>
        <v>9009.4500000000007</v>
      </c>
      <c r="O589" s="2">
        <f>Pharma_Sales_Data[[#This Row],[Total Revenue]]*0.3</f>
        <v>2702.835</v>
      </c>
      <c r="P589" t="str">
        <f>IF(Pharma_Sales_Data[[#This Row],[Total Revenue]]&gt;20000,"High Value", IF(Pharma_Sales_Data[[#This Row],[Total Revenue]]&gt;=10000,"Medium Value","Low Value"))</f>
        <v>Low Value</v>
      </c>
    </row>
    <row r="590" spans="1:16" x14ac:dyDescent="0.35">
      <c r="A590" s="1">
        <v>42229</v>
      </c>
      <c r="B590">
        <v>8</v>
      </c>
      <c r="C590">
        <v>2</v>
      </c>
      <c r="D590">
        <v>6</v>
      </c>
      <c r="E590">
        <v>23.437999999999999</v>
      </c>
      <c r="F590">
        <v>9</v>
      </c>
      <c r="G590">
        <v>0</v>
      </c>
      <c r="H590">
        <v>3</v>
      </c>
      <c r="I590">
        <v>3</v>
      </c>
      <c r="J590">
        <v>2015</v>
      </c>
      <c r="K590">
        <v>8</v>
      </c>
      <c r="L590" t="s">
        <v>11</v>
      </c>
      <c r="M590">
        <f>SUM(Pharma_Sales_Data[[#This Row],[M01AB]:[R06]])</f>
        <v>54.438000000000002</v>
      </c>
      <c r="N590" s="2">
        <f>Pharma_Sales_Data[[#This Row],[Total Drug Sales]]*150</f>
        <v>8165.7000000000007</v>
      </c>
      <c r="O590" s="2">
        <f>Pharma_Sales_Data[[#This Row],[Total Revenue]]*0.3</f>
        <v>2449.71</v>
      </c>
      <c r="P590" t="str">
        <f>IF(Pharma_Sales_Data[[#This Row],[Total Revenue]]&gt;20000,"High Value", IF(Pharma_Sales_Data[[#This Row],[Total Revenue]]&gt;=10000,"Medium Value","Low Value"))</f>
        <v>Low Value</v>
      </c>
    </row>
    <row r="591" spans="1:16" x14ac:dyDescent="0.35">
      <c r="A591" s="1">
        <v>42230</v>
      </c>
      <c r="B591">
        <v>3</v>
      </c>
      <c r="C591">
        <v>4.66</v>
      </c>
      <c r="D591">
        <v>4</v>
      </c>
      <c r="E591">
        <v>16.7</v>
      </c>
      <c r="F591">
        <v>5</v>
      </c>
      <c r="G591">
        <v>0</v>
      </c>
      <c r="H591">
        <v>1</v>
      </c>
      <c r="I591">
        <v>4</v>
      </c>
      <c r="J591">
        <v>2015</v>
      </c>
      <c r="K591">
        <v>8</v>
      </c>
      <c r="L591" t="s">
        <v>12</v>
      </c>
      <c r="M591">
        <f>SUM(Pharma_Sales_Data[[#This Row],[M01AB]:[R06]])</f>
        <v>38.36</v>
      </c>
      <c r="N591" s="2">
        <f>Pharma_Sales_Data[[#This Row],[Total Drug Sales]]*150</f>
        <v>5754</v>
      </c>
      <c r="O591" s="2">
        <f>Pharma_Sales_Data[[#This Row],[Total Revenue]]*0.3</f>
        <v>1726.2</v>
      </c>
      <c r="P591" t="str">
        <f>IF(Pharma_Sales_Data[[#This Row],[Total Revenue]]&gt;20000,"High Value", IF(Pharma_Sales_Data[[#This Row],[Total Revenue]]&gt;=10000,"Medium Value","Low Value"))</f>
        <v>Low Value</v>
      </c>
    </row>
    <row r="592" spans="1:16" x14ac:dyDescent="0.35">
      <c r="A592" s="1">
        <v>42231</v>
      </c>
      <c r="B592">
        <v>3.34</v>
      </c>
      <c r="C592">
        <v>6.34</v>
      </c>
      <c r="D592">
        <v>6</v>
      </c>
      <c r="E592">
        <v>35</v>
      </c>
      <c r="F592">
        <v>14</v>
      </c>
      <c r="G592">
        <v>1</v>
      </c>
      <c r="H592">
        <v>1</v>
      </c>
      <c r="I592">
        <v>1</v>
      </c>
      <c r="J592">
        <v>2015</v>
      </c>
      <c r="K592">
        <v>8</v>
      </c>
      <c r="L592" t="s">
        <v>13</v>
      </c>
      <c r="M592">
        <f>SUM(Pharma_Sales_Data[[#This Row],[M01AB]:[R06]])</f>
        <v>67.680000000000007</v>
      </c>
      <c r="N592" s="2">
        <f>Pharma_Sales_Data[[#This Row],[Total Drug Sales]]*150</f>
        <v>10152.000000000002</v>
      </c>
      <c r="O592" s="2">
        <f>Pharma_Sales_Data[[#This Row],[Total Revenue]]*0.3</f>
        <v>3045.6000000000004</v>
      </c>
      <c r="P592" t="str">
        <f>IF(Pharma_Sales_Data[[#This Row],[Total Revenue]]&gt;20000,"High Value", IF(Pharma_Sales_Data[[#This Row],[Total Revenue]]&gt;=10000,"Medium Value","Low Value"))</f>
        <v>Medium Value</v>
      </c>
    </row>
    <row r="593" spans="1:16" x14ac:dyDescent="0.35">
      <c r="A593" s="1">
        <v>42232</v>
      </c>
      <c r="B593">
        <v>2</v>
      </c>
      <c r="C593">
        <v>4.67</v>
      </c>
      <c r="D593">
        <v>2</v>
      </c>
      <c r="E593">
        <v>19.25</v>
      </c>
      <c r="F593">
        <v>4</v>
      </c>
      <c r="G593">
        <v>2</v>
      </c>
      <c r="H593">
        <v>0</v>
      </c>
      <c r="I593">
        <v>2</v>
      </c>
      <c r="J593">
        <v>2015</v>
      </c>
      <c r="K593">
        <v>8</v>
      </c>
      <c r="L593" t="s">
        <v>14</v>
      </c>
      <c r="M593">
        <f>SUM(Pharma_Sales_Data[[#This Row],[M01AB]:[R06]])</f>
        <v>35.92</v>
      </c>
      <c r="N593" s="2">
        <f>Pharma_Sales_Data[[#This Row],[Total Drug Sales]]*150</f>
        <v>5388</v>
      </c>
      <c r="O593" s="2">
        <f>Pharma_Sales_Data[[#This Row],[Total Revenue]]*0.3</f>
        <v>1616.3999999999999</v>
      </c>
      <c r="P593" t="str">
        <f>IF(Pharma_Sales_Data[[#This Row],[Total Revenue]]&gt;20000,"High Value", IF(Pharma_Sales_Data[[#This Row],[Total Revenue]]&gt;=10000,"Medium Value","Low Value"))</f>
        <v>Low Value</v>
      </c>
    </row>
    <row r="594" spans="1:16" x14ac:dyDescent="0.35">
      <c r="A594" s="1">
        <v>42233</v>
      </c>
      <c r="B594">
        <v>8</v>
      </c>
      <c r="C594">
        <v>3</v>
      </c>
      <c r="D594">
        <v>3</v>
      </c>
      <c r="E594">
        <v>33</v>
      </c>
      <c r="F594">
        <v>6</v>
      </c>
      <c r="G594">
        <v>0</v>
      </c>
      <c r="H594">
        <v>0</v>
      </c>
      <c r="I594">
        <v>2</v>
      </c>
      <c r="J594">
        <v>2015</v>
      </c>
      <c r="K594">
        <v>8</v>
      </c>
      <c r="L594" t="s">
        <v>15</v>
      </c>
      <c r="M594">
        <f>SUM(Pharma_Sales_Data[[#This Row],[M01AB]:[R06]])</f>
        <v>55</v>
      </c>
      <c r="N594" s="2">
        <f>Pharma_Sales_Data[[#This Row],[Total Drug Sales]]*150</f>
        <v>8250</v>
      </c>
      <c r="O594" s="2">
        <f>Pharma_Sales_Data[[#This Row],[Total Revenue]]*0.3</f>
        <v>2475</v>
      </c>
      <c r="P594" t="str">
        <f>IF(Pharma_Sales_Data[[#This Row],[Total Revenue]]&gt;20000,"High Value", IF(Pharma_Sales_Data[[#This Row],[Total Revenue]]&gt;=10000,"Medium Value","Low Value"))</f>
        <v>Low Value</v>
      </c>
    </row>
    <row r="595" spans="1:16" x14ac:dyDescent="0.35">
      <c r="A595" s="1">
        <v>42234</v>
      </c>
      <c r="B595">
        <v>6.01</v>
      </c>
      <c r="C595">
        <v>2.67</v>
      </c>
      <c r="D595">
        <v>3</v>
      </c>
      <c r="E595">
        <v>24</v>
      </c>
      <c r="F595">
        <v>16</v>
      </c>
      <c r="G595">
        <v>0</v>
      </c>
      <c r="H595">
        <v>3</v>
      </c>
      <c r="I595">
        <v>1</v>
      </c>
      <c r="J595">
        <v>2015</v>
      </c>
      <c r="K595">
        <v>8</v>
      </c>
      <c r="L595" t="s">
        <v>16</v>
      </c>
      <c r="M595">
        <f>SUM(Pharma_Sales_Data[[#This Row],[M01AB]:[R06]])</f>
        <v>55.68</v>
      </c>
      <c r="N595" s="2">
        <f>Pharma_Sales_Data[[#This Row],[Total Drug Sales]]*150</f>
        <v>8352</v>
      </c>
      <c r="O595" s="2">
        <f>Pharma_Sales_Data[[#This Row],[Total Revenue]]*0.3</f>
        <v>2505.6</v>
      </c>
      <c r="P595" t="str">
        <f>IF(Pharma_Sales_Data[[#This Row],[Total Revenue]]&gt;20000,"High Value", IF(Pharma_Sales_Data[[#This Row],[Total Revenue]]&gt;=10000,"Medium Value","Low Value"))</f>
        <v>Low Value</v>
      </c>
    </row>
    <row r="596" spans="1:16" x14ac:dyDescent="0.35">
      <c r="A596" s="1">
        <v>42235</v>
      </c>
      <c r="B596">
        <v>6.33</v>
      </c>
      <c r="C596">
        <v>2.66</v>
      </c>
      <c r="D596">
        <v>8</v>
      </c>
      <c r="E596">
        <v>28</v>
      </c>
      <c r="F596">
        <v>15</v>
      </c>
      <c r="G596">
        <v>0</v>
      </c>
      <c r="H596">
        <v>3</v>
      </c>
      <c r="I596">
        <v>3</v>
      </c>
      <c r="J596">
        <v>2015</v>
      </c>
      <c r="K596">
        <v>8</v>
      </c>
      <c r="L596" t="s">
        <v>17</v>
      </c>
      <c r="M596">
        <f>SUM(Pharma_Sales_Data[[#This Row],[M01AB]:[R06]])</f>
        <v>65.990000000000009</v>
      </c>
      <c r="N596" s="2">
        <f>Pharma_Sales_Data[[#This Row],[Total Drug Sales]]*150</f>
        <v>9898.5000000000018</v>
      </c>
      <c r="O596" s="2">
        <f>Pharma_Sales_Data[[#This Row],[Total Revenue]]*0.3</f>
        <v>2969.5500000000006</v>
      </c>
      <c r="P596" t="str">
        <f>IF(Pharma_Sales_Data[[#This Row],[Total Revenue]]&gt;20000,"High Value", IF(Pharma_Sales_Data[[#This Row],[Total Revenue]]&gt;=10000,"Medium Value","Low Value"))</f>
        <v>Low Value</v>
      </c>
    </row>
    <row r="597" spans="1:16" x14ac:dyDescent="0.35">
      <c r="A597" s="1">
        <v>42236</v>
      </c>
      <c r="B597">
        <v>3.5</v>
      </c>
      <c r="C597">
        <v>3.68</v>
      </c>
      <c r="D597">
        <v>5</v>
      </c>
      <c r="E597">
        <v>19</v>
      </c>
      <c r="F597">
        <v>6</v>
      </c>
      <c r="G597">
        <v>1</v>
      </c>
      <c r="H597">
        <v>0</v>
      </c>
      <c r="I597">
        <v>0</v>
      </c>
      <c r="J597">
        <v>2015</v>
      </c>
      <c r="K597">
        <v>8</v>
      </c>
      <c r="L597" t="s">
        <v>11</v>
      </c>
      <c r="M597">
        <f>SUM(Pharma_Sales_Data[[#This Row],[M01AB]:[R06]])</f>
        <v>38.18</v>
      </c>
      <c r="N597" s="2">
        <f>Pharma_Sales_Data[[#This Row],[Total Drug Sales]]*150</f>
        <v>5727</v>
      </c>
      <c r="O597" s="2">
        <f>Pharma_Sales_Data[[#This Row],[Total Revenue]]*0.3</f>
        <v>1718.1</v>
      </c>
      <c r="P597" t="str">
        <f>IF(Pharma_Sales_Data[[#This Row],[Total Revenue]]&gt;20000,"High Value", IF(Pharma_Sales_Data[[#This Row],[Total Revenue]]&gt;=10000,"Medium Value","Low Value"))</f>
        <v>Low Value</v>
      </c>
    </row>
    <row r="598" spans="1:16" x14ac:dyDescent="0.35">
      <c r="A598" s="1">
        <v>42237</v>
      </c>
      <c r="B598">
        <v>6</v>
      </c>
      <c r="C598">
        <v>0.67</v>
      </c>
      <c r="D598">
        <v>3</v>
      </c>
      <c r="E598">
        <v>34</v>
      </c>
      <c r="F598">
        <v>8</v>
      </c>
      <c r="G598">
        <v>1</v>
      </c>
      <c r="H598">
        <v>1</v>
      </c>
      <c r="I598">
        <v>4</v>
      </c>
      <c r="J598">
        <v>2015</v>
      </c>
      <c r="K598">
        <v>8</v>
      </c>
      <c r="L598" t="s">
        <v>12</v>
      </c>
      <c r="M598">
        <f>SUM(Pharma_Sales_Data[[#This Row],[M01AB]:[R06]])</f>
        <v>57.67</v>
      </c>
      <c r="N598" s="2">
        <f>Pharma_Sales_Data[[#This Row],[Total Drug Sales]]*150</f>
        <v>8650.5</v>
      </c>
      <c r="O598" s="2">
        <f>Pharma_Sales_Data[[#This Row],[Total Revenue]]*0.3</f>
        <v>2595.15</v>
      </c>
      <c r="P598" t="str">
        <f>IF(Pharma_Sales_Data[[#This Row],[Total Revenue]]&gt;20000,"High Value", IF(Pharma_Sales_Data[[#This Row],[Total Revenue]]&gt;=10000,"Medium Value","Low Value"))</f>
        <v>Low Value</v>
      </c>
    </row>
    <row r="599" spans="1:16" x14ac:dyDescent="0.35">
      <c r="A599" s="1">
        <v>42238</v>
      </c>
      <c r="B599">
        <v>2.34</v>
      </c>
      <c r="C599">
        <v>6.7359999999999998</v>
      </c>
      <c r="D599">
        <v>4</v>
      </c>
      <c r="E599">
        <v>28</v>
      </c>
      <c r="F599">
        <v>6</v>
      </c>
      <c r="G599">
        <v>3</v>
      </c>
      <c r="H599">
        <v>1</v>
      </c>
      <c r="I599">
        <v>6</v>
      </c>
      <c r="J599">
        <v>2015</v>
      </c>
      <c r="K599">
        <v>8</v>
      </c>
      <c r="L599" t="s">
        <v>13</v>
      </c>
      <c r="M599">
        <f>SUM(Pharma_Sales_Data[[#This Row],[M01AB]:[R06]])</f>
        <v>57.076000000000001</v>
      </c>
      <c r="N599" s="2">
        <f>Pharma_Sales_Data[[#This Row],[Total Drug Sales]]*150</f>
        <v>8561.4</v>
      </c>
      <c r="O599" s="2">
        <f>Pharma_Sales_Data[[#This Row],[Total Revenue]]*0.3</f>
        <v>2568.4199999999996</v>
      </c>
      <c r="P599" t="str">
        <f>IF(Pharma_Sales_Data[[#This Row],[Total Revenue]]&gt;20000,"High Value", IF(Pharma_Sales_Data[[#This Row],[Total Revenue]]&gt;=10000,"Medium Value","Low Value"))</f>
        <v>Low Value</v>
      </c>
    </row>
    <row r="600" spans="1:16" x14ac:dyDescent="0.35">
      <c r="A600" s="1">
        <v>42239</v>
      </c>
      <c r="B600">
        <v>8.99</v>
      </c>
      <c r="C600">
        <v>5.33</v>
      </c>
      <c r="D600">
        <v>3</v>
      </c>
      <c r="E600">
        <v>28</v>
      </c>
      <c r="F600">
        <v>8</v>
      </c>
      <c r="G600">
        <v>0</v>
      </c>
      <c r="H600">
        <v>2</v>
      </c>
      <c r="I600">
        <v>2</v>
      </c>
      <c r="J600">
        <v>2015</v>
      </c>
      <c r="K600">
        <v>8</v>
      </c>
      <c r="L600" t="s">
        <v>14</v>
      </c>
      <c r="M600">
        <f>SUM(Pharma_Sales_Data[[#This Row],[M01AB]:[R06]])</f>
        <v>57.32</v>
      </c>
      <c r="N600" s="2">
        <f>Pharma_Sales_Data[[#This Row],[Total Drug Sales]]*150</f>
        <v>8598</v>
      </c>
      <c r="O600" s="2">
        <f>Pharma_Sales_Data[[#This Row],[Total Revenue]]*0.3</f>
        <v>2579.4</v>
      </c>
      <c r="P600" t="str">
        <f>IF(Pharma_Sales_Data[[#This Row],[Total Revenue]]&gt;20000,"High Value", IF(Pharma_Sales_Data[[#This Row],[Total Revenue]]&gt;=10000,"Medium Value","Low Value"))</f>
        <v>Low Value</v>
      </c>
    </row>
    <row r="601" spans="1:16" x14ac:dyDescent="0.35">
      <c r="A601" s="1">
        <v>42240</v>
      </c>
      <c r="B601">
        <v>8.5</v>
      </c>
      <c r="C601">
        <v>3.66</v>
      </c>
      <c r="D601">
        <v>3.4</v>
      </c>
      <c r="E601">
        <v>45.1</v>
      </c>
      <c r="F601">
        <v>8</v>
      </c>
      <c r="G601">
        <v>0</v>
      </c>
      <c r="H601">
        <v>0</v>
      </c>
      <c r="I601">
        <v>1</v>
      </c>
      <c r="J601">
        <v>2015</v>
      </c>
      <c r="K601">
        <v>8</v>
      </c>
      <c r="L601" t="s">
        <v>15</v>
      </c>
      <c r="M601">
        <f>SUM(Pharma_Sales_Data[[#This Row],[M01AB]:[R06]])</f>
        <v>69.66</v>
      </c>
      <c r="N601" s="2">
        <f>Pharma_Sales_Data[[#This Row],[Total Drug Sales]]*150</f>
        <v>10449</v>
      </c>
      <c r="O601" s="2">
        <f>Pharma_Sales_Data[[#This Row],[Total Revenue]]*0.3</f>
        <v>3134.7</v>
      </c>
      <c r="P601" t="str">
        <f>IF(Pharma_Sales_Data[[#This Row],[Total Revenue]]&gt;20000,"High Value", IF(Pharma_Sales_Data[[#This Row],[Total Revenue]]&gt;=10000,"Medium Value","Low Value"))</f>
        <v>Medium Value</v>
      </c>
    </row>
    <row r="602" spans="1:16" x14ac:dyDescent="0.35">
      <c r="A602" s="1">
        <v>42241</v>
      </c>
      <c r="B602">
        <v>2.34</v>
      </c>
      <c r="C602">
        <v>2.67</v>
      </c>
      <c r="D602">
        <v>4</v>
      </c>
      <c r="E602">
        <v>23.5</v>
      </c>
      <c r="F602">
        <v>20</v>
      </c>
      <c r="G602">
        <v>0</v>
      </c>
      <c r="H602">
        <v>1</v>
      </c>
      <c r="I602">
        <v>3</v>
      </c>
      <c r="J602">
        <v>2015</v>
      </c>
      <c r="K602">
        <v>8</v>
      </c>
      <c r="L602" t="s">
        <v>16</v>
      </c>
      <c r="M602">
        <f>SUM(Pharma_Sales_Data[[#This Row],[M01AB]:[R06]])</f>
        <v>56.51</v>
      </c>
      <c r="N602" s="2">
        <f>Pharma_Sales_Data[[#This Row],[Total Drug Sales]]*150</f>
        <v>8476.5</v>
      </c>
      <c r="O602" s="2">
        <f>Pharma_Sales_Data[[#This Row],[Total Revenue]]*0.3</f>
        <v>2542.9499999999998</v>
      </c>
      <c r="P602" t="str">
        <f>IF(Pharma_Sales_Data[[#This Row],[Total Revenue]]&gt;20000,"High Value", IF(Pharma_Sales_Data[[#This Row],[Total Revenue]]&gt;=10000,"Medium Value","Low Value"))</f>
        <v>Low Value</v>
      </c>
    </row>
    <row r="603" spans="1:16" x14ac:dyDescent="0.35">
      <c r="A603" s="1">
        <v>42242</v>
      </c>
      <c r="B603">
        <v>2.67</v>
      </c>
      <c r="C603">
        <v>4.0199999999999996</v>
      </c>
      <c r="D603">
        <v>7.3</v>
      </c>
      <c r="E603">
        <v>27</v>
      </c>
      <c r="F603">
        <v>7</v>
      </c>
      <c r="G603">
        <v>0</v>
      </c>
      <c r="H603">
        <v>1</v>
      </c>
      <c r="I603">
        <v>6</v>
      </c>
      <c r="J603">
        <v>2015</v>
      </c>
      <c r="K603">
        <v>8</v>
      </c>
      <c r="L603" t="s">
        <v>17</v>
      </c>
      <c r="M603">
        <f>SUM(Pharma_Sales_Data[[#This Row],[M01AB]:[R06]])</f>
        <v>54.989999999999995</v>
      </c>
      <c r="N603" s="2">
        <f>Pharma_Sales_Data[[#This Row],[Total Drug Sales]]*150</f>
        <v>8248.5</v>
      </c>
      <c r="O603" s="2">
        <f>Pharma_Sales_Data[[#This Row],[Total Revenue]]*0.3</f>
        <v>2474.5499999999997</v>
      </c>
      <c r="P603" t="str">
        <f>IF(Pharma_Sales_Data[[#This Row],[Total Revenue]]&gt;20000,"High Value", IF(Pharma_Sales_Data[[#This Row],[Total Revenue]]&gt;=10000,"Medium Value","Low Value"))</f>
        <v>Low Value</v>
      </c>
    </row>
    <row r="604" spans="1:16" x14ac:dyDescent="0.35">
      <c r="A604" s="1">
        <v>42243</v>
      </c>
      <c r="B604">
        <v>9.33</v>
      </c>
      <c r="C604">
        <v>3</v>
      </c>
      <c r="D604">
        <v>4.5</v>
      </c>
      <c r="E604">
        <v>32</v>
      </c>
      <c r="F604">
        <v>8</v>
      </c>
      <c r="G604">
        <v>0</v>
      </c>
      <c r="H604">
        <v>0</v>
      </c>
      <c r="I604">
        <v>3</v>
      </c>
      <c r="J604">
        <v>2015</v>
      </c>
      <c r="K604">
        <v>8</v>
      </c>
      <c r="L604" t="s">
        <v>11</v>
      </c>
      <c r="M604">
        <f>SUM(Pharma_Sales_Data[[#This Row],[M01AB]:[R06]])</f>
        <v>59.83</v>
      </c>
      <c r="N604" s="2">
        <f>Pharma_Sales_Data[[#This Row],[Total Drug Sales]]*150</f>
        <v>8974.5</v>
      </c>
      <c r="O604" s="2">
        <f>Pharma_Sales_Data[[#This Row],[Total Revenue]]*0.3</f>
        <v>2692.35</v>
      </c>
      <c r="P604" t="str">
        <f>IF(Pharma_Sales_Data[[#This Row],[Total Revenue]]&gt;20000,"High Value", IF(Pharma_Sales_Data[[#This Row],[Total Revenue]]&gt;=10000,"Medium Value","Low Value"))</f>
        <v>Low Value</v>
      </c>
    </row>
    <row r="605" spans="1:16" x14ac:dyDescent="0.35">
      <c r="A605" s="1">
        <v>42244</v>
      </c>
      <c r="B605">
        <v>7</v>
      </c>
      <c r="C605">
        <v>8.67</v>
      </c>
      <c r="D605">
        <v>1</v>
      </c>
      <c r="E605">
        <v>15.1</v>
      </c>
      <c r="F605">
        <v>12</v>
      </c>
      <c r="G605">
        <v>0</v>
      </c>
      <c r="H605">
        <v>0</v>
      </c>
      <c r="I605">
        <v>3</v>
      </c>
      <c r="J605">
        <v>2015</v>
      </c>
      <c r="K605">
        <v>8</v>
      </c>
      <c r="L605" t="s">
        <v>12</v>
      </c>
      <c r="M605">
        <f>SUM(Pharma_Sales_Data[[#This Row],[M01AB]:[R06]])</f>
        <v>46.77</v>
      </c>
      <c r="N605" s="2">
        <f>Pharma_Sales_Data[[#This Row],[Total Drug Sales]]*150</f>
        <v>7015.5000000000009</v>
      </c>
      <c r="O605" s="2">
        <f>Pharma_Sales_Data[[#This Row],[Total Revenue]]*0.3</f>
        <v>2104.65</v>
      </c>
      <c r="P605" t="str">
        <f>IF(Pharma_Sales_Data[[#This Row],[Total Revenue]]&gt;20000,"High Value", IF(Pharma_Sales_Data[[#This Row],[Total Revenue]]&gt;=10000,"Medium Value","Low Value"))</f>
        <v>Low Value</v>
      </c>
    </row>
    <row r="606" spans="1:16" x14ac:dyDescent="0.35">
      <c r="A606" s="1">
        <v>42245</v>
      </c>
      <c r="B606">
        <v>10.84</v>
      </c>
      <c r="C606">
        <v>10.34</v>
      </c>
      <c r="D606">
        <v>4</v>
      </c>
      <c r="E606">
        <v>23.2</v>
      </c>
      <c r="F606">
        <v>4</v>
      </c>
      <c r="G606">
        <v>3</v>
      </c>
      <c r="H606">
        <v>3</v>
      </c>
      <c r="I606">
        <v>2</v>
      </c>
      <c r="J606">
        <v>2015</v>
      </c>
      <c r="K606">
        <v>8</v>
      </c>
      <c r="L606" t="s">
        <v>13</v>
      </c>
      <c r="M606">
        <f>SUM(Pharma_Sales_Data[[#This Row],[M01AB]:[R06]])</f>
        <v>60.379999999999995</v>
      </c>
      <c r="N606" s="2">
        <f>Pharma_Sales_Data[[#This Row],[Total Drug Sales]]*150</f>
        <v>9057</v>
      </c>
      <c r="O606" s="2">
        <f>Pharma_Sales_Data[[#This Row],[Total Revenue]]*0.3</f>
        <v>2717.1</v>
      </c>
      <c r="P606" t="str">
        <f>IF(Pharma_Sales_Data[[#This Row],[Total Revenue]]&gt;20000,"High Value", IF(Pharma_Sales_Data[[#This Row],[Total Revenue]]&gt;=10000,"Medium Value","Low Value"))</f>
        <v>Low Value</v>
      </c>
    </row>
    <row r="607" spans="1:16" x14ac:dyDescent="0.35">
      <c r="A607" s="1">
        <v>42246</v>
      </c>
      <c r="B607">
        <v>11</v>
      </c>
      <c r="C607">
        <v>6.02</v>
      </c>
      <c r="D607">
        <v>3.5</v>
      </c>
      <c r="E607">
        <v>21</v>
      </c>
      <c r="F607">
        <v>3</v>
      </c>
      <c r="G607">
        <v>0</v>
      </c>
      <c r="H607">
        <v>6</v>
      </c>
      <c r="I607">
        <v>4</v>
      </c>
      <c r="J607">
        <v>2015</v>
      </c>
      <c r="K607">
        <v>8</v>
      </c>
      <c r="L607" t="s">
        <v>14</v>
      </c>
      <c r="M607">
        <f>SUM(Pharma_Sales_Data[[#This Row],[M01AB]:[R06]])</f>
        <v>54.519999999999996</v>
      </c>
      <c r="N607" s="2">
        <f>Pharma_Sales_Data[[#This Row],[Total Drug Sales]]*150</f>
        <v>8177.9999999999991</v>
      </c>
      <c r="O607" s="2">
        <f>Pharma_Sales_Data[[#This Row],[Total Revenue]]*0.3</f>
        <v>2453.3999999999996</v>
      </c>
      <c r="P607" t="str">
        <f>IF(Pharma_Sales_Data[[#This Row],[Total Revenue]]&gt;20000,"High Value", IF(Pharma_Sales_Data[[#This Row],[Total Revenue]]&gt;=10000,"Medium Value","Low Value"))</f>
        <v>Low Value</v>
      </c>
    </row>
    <row r="608" spans="1:16" x14ac:dyDescent="0.35">
      <c r="A608" s="1">
        <v>42247</v>
      </c>
      <c r="B608">
        <v>4</v>
      </c>
      <c r="C608">
        <v>9.34</v>
      </c>
      <c r="D608">
        <v>3.4</v>
      </c>
      <c r="E608">
        <v>38</v>
      </c>
      <c r="F608">
        <v>9.5</v>
      </c>
      <c r="G608">
        <v>0</v>
      </c>
      <c r="H608">
        <v>6</v>
      </c>
      <c r="I608">
        <v>2</v>
      </c>
      <c r="J608">
        <v>2015</v>
      </c>
      <c r="K608">
        <v>8</v>
      </c>
      <c r="L608" t="s">
        <v>15</v>
      </c>
      <c r="M608">
        <f>SUM(Pharma_Sales_Data[[#This Row],[M01AB]:[R06]])</f>
        <v>72.239999999999995</v>
      </c>
      <c r="N608" s="2">
        <f>Pharma_Sales_Data[[#This Row],[Total Drug Sales]]*150</f>
        <v>10836</v>
      </c>
      <c r="O608" s="2">
        <f>Pharma_Sales_Data[[#This Row],[Total Revenue]]*0.3</f>
        <v>3250.7999999999997</v>
      </c>
      <c r="P608" t="str">
        <f>IF(Pharma_Sales_Data[[#This Row],[Total Revenue]]&gt;20000,"High Value", IF(Pharma_Sales_Data[[#This Row],[Total Revenue]]&gt;=10000,"Medium Value","Low Value"))</f>
        <v>Medium Value</v>
      </c>
    </row>
    <row r="609" spans="1:16" x14ac:dyDescent="0.35">
      <c r="A609" s="1">
        <v>42248</v>
      </c>
      <c r="B609">
        <v>8.18</v>
      </c>
      <c r="C609">
        <v>2.84</v>
      </c>
      <c r="D609">
        <v>4.4000000000000004</v>
      </c>
      <c r="E609">
        <v>28.25</v>
      </c>
      <c r="F609">
        <v>8</v>
      </c>
      <c r="G609">
        <v>0</v>
      </c>
      <c r="H609">
        <v>0</v>
      </c>
      <c r="I609">
        <v>3</v>
      </c>
      <c r="J609">
        <v>2015</v>
      </c>
      <c r="K609">
        <v>9</v>
      </c>
      <c r="L609" t="s">
        <v>16</v>
      </c>
      <c r="M609">
        <f>SUM(Pharma_Sales_Data[[#This Row],[M01AB]:[R06]])</f>
        <v>54.67</v>
      </c>
      <c r="N609" s="2">
        <f>Pharma_Sales_Data[[#This Row],[Total Drug Sales]]*150</f>
        <v>8200.5</v>
      </c>
      <c r="O609" s="2">
        <f>Pharma_Sales_Data[[#This Row],[Total Revenue]]*0.3</f>
        <v>2460.15</v>
      </c>
      <c r="P609" t="str">
        <f>IF(Pharma_Sales_Data[[#This Row],[Total Revenue]]&gt;20000,"High Value", IF(Pharma_Sales_Data[[#This Row],[Total Revenue]]&gt;=10000,"Medium Value","Low Value"))</f>
        <v>Low Value</v>
      </c>
    </row>
    <row r="610" spans="1:16" x14ac:dyDescent="0.35">
      <c r="A610" s="1">
        <v>42249</v>
      </c>
      <c r="B610">
        <v>5.33</v>
      </c>
      <c r="C610">
        <v>7</v>
      </c>
      <c r="D610">
        <v>3</v>
      </c>
      <c r="E610">
        <v>31.3</v>
      </c>
      <c r="F610">
        <v>9.5</v>
      </c>
      <c r="G610">
        <v>0</v>
      </c>
      <c r="H610">
        <v>5</v>
      </c>
      <c r="I610">
        <v>5</v>
      </c>
      <c r="J610">
        <v>2015</v>
      </c>
      <c r="K610">
        <v>9</v>
      </c>
      <c r="L610" t="s">
        <v>17</v>
      </c>
      <c r="M610">
        <f>SUM(Pharma_Sales_Data[[#This Row],[M01AB]:[R06]])</f>
        <v>66.13</v>
      </c>
      <c r="N610" s="2">
        <f>Pharma_Sales_Data[[#This Row],[Total Drug Sales]]*150</f>
        <v>9919.5</v>
      </c>
      <c r="O610" s="2">
        <f>Pharma_Sales_Data[[#This Row],[Total Revenue]]*0.3</f>
        <v>2975.85</v>
      </c>
      <c r="P610" t="str">
        <f>IF(Pharma_Sales_Data[[#This Row],[Total Revenue]]&gt;20000,"High Value", IF(Pharma_Sales_Data[[#This Row],[Total Revenue]]&gt;=10000,"Medium Value","Low Value"))</f>
        <v>Low Value</v>
      </c>
    </row>
    <row r="611" spans="1:16" x14ac:dyDescent="0.35">
      <c r="A611" s="1">
        <v>42250</v>
      </c>
      <c r="B611">
        <v>1.34</v>
      </c>
      <c r="C611">
        <v>3.68</v>
      </c>
      <c r="D611">
        <v>2.2000000000000002</v>
      </c>
      <c r="E611">
        <v>19</v>
      </c>
      <c r="F611">
        <v>13</v>
      </c>
      <c r="G611">
        <v>0</v>
      </c>
      <c r="H611">
        <v>4</v>
      </c>
      <c r="I611">
        <v>2</v>
      </c>
      <c r="J611">
        <v>2015</v>
      </c>
      <c r="K611">
        <v>9</v>
      </c>
      <c r="L611" t="s">
        <v>11</v>
      </c>
      <c r="M611">
        <f>SUM(Pharma_Sales_Data[[#This Row],[M01AB]:[R06]])</f>
        <v>45.22</v>
      </c>
      <c r="N611" s="2">
        <f>Pharma_Sales_Data[[#This Row],[Total Drug Sales]]*150</f>
        <v>6783</v>
      </c>
      <c r="O611" s="2">
        <f>Pharma_Sales_Data[[#This Row],[Total Revenue]]*0.3</f>
        <v>2034.8999999999999</v>
      </c>
      <c r="P611" t="str">
        <f>IF(Pharma_Sales_Data[[#This Row],[Total Revenue]]&gt;20000,"High Value", IF(Pharma_Sales_Data[[#This Row],[Total Revenue]]&gt;=10000,"Medium Value","Low Value"))</f>
        <v>Low Value</v>
      </c>
    </row>
    <row r="612" spans="1:16" x14ac:dyDescent="0.35">
      <c r="A612" s="1">
        <v>42251</v>
      </c>
      <c r="B612">
        <v>3.34</v>
      </c>
      <c r="C612">
        <v>2.68</v>
      </c>
      <c r="D612">
        <v>3.1</v>
      </c>
      <c r="E612">
        <v>20</v>
      </c>
      <c r="F612">
        <v>8</v>
      </c>
      <c r="G612">
        <v>1</v>
      </c>
      <c r="H612">
        <v>1</v>
      </c>
      <c r="I612">
        <v>2</v>
      </c>
      <c r="J612">
        <v>2015</v>
      </c>
      <c r="K612">
        <v>9</v>
      </c>
      <c r="L612" t="s">
        <v>12</v>
      </c>
      <c r="M612">
        <f>SUM(Pharma_Sales_Data[[#This Row],[M01AB]:[R06]])</f>
        <v>41.12</v>
      </c>
      <c r="N612" s="2">
        <f>Pharma_Sales_Data[[#This Row],[Total Drug Sales]]*150</f>
        <v>6168</v>
      </c>
      <c r="O612" s="2">
        <f>Pharma_Sales_Data[[#This Row],[Total Revenue]]*0.3</f>
        <v>1850.3999999999999</v>
      </c>
      <c r="P612" t="str">
        <f>IF(Pharma_Sales_Data[[#This Row],[Total Revenue]]&gt;20000,"High Value", IF(Pharma_Sales_Data[[#This Row],[Total Revenue]]&gt;=10000,"Medium Value","Low Value"))</f>
        <v>Low Value</v>
      </c>
    </row>
    <row r="613" spans="1:16" x14ac:dyDescent="0.35">
      <c r="A613" s="1">
        <v>42252</v>
      </c>
      <c r="B613">
        <v>8.83</v>
      </c>
      <c r="C613">
        <v>6.01</v>
      </c>
      <c r="D613">
        <v>3.2</v>
      </c>
      <c r="E613">
        <v>20</v>
      </c>
      <c r="F613">
        <v>10.5</v>
      </c>
      <c r="G613">
        <v>1</v>
      </c>
      <c r="H613">
        <v>6</v>
      </c>
      <c r="I613">
        <v>4</v>
      </c>
      <c r="J613">
        <v>2015</v>
      </c>
      <c r="K613">
        <v>9</v>
      </c>
      <c r="L613" t="s">
        <v>13</v>
      </c>
      <c r="M613">
        <f>SUM(Pharma_Sales_Data[[#This Row],[M01AB]:[R06]])</f>
        <v>59.54</v>
      </c>
      <c r="N613" s="2">
        <f>Pharma_Sales_Data[[#This Row],[Total Drug Sales]]*150</f>
        <v>8931</v>
      </c>
      <c r="O613" s="2">
        <f>Pharma_Sales_Data[[#This Row],[Total Revenue]]*0.3</f>
        <v>2679.2999999999997</v>
      </c>
      <c r="P613" t="str">
        <f>IF(Pharma_Sales_Data[[#This Row],[Total Revenue]]&gt;20000,"High Value", IF(Pharma_Sales_Data[[#This Row],[Total Revenue]]&gt;=10000,"Medium Value","Low Value"))</f>
        <v>Low Value</v>
      </c>
    </row>
    <row r="614" spans="1:16" x14ac:dyDescent="0.35">
      <c r="A614" s="1">
        <v>42253</v>
      </c>
      <c r="B614">
        <v>8.33</v>
      </c>
      <c r="C614">
        <v>9.67</v>
      </c>
      <c r="D614">
        <v>6</v>
      </c>
      <c r="E614">
        <v>23.6</v>
      </c>
      <c r="F614">
        <v>8</v>
      </c>
      <c r="G614">
        <v>1</v>
      </c>
      <c r="H614">
        <v>0</v>
      </c>
      <c r="I614">
        <v>3</v>
      </c>
      <c r="J614">
        <v>2015</v>
      </c>
      <c r="K614">
        <v>9</v>
      </c>
      <c r="L614" t="s">
        <v>14</v>
      </c>
      <c r="M614">
        <f>SUM(Pharma_Sales_Data[[#This Row],[M01AB]:[R06]])</f>
        <v>59.6</v>
      </c>
      <c r="N614" s="2">
        <f>Pharma_Sales_Data[[#This Row],[Total Drug Sales]]*150</f>
        <v>8940</v>
      </c>
      <c r="O614" s="2">
        <f>Pharma_Sales_Data[[#This Row],[Total Revenue]]*0.3</f>
        <v>2682</v>
      </c>
      <c r="P614" t="str">
        <f>IF(Pharma_Sales_Data[[#This Row],[Total Revenue]]&gt;20000,"High Value", IF(Pharma_Sales_Data[[#This Row],[Total Revenue]]&gt;=10000,"Medium Value","Low Value"))</f>
        <v>Low Value</v>
      </c>
    </row>
    <row r="615" spans="1:16" x14ac:dyDescent="0.35">
      <c r="A615" s="1">
        <v>42254</v>
      </c>
      <c r="B615">
        <v>4.34</v>
      </c>
      <c r="C615">
        <v>6.1239999999999997</v>
      </c>
      <c r="D615">
        <v>2.5</v>
      </c>
      <c r="E615">
        <v>32.799999999999997</v>
      </c>
      <c r="F615">
        <v>7</v>
      </c>
      <c r="G615">
        <v>1</v>
      </c>
      <c r="H615">
        <v>5</v>
      </c>
      <c r="I615">
        <v>2</v>
      </c>
      <c r="J615">
        <v>2015</v>
      </c>
      <c r="K615">
        <v>9</v>
      </c>
      <c r="L615" t="s">
        <v>15</v>
      </c>
      <c r="M615">
        <f>SUM(Pharma_Sales_Data[[#This Row],[M01AB]:[R06]])</f>
        <v>60.763999999999996</v>
      </c>
      <c r="N615" s="2">
        <f>Pharma_Sales_Data[[#This Row],[Total Drug Sales]]*150</f>
        <v>9114.5999999999985</v>
      </c>
      <c r="O615" s="2">
        <f>Pharma_Sales_Data[[#This Row],[Total Revenue]]*0.3</f>
        <v>2734.3799999999997</v>
      </c>
      <c r="P615" t="str">
        <f>IF(Pharma_Sales_Data[[#This Row],[Total Revenue]]&gt;20000,"High Value", IF(Pharma_Sales_Data[[#This Row],[Total Revenue]]&gt;=10000,"Medium Value","Low Value"))</f>
        <v>Low Value</v>
      </c>
    </row>
    <row r="616" spans="1:16" x14ac:dyDescent="0.35">
      <c r="A616" s="1">
        <v>42255</v>
      </c>
      <c r="B616">
        <v>2.67</v>
      </c>
      <c r="C616">
        <v>1.6930000000000001</v>
      </c>
      <c r="D616">
        <v>5</v>
      </c>
      <c r="E616">
        <v>29.2</v>
      </c>
      <c r="F616">
        <v>4</v>
      </c>
      <c r="G616">
        <v>0</v>
      </c>
      <c r="H616">
        <v>2</v>
      </c>
      <c r="I616">
        <v>4</v>
      </c>
      <c r="J616">
        <v>2015</v>
      </c>
      <c r="K616">
        <v>9</v>
      </c>
      <c r="L616" t="s">
        <v>16</v>
      </c>
      <c r="M616">
        <f>SUM(Pharma_Sales_Data[[#This Row],[M01AB]:[R06]])</f>
        <v>48.563000000000002</v>
      </c>
      <c r="N616" s="2">
        <f>Pharma_Sales_Data[[#This Row],[Total Drug Sales]]*150</f>
        <v>7284.4500000000007</v>
      </c>
      <c r="O616" s="2">
        <f>Pharma_Sales_Data[[#This Row],[Total Revenue]]*0.3</f>
        <v>2185.335</v>
      </c>
      <c r="P616" t="str">
        <f>IF(Pharma_Sales_Data[[#This Row],[Total Revenue]]&gt;20000,"High Value", IF(Pharma_Sales_Data[[#This Row],[Total Revenue]]&gt;=10000,"Medium Value","Low Value"))</f>
        <v>Low Value</v>
      </c>
    </row>
    <row r="617" spans="1:16" x14ac:dyDescent="0.35">
      <c r="A617" s="1">
        <v>42256</v>
      </c>
      <c r="B617">
        <v>2</v>
      </c>
      <c r="C617">
        <v>3</v>
      </c>
      <c r="D617">
        <v>1</v>
      </c>
      <c r="E617">
        <v>34.700000000000003</v>
      </c>
      <c r="F617">
        <v>8</v>
      </c>
      <c r="G617">
        <v>0</v>
      </c>
      <c r="H617">
        <v>2</v>
      </c>
      <c r="I617">
        <v>2</v>
      </c>
      <c r="J617">
        <v>2015</v>
      </c>
      <c r="K617">
        <v>9</v>
      </c>
      <c r="L617" t="s">
        <v>17</v>
      </c>
      <c r="M617">
        <f>SUM(Pharma_Sales_Data[[#This Row],[M01AB]:[R06]])</f>
        <v>52.7</v>
      </c>
      <c r="N617" s="2">
        <f>Pharma_Sales_Data[[#This Row],[Total Drug Sales]]*150</f>
        <v>7905</v>
      </c>
      <c r="O617" s="2">
        <f>Pharma_Sales_Data[[#This Row],[Total Revenue]]*0.3</f>
        <v>2371.5</v>
      </c>
      <c r="P617" t="str">
        <f>IF(Pharma_Sales_Data[[#This Row],[Total Revenue]]&gt;20000,"High Value", IF(Pharma_Sales_Data[[#This Row],[Total Revenue]]&gt;=10000,"Medium Value","Low Value"))</f>
        <v>Low Value</v>
      </c>
    </row>
    <row r="618" spans="1:16" x14ac:dyDescent="0.35">
      <c r="A618" s="1">
        <v>42257</v>
      </c>
      <c r="B618">
        <v>6</v>
      </c>
      <c r="C618">
        <v>3.99</v>
      </c>
      <c r="D618">
        <v>4.2</v>
      </c>
      <c r="E618">
        <v>21.2</v>
      </c>
      <c r="F618">
        <v>18</v>
      </c>
      <c r="G618">
        <v>0</v>
      </c>
      <c r="H618">
        <v>2</v>
      </c>
      <c r="I618">
        <v>2</v>
      </c>
      <c r="J618">
        <v>2015</v>
      </c>
      <c r="K618">
        <v>9</v>
      </c>
      <c r="L618" t="s">
        <v>11</v>
      </c>
      <c r="M618">
        <f>SUM(Pharma_Sales_Data[[#This Row],[M01AB]:[R06]])</f>
        <v>57.39</v>
      </c>
      <c r="N618" s="2">
        <f>Pharma_Sales_Data[[#This Row],[Total Drug Sales]]*150</f>
        <v>8608.5</v>
      </c>
      <c r="O618" s="2">
        <f>Pharma_Sales_Data[[#This Row],[Total Revenue]]*0.3</f>
        <v>2582.5499999999997</v>
      </c>
      <c r="P618" t="str">
        <f>IF(Pharma_Sales_Data[[#This Row],[Total Revenue]]&gt;20000,"High Value", IF(Pharma_Sales_Data[[#This Row],[Total Revenue]]&gt;=10000,"Medium Value","Low Value"))</f>
        <v>Low Value</v>
      </c>
    </row>
    <row r="619" spans="1:16" x14ac:dyDescent="0.35">
      <c r="A619" s="1">
        <v>42258</v>
      </c>
      <c r="B619">
        <v>11.33</v>
      </c>
      <c r="C619">
        <v>5</v>
      </c>
      <c r="D619">
        <v>9</v>
      </c>
      <c r="E619">
        <v>30</v>
      </c>
      <c r="F619">
        <v>9</v>
      </c>
      <c r="G619">
        <v>0</v>
      </c>
      <c r="H619">
        <v>2</v>
      </c>
      <c r="I619">
        <v>2</v>
      </c>
      <c r="J619">
        <v>2015</v>
      </c>
      <c r="K619">
        <v>9</v>
      </c>
      <c r="L619" t="s">
        <v>12</v>
      </c>
      <c r="M619">
        <f>SUM(Pharma_Sales_Data[[#This Row],[M01AB]:[R06]])</f>
        <v>68.33</v>
      </c>
      <c r="N619" s="2">
        <f>Pharma_Sales_Data[[#This Row],[Total Drug Sales]]*150</f>
        <v>10249.5</v>
      </c>
      <c r="O619" s="2">
        <f>Pharma_Sales_Data[[#This Row],[Total Revenue]]*0.3</f>
        <v>3074.85</v>
      </c>
      <c r="P619" t="str">
        <f>IF(Pharma_Sales_Data[[#This Row],[Total Revenue]]&gt;20000,"High Value", IF(Pharma_Sales_Data[[#This Row],[Total Revenue]]&gt;=10000,"Medium Value","Low Value"))</f>
        <v>Medium Value</v>
      </c>
    </row>
    <row r="620" spans="1:16" x14ac:dyDescent="0.35">
      <c r="A620" s="1">
        <v>42259</v>
      </c>
      <c r="B620">
        <v>4.66</v>
      </c>
      <c r="C620">
        <v>7.66</v>
      </c>
      <c r="D620">
        <v>5.2</v>
      </c>
      <c r="E620">
        <v>63.3</v>
      </c>
      <c r="F620">
        <v>6</v>
      </c>
      <c r="G620">
        <v>3</v>
      </c>
      <c r="H620">
        <v>0</v>
      </c>
      <c r="I620">
        <v>2</v>
      </c>
      <c r="J620">
        <v>2015</v>
      </c>
      <c r="K620">
        <v>9</v>
      </c>
      <c r="L620" t="s">
        <v>13</v>
      </c>
      <c r="M620">
        <f>SUM(Pharma_Sales_Data[[#This Row],[M01AB]:[R06]])</f>
        <v>91.82</v>
      </c>
      <c r="N620" s="2">
        <f>Pharma_Sales_Data[[#This Row],[Total Drug Sales]]*150</f>
        <v>13772.999999999998</v>
      </c>
      <c r="O620" s="2">
        <f>Pharma_Sales_Data[[#This Row],[Total Revenue]]*0.3</f>
        <v>4131.8999999999996</v>
      </c>
      <c r="P620" t="str">
        <f>IF(Pharma_Sales_Data[[#This Row],[Total Revenue]]&gt;20000,"High Value", IF(Pharma_Sales_Data[[#This Row],[Total Revenue]]&gt;=10000,"Medium Value","Low Value"))</f>
        <v>Medium Value</v>
      </c>
    </row>
    <row r="621" spans="1:16" x14ac:dyDescent="0.35">
      <c r="A621" s="1">
        <v>42260</v>
      </c>
      <c r="B621">
        <v>7.33</v>
      </c>
      <c r="C621">
        <v>6.165</v>
      </c>
      <c r="D621">
        <v>7.2</v>
      </c>
      <c r="E621">
        <v>25</v>
      </c>
      <c r="F621">
        <v>4</v>
      </c>
      <c r="G621">
        <v>0</v>
      </c>
      <c r="H621">
        <v>11</v>
      </c>
      <c r="I621">
        <v>3</v>
      </c>
      <c r="J621">
        <v>2015</v>
      </c>
      <c r="K621">
        <v>9</v>
      </c>
      <c r="L621" t="s">
        <v>14</v>
      </c>
      <c r="M621">
        <f>SUM(Pharma_Sales_Data[[#This Row],[M01AB]:[R06]])</f>
        <v>63.695</v>
      </c>
      <c r="N621" s="2">
        <f>Pharma_Sales_Data[[#This Row],[Total Drug Sales]]*150</f>
        <v>9554.25</v>
      </c>
      <c r="O621" s="2">
        <f>Pharma_Sales_Data[[#This Row],[Total Revenue]]*0.3</f>
        <v>2866.2750000000001</v>
      </c>
      <c r="P621" t="str">
        <f>IF(Pharma_Sales_Data[[#This Row],[Total Revenue]]&gt;20000,"High Value", IF(Pharma_Sales_Data[[#This Row],[Total Revenue]]&gt;=10000,"Medium Value","Low Value"))</f>
        <v>Low Value</v>
      </c>
    </row>
    <row r="622" spans="1:16" x14ac:dyDescent="0.35">
      <c r="A622" s="1">
        <v>42261</v>
      </c>
      <c r="B622">
        <v>4.68</v>
      </c>
      <c r="C622">
        <v>5</v>
      </c>
      <c r="D622">
        <v>1</v>
      </c>
      <c r="E622">
        <v>31.3</v>
      </c>
      <c r="F622">
        <v>14</v>
      </c>
      <c r="G622">
        <v>0</v>
      </c>
      <c r="H622">
        <v>0</v>
      </c>
      <c r="I622">
        <v>0</v>
      </c>
      <c r="J622">
        <v>2015</v>
      </c>
      <c r="K622">
        <v>9</v>
      </c>
      <c r="L622" t="s">
        <v>15</v>
      </c>
      <c r="M622">
        <f>SUM(Pharma_Sales_Data[[#This Row],[M01AB]:[R06]])</f>
        <v>55.980000000000004</v>
      </c>
      <c r="N622" s="2">
        <f>Pharma_Sales_Data[[#This Row],[Total Drug Sales]]*150</f>
        <v>8397</v>
      </c>
      <c r="O622" s="2">
        <f>Pharma_Sales_Data[[#This Row],[Total Revenue]]*0.3</f>
        <v>2519.1</v>
      </c>
      <c r="P622" t="str">
        <f>IF(Pharma_Sales_Data[[#This Row],[Total Revenue]]&gt;20000,"High Value", IF(Pharma_Sales_Data[[#This Row],[Total Revenue]]&gt;=10000,"Medium Value","Low Value"))</f>
        <v>Low Value</v>
      </c>
    </row>
    <row r="623" spans="1:16" x14ac:dyDescent="0.35">
      <c r="A623" s="1">
        <v>42262</v>
      </c>
      <c r="B623">
        <v>3.33</v>
      </c>
      <c r="C623">
        <v>5.0759999999999996</v>
      </c>
      <c r="D623">
        <v>4.2</v>
      </c>
      <c r="E623">
        <v>23.8</v>
      </c>
      <c r="F623">
        <v>7.5</v>
      </c>
      <c r="G623">
        <v>0</v>
      </c>
      <c r="H623">
        <v>6</v>
      </c>
      <c r="I623">
        <v>5</v>
      </c>
      <c r="J623">
        <v>2015</v>
      </c>
      <c r="K623">
        <v>9</v>
      </c>
      <c r="L623" t="s">
        <v>16</v>
      </c>
      <c r="M623">
        <f>SUM(Pharma_Sales_Data[[#This Row],[M01AB]:[R06]])</f>
        <v>54.905999999999999</v>
      </c>
      <c r="N623" s="2">
        <f>Pharma_Sales_Data[[#This Row],[Total Drug Sales]]*150</f>
        <v>8235.9</v>
      </c>
      <c r="O623" s="2">
        <f>Pharma_Sales_Data[[#This Row],[Total Revenue]]*0.3</f>
        <v>2470.77</v>
      </c>
      <c r="P623" t="str">
        <f>IF(Pharma_Sales_Data[[#This Row],[Total Revenue]]&gt;20000,"High Value", IF(Pharma_Sales_Data[[#This Row],[Total Revenue]]&gt;=10000,"Medium Value","Low Value"))</f>
        <v>Low Value</v>
      </c>
    </row>
    <row r="624" spans="1:16" x14ac:dyDescent="0.35">
      <c r="A624" s="1">
        <v>42263</v>
      </c>
      <c r="B624">
        <v>0.67</v>
      </c>
      <c r="C624">
        <v>4.835</v>
      </c>
      <c r="D624">
        <v>2.2000000000000002</v>
      </c>
      <c r="E624">
        <v>16.600000000000001</v>
      </c>
      <c r="F624">
        <v>6</v>
      </c>
      <c r="G624">
        <v>0</v>
      </c>
      <c r="H624">
        <v>2</v>
      </c>
      <c r="I624">
        <v>1</v>
      </c>
      <c r="J624">
        <v>2015</v>
      </c>
      <c r="K624">
        <v>9</v>
      </c>
      <c r="L624" t="s">
        <v>17</v>
      </c>
      <c r="M624">
        <f>SUM(Pharma_Sales_Data[[#This Row],[M01AB]:[R06]])</f>
        <v>33.305</v>
      </c>
      <c r="N624" s="2">
        <f>Pharma_Sales_Data[[#This Row],[Total Drug Sales]]*150</f>
        <v>4995.75</v>
      </c>
      <c r="O624" s="2">
        <f>Pharma_Sales_Data[[#This Row],[Total Revenue]]*0.3</f>
        <v>1498.7249999999999</v>
      </c>
      <c r="P624" t="str">
        <f>IF(Pharma_Sales_Data[[#This Row],[Total Revenue]]&gt;20000,"High Value", IF(Pharma_Sales_Data[[#This Row],[Total Revenue]]&gt;=10000,"Medium Value","Low Value"))</f>
        <v>Low Value</v>
      </c>
    </row>
    <row r="625" spans="1:16" x14ac:dyDescent="0.35">
      <c r="A625" s="1">
        <v>42264</v>
      </c>
      <c r="B625">
        <v>9.83</v>
      </c>
      <c r="C625">
        <v>6.33</v>
      </c>
      <c r="D625">
        <v>0</v>
      </c>
      <c r="E625">
        <v>35.5</v>
      </c>
      <c r="F625">
        <v>3</v>
      </c>
      <c r="G625">
        <v>0</v>
      </c>
      <c r="H625">
        <v>1</v>
      </c>
      <c r="I625">
        <v>2</v>
      </c>
      <c r="J625">
        <v>2015</v>
      </c>
      <c r="K625">
        <v>9</v>
      </c>
      <c r="L625" t="s">
        <v>11</v>
      </c>
      <c r="M625">
        <f>SUM(Pharma_Sales_Data[[#This Row],[M01AB]:[R06]])</f>
        <v>57.66</v>
      </c>
      <c r="N625" s="2">
        <f>Pharma_Sales_Data[[#This Row],[Total Drug Sales]]*150</f>
        <v>8649</v>
      </c>
      <c r="O625" s="2">
        <f>Pharma_Sales_Data[[#This Row],[Total Revenue]]*0.3</f>
        <v>2594.6999999999998</v>
      </c>
      <c r="P625" t="str">
        <f>IF(Pharma_Sales_Data[[#This Row],[Total Revenue]]&gt;20000,"High Value", IF(Pharma_Sales_Data[[#This Row],[Total Revenue]]&gt;=10000,"Medium Value","Low Value"))</f>
        <v>Low Value</v>
      </c>
    </row>
    <row r="626" spans="1:16" x14ac:dyDescent="0.35">
      <c r="A626" s="1">
        <v>42265</v>
      </c>
      <c r="B626">
        <v>3.34</v>
      </c>
      <c r="C626">
        <v>1.33</v>
      </c>
      <c r="D626">
        <v>3</v>
      </c>
      <c r="E626">
        <v>16</v>
      </c>
      <c r="F626">
        <v>4</v>
      </c>
      <c r="G626">
        <v>0</v>
      </c>
      <c r="H626">
        <v>4</v>
      </c>
      <c r="I626">
        <v>3</v>
      </c>
      <c r="J626">
        <v>2015</v>
      </c>
      <c r="K626">
        <v>9</v>
      </c>
      <c r="L626" t="s">
        <v>12</v>
      </c>
      <c r="M626">
        <f>SUM(Pharma_Sales_Data[[#This Row],[M01AB]:[R06]])</f>
        <v>34.67</v>
      </c>
      <c r="N626" s="2">
        <f>Pharma_Sales_Data[[#This Row],[Total Drug Sales]]*150</f>
        <v>5200.5</v>
      </c>
      <c r="O626" s="2">
        <f>Pharma_Sales_Data[[#This Row],[Total Revenue]]*0.3</f>
        <v>1560.1499999999999</v>
      </c>
      <c r="P626" t="str">
        <f>IF(Pharma_Sales_Data[[#This Row],[Total Revenue]]&gt;20000,"High Value", IF(Pharma_Sales_Data[[#This Row],[Total Revenue]]&gt;=10000,"Medium Value","Low Value"))</f>
        <v>Low Value</v>
      </c>
    </row>
    <row r="627" spans="1:16" x14ac:dyDescent="0.35">
      <c r="A627" s="1">
        <v>42266</v>
      </c>
      <c r="B627">
        <v>6.83</v>
      </c>
      <c r="C627">
        <v>0.99</v>
      </c>
      <c r="D627">
        <v>7</v>
      </c>
      <c r="E627">
        <v>37</v>
      </c>
      <c r="F627">
        <v>7</v>
      </c>
      <c r="G627">
        <v>0</v>
      </c>
      <c r="H627">
        <v>4</v>
      </c>
      <c r="I627">
        <v>5</v>
      </c>
      <c r="J627">
        <v>2015</v>
      </c>
      <c r="K627">
        <v>9</v>
      </c>
      <c r="L627" t="s">
        <v>13</v>
      </c>
      <c r="M627">
        <f>SUM(Pharma_Sales_Data[[#This Row],[M01AB]:[R06]])</f>
        <v>67.819999999999993</v>
      </c>
      <c r="N627" s="2">
        <f>Pharma_Sales_Data[[#This Row],[Total Drug Sales]]*150</f>
        <v>10172.999999999998</v>
      </c>
      <c r="O627" s="2">
        <f>Pharma_Sales_Data[[#This Row],[Total Revenue]]*0.3</f>
        <v>3051.8999999999992</v>
      </c>
      <c r="P627" t="str">
        <f>IF(Pharma_Sales_Data[[#This Row],[Total Revenue]]&gt;20000,"High Value", IF(Pharma_Sales_Data[[#This Row],[Total Revenue]]&gt;=10000,"Medium Value","Low Value"))</f>
        <v>Medium Value</v>
      </c>
    </row>
    <row r="628" spans="1:16" x14ac:dyDescent="0.35">
      <c r="A628" s="1">
        <v>42267</v>
      </c>
      <c r="B628">
        <v>9.99</v>
      </c>
      <c r="C628">
        <v>3.99</v>
      </c>
      <c r="D628">
        <v>6.5</v>
      </c>
      <c r="E628">
        <v>28.9</v>
      </c>
      <c r="F628">
        <v>15</v>
      </c>
      <c r="G628">
        <v>0</v>
      </c>
      <c r="H628">
        <v>0</v>
      </c>
      <c r="I628">
        <v>2</v>
      </c>
      <c r="J628">
        <v>2015</v>
      </c>
      <c r="K628">
        <v>9</v>
      </c>
      <c r="L628" t="s">
        <v>14</v>
      </c>
      <c r="M628">
        <f>SUM(Pharma_Sales_Data[[#This Row],[M01AB]:[R06]])</f>
        <v>66.38</v>
      </c>
      <c r="N628" s="2">
        <f>Pharma_Sales_Data[[#This Row],[Total Drug Sales]]*150</f>
        <v>9957</v>
      </c>
      <c r="O628" s="2">
        <f>Pharma_Sales_Data[[#This Row],[Total Revenue]]*0.3</f>
        <v>2987.1</v>
      </c>
      <c r="P628" t="str">
        <f>IF(Pharma_Sales_Data[[#This Row],[Total Revenue]]&gt;20000,"High Value", IF(Pharma_Sales_Data[[#This Row],[Total Revenue]]&gt;=10000,"Medium Value","Low Value"))</f>
        <v>Low Value</v>
      </c>
    </row>
    <row r="629" spans="1:16" x14ac:dyDescent="0.35">
      <c r="A629" s="1">
        <v>42268</v>
      </c>
      <c r="B629">
        <v>2</v>
      </c>
      <c r="C629">
        <v>10</v>
      </c>
      <c r="D629">
        <v>2</v>
      </c>
      <c r="E629">
        <v>46.7</v>
      </c>
      <c r="F629">
        <v>6</v>
      </c>
      <c r="G629">
        <v>0</v>
      </c>
      <c r="H629">
        <v>0</v>
      </c>
      <c r="I629">
        <v>2</v>
      </c>
      <c r="J629">
        <v>2015</v>
      </c>
      <c r="K629">
        <v>9</v>
      </c>
      <c r="L629" t="s">
        <v>15</v>
      </c>
      <c r="M629">
        <f>SUM(Pharma_Sales_Data[[#This Row],[M01AB]:[R06]])</f>
        <v>68.7</v>
      </c>
      <c r="N629" s="2">
        <f>Pharma_Sales_Data[[#This Row],[Total Drug Sales]]*150</f>
        <v>10305</v>
      </c>
      <c r="O629" s="2">
        <f>Pharma_Sales_Data[[#This Row],[Total Revenue]]*0.3</f>
        <v>3091.5</v>
      </c>
      <c r="P629" t="str">
        <f>IF(Pharma_Sales_Data[[#This Row],[Total Revenue]]&gt;20000,"High Value", IF(Pharma_Sales_Data[[#This Row],[Total Revenue]]&gt;=10000,"Medium Value","Low Value"))</f>
        <v>Medium Value</v>
      </c>
    </row>
    <row r="630" spans="1:16" x14ac:dyDescent="0.35">
      <c r="A630" s="1">
        <v>42269</v>
      </c>
      <c r="B630">
        <v>6.99</v>
      </c>
      <c r="C630">
        <v>1.33</v>
      </c>
      <c r="D630">
        <v>4</v>
      </c>
      <c r="E630">
        <v>19.5</v>
      </c>
      <c r="F630">
        <v>10</v>
      </c>
      <c r="G630">
        <v>2</v>
      </c>
      <c r="H630">
        <v>5</v>
      </c>
      <c r="I630">
        <v>5</v>
      </c>
      <c r="J630">
        <v>2015</v>
      </c>
      <c r="K630">
        <v>9</v>
      </c>
      <c r="L630" t="s">
        <v>16</v>
      </c>
      <c r="M630">
        <f>SUM(Pharma_Sales_Data[[#This Row],[M01AB]:[R06]])</f>
        <v>53.82</v>
      </c>
      <c r="N630" s="2">
        <f>Pharma_Sales_Data[[#This Row],[Total Drug Sales]]*150</f>
        <v>8073</v>
      </c>
      <c r="O630" s="2">
        <f>Pharma_Sales_Data[[#This Row],[Total Revenue]]*0.3</f>
        <v>2421.9</v>
      </c>
      <c r="P630" t="str">
        <f>IF(Pharma_Sales_Data[[#This Row],[Total Revenue]]&gt;20000,"High Value", IF(Pharma_Sales_Data[[#This Row],[Total Revenue]]&gt;=10000,"Medium Value","Low Value"))</f>
        <v>Low Value</v>
      </c>
    </row>
    <row r="631" spans="1:16" x14ac:dyDescent="0.35">
      <c r="A631" s="1">
        <v>42270</v>
      </c>
      <c r="B631">
        <v>6.16</v>
      </c>
      <c r="C631">
        <v>4.056</v>
      </c>
      <c r="D631">
        <v>3.3</v>
      </c>
      <c r="E631">
        <v>34.65</v>
      </c>
      <c r="F631">
        <v>7</v>
      </c>
      <c r="G631">
        <v>0</v>
      </c>
      <c r="H631">
        <v>2</v>
      </c>
      <c r="I631">
        <v>1</v>
      </c>
      <c r="J631">
        <v>2015</v>
      </c>
      <c r="K631">
        <v>9</v>
      </c>
      <c r="L631" t="s">
        <v>17</v>
      </c>
      <c r="M631">
        <f>SUM(Pharma_Sales_Data[[#This Row],[M01AB]:[R06]])</f>
        <v>58.165999999999997</v>
      </c>
      <c r="N631" s="2">
        <f>Pharma_Sales_Data[[#This Row],[Total Drug Sales]]*150</f>
        <v>8724.9</v>
      </c>
      <c r="O631" s="2">
        <f>Pharma_Sales_Data[[#This Row],[Total Revenue]]*0.3</f>
        <v>2617.4699999999998</v>
      </c>
      <c r="P631" t="str">
        <f>IF(Pharma_Sales_Data[[#This Row],[Total Revenue]]&gt;20000,"High Value", IF(Pharma_Sales_Data[[#This Row],[Total Revenue]]&gt;=10000,"Medium Value","Low Value"))</f>
        <v>Low Value</v>
      </c>
    </row>
    <row r="632" spans="1:16" x14ac:dyDescent="0.35">
      <c r="A632" s="1">
        <v>42271</v>
      </c>
      <c r="B632">
        <v>2.99</v>
      </c>
      <c r="C632">
        <v>4.34</v>
      </c>
      <c r="D632">
        <v>4.2</v>
      </c>
      <c r="E632">
        <v>37.6</v>
      </c>
      <c r="F632">
        <v>7</v>
      </c>
      <c r="G632">
        <v>0</v>
      </c>
      <c r="H632">
        <v>0</v>
      </c>
      <c r="I632">
        <v>0</v>
      </c>
      <c r="J632">
        <v>2015</v>
      </c>
      <c r="K632">
        <v>9</v>
      </c>
      <c r="L632" t="s">
        <v>11</v>
      </c>
      <c r="M632">
        <f>SUM(Pharma_Sales_Data[[#This Row],[M01AB]:[R06]])</f>
        <v>56.13</v>
      </c>
      <c r="N632" s="2">
        <f>Pharma_Sales_Data[[#This Row],[Total Drug Sales]]*150</f>
        <v>8419.5</v>
      </c>
      <c r="O632" s="2">
        <f>Pharma_Sales_Data[[#This Row],[Total Revenue]]*0.3</f>
        <v>2525.85</v>
      </c>
      <c r="P632" t="str">
        <f>IF(Pharma_Sales_Data[[#This Row],[Total Revenue]]&gt;20000,"High Value", IF(Pharma_Sales_Data[[#This Row],[Total Revenue]]&gt;=10000,"Medium Value","Low Value"))</f>
        <v>Low Value</v>
      </c>
    </row>
    <row r="633" spans="1:16" x14ac:dyDescent="0.35">
      <c r="A633" s="1">
        <v>42272</v>
      </c>
      <c r="B633">
        <v>4.83</v>
      </c>
      <c r="C633">
        <v>4.9800000000000004</v>
      </c>
      <c r="D633">
        <v>5.2</v>
      </c>
      <c r="E633">
        <v>25.2</v>
      </c>
      <c r="F633">
        <v>11</v>
      </c>
      <c r="G633">
        <v>0</v>
      </c>
      <c r="H633">
        <v>1</v>
      </c>
      <c r="I633">
        <v>3</v>
      </c>
      <c r="J633">
        <v>2015</v>
      </c>
      <c r="K633">
        <v>9</v>
      </c>
      <c r="L633" t="s">
        <v>12</v>
      </c>
      <c r="M633">
        <f>SUM(Pharma_Sales_Data[[#This Row],[M01AB]:[R06]])</f>
        <v>55.21</v>
      </c>
      <c r="N633" s="2">
        <f>Pharma_Sales_Data[[#This Row],[Total Drug Sales]]*150</f>
        <v>8281.5</v>
      </c>
      <c r="O633" s="2">
        <f>Pharma_Sales_Data[[#This Row],[Total Revenue]]*0.3</f>
        <v>2484.4499999999998</v>
      </c>
      <c r="P633" t="str">
        <f>IF(Pharma_Sales_Data[[#This Row],[Total Revenue]]&gt;20000,"High Value", IF(Pharma_Sales_Data[[#This Row],[Total Revenue]]&gt;=10000,"Medium Value","Low Value"))</f>
        <v>Low Value</v>
      </c>
    </row>
    <row r="634" spans="1:16" x14ac:dyDescent="0.35">
      <c r="A634" s="1">
        <v>42273</v>
      </c>
      <c r="B634">
        <v>12.42</v>
      </c>
      <c r="C634">
        <v>3.33</v>
      </c>
      <c r="D634">
        <v>2.5</v>
      </c>
      <c r="E634">
        <v>33</v>
      </c>
      <c r="F634">
        <v>6</v>
      </c>
      <c r="G634">
        <v>1</v>
      </c>
      <c r="H634">
        <v>7</v>
      </c>
      <c r="I634">
        <v>2</v>
      </c>
      <c r="J634">
        <v>2015</v>
      </c>
      <c r="K634">
        <v>9</v>
      </c>
      <c r="L634" t="s">
        <v>13</v>
      </c>
      <c r="M634">
        <f>SUM(Pharma_Sales_Data[[#This Row],[M01AB]:[R06]])</f>
        <v>67.25</v>
      </c>
      <c r="N634" s="2">
        <f>Pharma_Sales_Data[[#This Row],[Total Drug Sales]]*150</f>
        <v>10087.5</v>
      </c>
      <c r="O634" s="2">
        <f>Pharma_Sales_Data[[#This Row],[Total Revenue]]*0.3</f>
        <v>3026.25</v>
      </c>
      <c r="P634" t="str">
        <f>IF(Pharma_Sales_Data[[#This Row],[Total Revenue]]&gt;20000,"High Value", IF(Pharma_Sales_Data[[#This Row],[Total Revenue]]&gt;=10000,"Medium Value","Low Value"))</f>
        <v>Medium Value</v>
      </c>
    </row>
    <row r="635" spans="1:16" x14ac:dyDescent="0.35">
      <c r="A635" s="1">
        <v>42274</v>
      </c>
      <c r="B635">
        <v>5.83</v>
      </c>
      <c r="C635">
        <v>3</v>
      </c>
      <c r="D635">
        <v>2.2999999999999998</v>
      </c>
      <c r="E635">
        <v>10.425000000000001</v>
      </c>
      <c r="F635">
        <v>3</v>
      </c>
      <c r="G635">
        <v>1</v>
      </c>
      <c r="H635">
        <v>2</v>
      </c>
      <c r="I635">
        <v>1</v>
      </c>
      <c r="J635">
        <v>2015</v>
      </c>
      <c r="K635">
        <v>9</v>
      </c>
      <c r="L635" t="s">
        <v>14</v>
      </c>
      <c r="M635">
        <f>SUM(Pharma_Sales_Data[[#This Row],[M01AB]:[R06]])</f>
        <v>28.555</v>
      </c>
      <c r="N635" s="2">
        <f>Pharma_Sales_Data[[#This Row],[Total Drug Sales]]*150</f>
        <v>4283.25</v>
      </c>
      <c r="O635" s="2">
        <f>Pharma_Sales_Data[[#This Row],[Total Revenue]]*0.3</f>
        <v>1284.9749999999999</v>
      </c>
      <c r="P635" t="str">
        <f>IF(Pharma_Sales_Data[[#This Row],[Total Revenue]]&gt;20000,"High Value", IF(Pharma_Sales_Data[[#This Row],[Total Revenue]]&gt;=10000,"Medium Value","Low Value"))</f>
        <v>Low Value</v>
      </c>
    </row>
    <row r="636" spans="1:16" x14ac:dyDescent="0.35">
      <c r="A636" s="1">
        <v>42275</v>
      </c>
      <c r="B636">
        <v>1</v>
      </c>
      <c r="C636">
        <v>1.33</v>
      </c>
      <c r="D636">
        <v>2</v>
      </c>
      <c r="E636">
        <v>15.4</v>
      </c>
      <c r="F636">
        <v>8</v>
      </c>
      <c r="G636">
        <v>0</v>
      </c>
      <c r="H636">
        <v>17</v>
      </c>
      <c r="I636">
        <v>2</v>
      </c>
      <c r="J636">
        <v>2015</v>
      </c>
      <c r="K636">
        <v>9</v>
      </c>
      <c r="L636" t="s">
        <v>15</v>
      </c>
      <c r="M636">
        <f>SUM(Pharma_Sales_Data[[#This Row],[M01AB]:[R06]])</f>
        <v>46.730000000000004</v>
      </c>
      <c r="N636" s="2">
        <f>Pharma_Sales_Data[[#This Row],[Total Drug Sales]]*150</f>
        <v>7009.5000000000009</v>
      </c>
      <c r="O636" s="2">
        <f>Pharma_Sales_Data[[#This Row],[Total Revenue]]*0.3</f>
        <v>2102.8500000000004</v>
      </c>
      <c r="P636" t="str">
        <f>IF(Pharma_Sales_Data[[#This Row],[Total Revenue]]&gt;20000,"High Value", IF(Pharma_Sales_Data[[#This Row],[Total Revenue]]&gt;=10000,"Medium Value","Low Value"))</f>
        <v>Low Value</v>
      </c>
    </row>
    <row r="637" spans="1:16" x14ac:dyDescent="0.35">
      <c r="A637" s="1">
        <v>42276</v>
      </c>
      <c r="B637">
        <v>6.33</v>
      </c>
      <c r="C637">
        <v>4.3630000000000004</v>
      </c>
      <c r="D637">
        <v>1</v>
      </c>
      <c r="E637">
        <v>39.700000000000003</v>
      </c>
      <c r="F637">
        <v>7</v>
      </c>
      <c r="G637">
        <v>0</v>
      </c>
      <c r="H637">
        <v>0</v>
      </c>
      <c r="I637">
        <v>0</v>
      </c>
      <c r="J637">
        <v>2015</v>
      </c>
      <c r="K637">
        <v>9</v>
      </c>
      <c r="L637" t="s">
        <v>16</v>
      </c>
      <c r="M637">
        <f>SUM(Pharma_Sales_Data[[#This Row],[M01AB]:[R06]])</f>
        <v>58.393000000000001</v>
      </c>
      <c r="N637" s="2">
        <f>Pharma_Sales_Data[[#This Row],[Total Drug Sales]]*150</f>
        <v>8758.9500000000007</v>
      </c>
      <c r="O637" s="2">
        <f>Pharma_Sales_Data[[#This Row],[Total Revenue]]*0.3</f>
        <v>2627.6849999999999</v>
      </c>
      <c r="P637" t="str">
        <f>IF(Pharma_Sales_Data[[#This Row],[Total Revenue]]&gt;20000,"High Value", IF(Pharma_Sales_Data[[#This Row],[Total Revenue]]&gt;=10000,"Medium Value","Low Value"))</f>
        <v>Low Value</v>
      </c>
    </row>
    <row r="638" spans="1:16" x14ac:dyDescent="0.35">
      <c r="A638" s="1">
        <v>42277</v>
      </c>
      <c r="B638">
        <v>5.32</v>
      </c>
      <c r="C638">
        <v>4.33</v>
      </c>
      <c r="D638">
        <v>4</v>
      </c>
      <c r="E638">
        <v>22.5</v>
      </c>
      <c r="F638">
        <v>9</v>
      </c>
      <c r="G638">
        <v>0</v>
      </c>
      <c r="H638">
        <v>0</v>
      </c>
      <c r="I638">
        <v>1</v>
      </c>
      <c r="J638">
        <v>2015</v>
      </c>
      <c r="K638">
        <v>9</v>
      </c>
      <c r="L638" t="s">
        <v>17</v>
      </c>
      <c r="M638">
        <f>SUM(Pharma_Sales_Data[[#This Row],[M01AB]:[R06]])</f>
        <v>46.15</v>
      </c>
      <c r="N638" s="2">
        <f>Pharma_Sales_Data[[#This Row],[Total Drug Sales]]*150</f>
        <v>6922.5</v>
      </c>
      <c r="O638" s="2">
        <f>Pharma_Sales_Data[[#This Row],[Total Revenue]]*0.3</f>
        <v>2076.75</v>
      </c>
      <c r="P638" t="str">
        <f>IF(Pharma_Sales_Data[[#This Row],[Total Revenue]]&gt;20000,"High Value", IF(Pharma_Sales_Data[[#This Row],[Total Revenue]]&gt;=10000,"Medium Value","Low Value"))</f>
        <v>Low Value</v>
      </c>
    </row>
    <row r="639" spans="1:16" x14ac:dyDescent="0.35">
      <c r="A639" s="1">
        <v>42278</v>
      </c>
      <c r="B639">
        <v>9.66</v>
      </c>
      <c r="C639">
        <v>5.99</v>
      </c>
      <c r="D639">
        <v>4</v>
      </c>
      <c r="E639">
        <v>34.561999999999998</v>
      </c>
      <c r="F639">
        <v>2</v>
      </c>
      <c r="G639">
        <v>0</v>
      </c>
      <c r="H639">
        <v>5</v>
      </c>
      <c r="I639">
        <v>2</v>
      </c>
      <c r="J639">
        <v>2015</v>
      </c>
      <c r="K639">
        <v>10</v>
      </c>
      <c r="L639" t="s">
        <v>11</v>
      </c>
      <c r="M639">
        <f>SUM(Pharma_Sales_Data[[#This Row],[M01AB]:[R06]])</f>
        <v>63.211999999999996</v>
      </c>
      <c r="N639" s="2">
        <f>Pharma_Sales_Data[[#This Row],[Total Drug Sales]]*150</f>
        <v>9481.7999999999993</v>
      </c>
      <c r="O639" s="2">
        <f>Pharma_Sales_Data[[#This Row],[Total Revenue]]*0.3</f>
        <v>2844.5399999999995</v>
      </c>
      <c r="P639" t="str">
        <f>IF(Pharma_Sales_Data[[#This Row],[Total Revenue]]&gt;20000,"High Value", IF(Pharma_Sales_Data[[#This Row],[Total Revenue]]&gt;=10000,"Medium Value","Low Value"))</f>
        <v>Low Value</v>
      </c>
    </row>
    <row r="640" spans="1:16" x14ac:dyDescent="0.35">
      <c r="A640" s="1">
        <v>42279</v>
      </c>
      <c r="B640">
        <v>5</v>
      </c>
      <c r="C640">
        <v>4.726</v>
      </c>
      <c r="D640">
        <v>4</v>
      </c>
      <c r="E640">
        <v>37.299999999999997</v>
      </c>
      <c r="F640">
        <v>5</v>
      </c>
      <c r="G640">
        <v>0</v>
      </c>
      <c r="H640">
        <v>5</v>
      </c>
      <c r="I640">
        <v>1</v>
      </c>
      <c r="J640">
        <v>2015</v>
      </c>
      <c r="K640">
        <v>10</v>
      </c>
      <c r="L640" t="s">
        <v>12</v>
      </c>
      <c r="M640">
        <f>SUM(Pharma_Sales_Data[[#This Row],[M01AB]:[R06]])</f>
        <v>62.025999999999996</v>
      </c>
      <c r="N640" s="2">
        <f>Pharma_Sales_Data[[#This Row],[Total Drug Sales]]*150</f>
        <v>9303.9</v>
      </c>
      <c r="O640" s="2">
        <f>Pharma_Sales_Data[[#This Row],[Total Revenue]]*0.3</f>
        <v>2791.1699999999996</v>
      </c>
      <c r="P640" t="str">
        <f>IF(Pharma_Sales_Data[[#This Row],[Total Revenue]]&gt;20000,"High Value", IF(Pharma_Sales_Data[[#This Row],[Total Revenue]]&gt;=10000,"Medium Value","Low Value"))</f>
        <v>Low Value</v>
      </c>
    </row>
    <row r="641" spans="1:16" x14ac:dyDescent="0.35">
      <c r="A641" s="1">
        <v>42280</v>
      </c>
      <c r="B641">
        <v>10.34</v>
      </c>
      <c r="C641">
        <v>5.34</v>
      </c>
      <c r="D641">
        <v>3</v>
      </c>
      <c r="E641">
        <v>37.200000000000003</v>
      </c>
      <c r="F641">
        <v>7</v>
      </c>
      <c r="G641">
        <v>0</v>
      </c>
      <c r="H641">
        <v>7</v>
      </c>
      <c r="I641">
        <v>2</v>
      </c>
      <c r="J641">
        <v>2015</v>
      </c>
      <c r="K641">
        <v>10</v>
      </c>
      <c r="L641" t="s">
        <v>13</v>
      </c>
      <c r="M641">
        <f>SUM(Pharma_Sales_Data[[#This Row],[M01AB]:[R06]])</f>
        <v>71.88</v>
      </c>
      <c r="N641" s="2">
        <f>Pharma_Sales_Data[[#This Row],[Total Drug Sales]]*150</f>
        <v>10782</v>
      </c>
      <c r="O641" s="2">
        <f>Pharma_Sales_Data[[#This Row],[Total Revenue]]*0.3</f>
        <v>3234.6</v>
      </c>
      <c r="P641" t="str">
        <f>IF(Pharma_Sales_Data[[#This Row],[Total Revenue]]&gt;20000,"High Value", IF(Pharma_Sales_Data[[#This Row],[Total Revenue]]&gt;=10000,"Medium Value","Low Value"))</f>
        <v>Medium Value</v>
      </c>
    </row>
    <row r="642" spans="1:16" x14ac:dyDescent="0.35">
      <c r="A642" s="1">
        <v>42281</v>
      </c>
      <c r="B642">
        <v>7</v>
      </c>
      <c r="C642">
        <v>4</v>
      </c>
      <c r="D642">
        <v>4</v>
      </c>
      <c r="E642">
        <v>59</v>
      </c>
      <c r="F642">
        <v>3</v>
      </c>
      <c r="G642">
        <v>0</v>
      </c>
      <c r="H642">
        <v>16</v>
      </c>
      <c r="I642">
        <v>2</v>
      </c>
      <c r="J642">
        <v>2015</v>
      </c>
      <c r="K642">
        <v>10</v>
      </c>
      <c r="L642" t="s">
        <v>14</v>
      </c>
      <c r="M642">
        <f>SUM(Pharma_Sales_Data[[#This Row],[M01AB]:[R06]])</f>
        <v>95</v>
      </c>
      <c r="N642" s="2">
        <f>Pharma_Sales_Data[[#This Row],[Total Drug Sales]]*150</f>
        <v>14250</v>
      </c>
      <c r="O642" s="2">
        <f>Pharma_Sales_Data[[#This Row],[Total Revenue]]*0.3</f>
        <v>4275</v>
      </c>
      <c r="P642" t="str">
        <f>IF(Pharma_Sales_Data[[#This Row],[Total Revenue]]&gt;20000,"High Value", IF(Pharma_Sales_Data[[#This Row],[Total Revenue]]&gt;=10000,"Medium Value","Low Value"))</f>
        <v>Medium Value</v>
      </c>
    </row>
    <row r="643" spans="1:16" x14ac:dyDescent="0.35">
      <c r="A643" s="1">
        <v>42282</v>
      </c>
      <c r="B643">
        <v>5</v>
      </c>
      <c r="C643">
        <v>2.3730000000000002</v>
      </c>
      <c r="D643">
        <v>2.2000000000000002</v>
      </c>
      <c r="E643">
        <v>70.95</v>
      </c>
      <c r="F643">
        <v>11</v>
      </c>
      <c r="G643">
        <v>1</v>
      </c>
      <c r="H643">
        <v>7</v>
      </c>
      <c r="I643">
        <v>5</v>
      </c>
      <c r="J643">
        <v>2015</v>
      </c>
      <c r="K643">
        <v>10</v>
      </c>
      <c r="L643" t="s">
        <v>15</v>
      </c>
      <c r="M643">
        <f>SUM(Pharma_Sales_Data[[#This Row],[M01AB]:[R06]])</f>
        <v>104.523</v>
      </c>
      <c r="N643" s="2">
        <f>Pharma_Sales_Data[[#This Row],[Total Drug Sales]]*150</f>
        <v>15678.449999999999</v>
      </c>
      <c r="O643" s="2">
        <f>Pharma_Sales_Data[[#This Row],[Total Revenue]]*0.3</f>
        <v>4703.5349999999999</v>
      </c>
      <c r="P643" t="str">
        <f>IF(Pharma_Sales_Data[[#This Row],[Total Revenue]]&gt;20000,"High Value", IF(Pharma_Sales_Data[[#This Row],[Total Revenue]]&gt;=10000,"Medium Value","Low Value"))</f>
        <v>Medium Value</v>
      </c>
    </row>
    <row r="644" spans="1:16" x14ac:dyDescent="0.35">
      <c r="A644" s="1">
        <v>42283</v>
      </c>
      <c r="B644">
        <v>5.69</v>
      </c>
      <c r="C644">
        <v>3.66</v>
      </c>
      <c r="D644">
        <v>5.5</v>
      </c>
      <c r="E644">
        <v>42.725000000000001</v>
      </c>
      <c r="F644">
        <v>9</v>
      </c>
      <c r="G644">
        <v>1</v>
      </c>
      <c r="H644">
        <v>5</v>
      </c>
      <c r="I644">
        <v>4</v>
      </c>
      <c r="J644">
        <v>2015</v>
      </c>
      <c r="K644">
        <v>10</v>
      </c>
      <c r="L644" t="s">
        <v>16</v>
      </c>
      <c r="M644">
        <f>SUM(Pharma_Sales_Data[[#This Row],[M01AB]:[R06]])</f>
        <v>76.575000000000003</v>
      </c>
      <c r="N644" s="2">
        <f>Pharma_Sales_Data[[#This Row],[Total Drug Sales]]*150</f>
        <v>11486.25</v>
      </c>
      <c r="O644" s="2">
        <f>Pharma_Sales_Data[[#This Row],[Total Revenue]]*0.3</f>
        <v>3445.875</v>
      </c>
      <c r="P644" t="str">
        <f>IF(Pharma_Sales_Data[[#This Row],[Total Revenue]]&gt;20000,"High Value", IF(Pharma_Sales_Data[[#This Row],[Total Revenue]]&gt;=10000,"Medium Value","Low Value"))</f>
        <v>Medium Value</v>
      </c>
    </row>
    <row r="645" spans="1:16" x14ac:dyDescent="0.35">
      <c r="A645" s="1">
        <v>42284</v>
      </c>
      <c r="B645">
        <v>7.33</v>
      </c>
      <c r="C645">
        <v>2.66</v>
      </c>
      <c r="D645">
        <v>6</v>
      </c>
      <c r="E645">
        <v>44.3</v>
      </c>
      <c r="F645">
        <v>8</v>
      </c>
      <c r="G645">
        <v>0</v>
      </c>
      <c r="H645">
        <v>5</v>
      </c>
      <c r="I645">
        <v>2</v>
      </c>
      <c r="J645">
        <v>2015</v>
      </c>
      <c r="K645">
        <v>10</v>
      </c>
      <c r="L645" t="s">
        <v>17</v>
      </c>
      <c r="M645">
        <f>SUM(Pharma_Sales_Data[[#This Row],[M01AB]:[R06]])</f>
        <v>75.289999999999992</v>
      </c>
      <c r="N645" s="2">
        <f>Pharma_Sales_Data[[#This Row],[Total Drug Sales]]*150</f>
        <v>11293.499999999998</v>
      </c>
      <c r="O645" s="2">
        <f>Pharma_Sales_Data[[#This Row],[Total Revenue]]*0.3</f>
        <v>3388.0499999999993</v>
      </c>
      <c r="P645" t="str">
        <f>IF(Pharma_Sales_Data[[#This Row],[Total Revenue]]&gt;20000,"High Value", IF(Pharma_Sales_Data[[#This Row],[Total Revenue]]&gt;=10000,"Medium Value","Low Value"))</f>
        <v>Medium Value</v>
      </c>
    </row>
    <row r="646" spans="1:16" x14ac:dyDescent="0.35">
      <c r="A646" s="1">
        <v>42285</v>
      </c>
      <c r="B646">
        <v>8.82</v>
      </c>
      <c r="C646">
        <v>4.33</v>
      </c>
      <c r="D646">
        <v>3</v>
      </c>
      <c r="E646">
        <v>30.7</v>
      </c>
      <c r="F646">
        <v>5</v>
      </c>
      <c r="G646">
        <v>0</v>
      </c>
      <c r="H646">
        <v>20</v>
      </c>
      <c r="I646">
        <v>0</v>
      </c>
      <c r="J646">
        <v>2015</v>
      </c>
      <c r="K646">
        <v>10</v>
      </c>
      <c r="L646" t="s">
        <v>11</v>
      </c>
      <c r="M646">
        <f>SUM(Pharma_Sales_Data[[#This Row],[M01AB]:[R06]])</f>
        <v>71.849999999999994</v>
      </c>
      <c r="N646" s="2">
        <f>Pharma_Sales_Data[[#This Row],[Total Drug Sales]]*150</f>
        <v>10777.5</v>
      </c>
      <c r="O646" s="2">
        <f>Pharma_Sales_Data[[#This Row],[Total Revenue]]*0.3</f>
        <v>3233.25</v>
      </c>
      <c r="P646" t="str">
        <f>IF(Pharma_Sales_Data[[#This Row],[Total Revenue]]&gt;20000,"High Value", IF(Pharma_Sales_Data[[#This Row],[Total Revenue]]&gt;=10000,"Medium Value","Low Value"))</f>
        <v>Medium Value</v>
      </c>
    </row>
    <row r="647" spans="1:16" x14ac:dyDescent="0.35">
      <c r="A647" s="1">
        <v>42286</v>
      </c>
      <c r="B647">
        <v>2</v>
      </c>
      <c r="C647">
        <v>2.7690000000000001</v>
      </c>
      <c r="D647">
        <v>7.6</v>
      </c>
      <c r="E647">
        <v>28.062000000000001</v>
      </c>
      <c r="F647">
        <v>13</v>
      </c>
      <c r="G647">
        <v>2</v>
      </c>
      <c r="H647">
        <v>10</v>
      </c>
      <c r="I647">
        <v>2</v>
      </c>
      <c r="J647">
        <v>2015</v>
      </c>
      <c r="K647">
        <v>10</v>
      </c>
      <c r="L647" t="s">
        <v>12</v>
      </c>
      <c r="M647">
        <f>SUM(Pharma_Sales_Data[[#This Row],[M01AB]:[R06]])</f>
        <v>67.430999999999997</v>
      </c>
      <c r="N647" s="2">
        <f>Pharma_Sales_Data[[#This Row],[Total Drug Sales]]*150</f>
        <v>10114.65</v>
      </c>
      <c r="O647" s="2">
        <f>Pharma_Sales_Data[[#This Row],[Total Revenue]]*0.3</f>
        <v>3034.395</v>
      </c>
      <c r="P647" t="str">
        <f>IF(Pharma_Sales_Data[[#This Row],[Total Revenue]]&gt;20000,"High Value", IF(Pharma_Sales_Data[[#This Row],[Total Revenue]]&gt;=10000,"Medium Value","Low Value"))</f>
        <v>Medium Value</v>
      </c>
    </row>
    <row r="648" spans="1:16" x14ac:dyDescent="0.35">
      <c r="A648" s="1">
        <v>42287</v>
      </c>
      <c r="B648">
        <v>6.16</v>
      </c>
      <c r="C648">
        <v>5.66</v>
      </c>
      <c r="D648">
        <v>3</v>
      </c>
      <c r="E648">
        <v>46.3</v>
      </c>
      <c r="F648">
        <v>19.5</v>
      </c>
      <c r="G648">
        <v>0</v>
      </c>
      <c r="H648">
        <v>1</v>
      </c>
      <c r="I648">
        <v>0</v>
      </c>
      <c r="J648">
        <v>2015</v>
      </c>
      <c r="K648">
        <v>10</v>
      </c>
      <c r="L648" t="s">
        <v>13</v>
      </c>
      <c r="M648">
        <f>SUM(Pharma_Sales_Data[[#This Row],[M01AB]:[R06]])</f>
        <v>81.62</v>
      </c>
      <c r="N648" s="2">
        <f>Pharma_Sales_Data[[#This Row],[Total Drug Sales]]*150</f>
        <v>12243</v>
      </c>
      <c r="O648" s="2">
        <f>Pharma_Sales_Data[[#This Row],[Total Revenue]]*0.3</f>
        <v>3672.9</v>
      </c>
      <c r="P648" t="str">
        <f>IF(Pharma_Sales_Data[[#This Row],[Total Revenue]]&gt;20000,"High Value", IF(Pharma_Sales_Data[[#This Row],[Total Revenue]]&gt;=10000,"Medium Value","Low Value"))</f>
        <v>Medium Value</v>
      </c>
    </row>
    <row r="649" spans="1:16" x14ac:dyDescent="0.35">
      <c r="A649" s="1">
        <v>42288</v>
      </c>
      <c r="B649">
        <v>10.33</v>
      </c>
      <c r="C649">
        <v>2.7919999999999998</v>
      </c>
      <c r="D649">
        <v>7.1</v>
      </c>
      <c r="E649">
        <v>70.3</v>
      </c>
      <c r="F649">
        <v>8</v>
      </c>
      <c r="G649">
        <v>0</v>
      </c>
      <c r="H649">
        <v>3</v>
      </c>
      <c r="I649">
        <v>5</v>
      </c>
      <c r="J649">
        <v>2015</v>
      </c>
      <c r="K649">
        <v>10</v>
      </c>
      <c r="L649" t="s">
        <v>14</v>
      </c>
      <c r="M649">
        <f>SUM(Pharma_Sales_Data[[#This Row],[M01AB]:[R06]])</f>
        <v>106.52199999999999</v>
      </c>
      <c r="N649" s="2">
        <f>Pharma_Sales_Data[[#This Row],[Total Drug Sales]]*150</f>
        <v>15978.3</v>
      </c>
      <c r="O649" s="2">
        <f>Pharma_Sales_Data[[#This Row],[Total Revenue]]*0.3</f>
        <v>4793.49</v>
      </c>
      <c r="P649" t="str">
        <f>IF(Pharma_Sales_Data[[#This Row],[Total Revenue]]&gt;20000,"High Value", IF(Pharma_Sales_Data[[#This Row],[Total Revenue]]&gt;=10000,"Medium Value","Low Value"))</f>
        <v>Medium Value</v>
      </c>
    </row>
    <row r="650" spans="1:16" x14ac:dyDescent="0.35">
      <c r="A650" s="1">
        <v>42289</v>
      </c>
      <c r="B650">
        <v>9.66</v>
      </c>
      <c r="C650">
        <v>7.33</v>
      </c>
      <c r="D650">
        <v>6</v>
      </c>
      <c r="E650">
        <v>68.849999999999994</v>
      </c>
      <c r="F650">
        <v>12</v>
      </c>
      <c r="G650">
        <v>0</v>
      </c>
      <c r="H650">
        <v>5</v>
      </c>
      <c r="I650">
        <v>3</v>
      </c>
      <c r="J650">
        <v>2015</v>
      </c>
      <c r="K650">
        <v>10</v>
      </c>
      <c r="L650" t="s">
        <v>15</v>
      </c>
      <c r="M650">
        <f>SUM(Pharma_Sales_Data[[#This Row],[M01AB]:[R06]])</f>
        <v>111.84</v>
      </c>
      <c r="N650" s="2">
        <f>Pharma_Sales_Data[[#This Row],[Total Drug Sales]]*150</f>
        <v>16776</v>
      </c>
      <c r="O650" s="2">
        <f>Pharma_Sales_Data[[#This Row],[Total Revenue]]*0.3</f>
        <v>5032.8</v>
      </c>
      <c r="P650" t="str">
        <f>IF(Pharma_Sales_Data[[#This Row],[Total Revenue]]&gt;20000,"High Value", IF(Pharma_Sales_Data[[#This Row],[Total Revenue]]&gt;=10000,"Medium Value","Low Value"))</f>
        <v>Medium Value</v>
      </c>
    </row>
    <row r="651" spans="1:16" x14ac:dyDescent="0.35">
      <c r="A651" s="1">
        <v>42290</v>
      </c>
      <c r="B651">
        <v>3.83</v>
      </c>
      <c r="C651">
        <v>7</v>
      </c>
      <c r="D651">
        <v>5.2</v>
      </c>
      <c r="E651">
        <v>63.8</v>
      </c>
      <c r="F651">
        <v>5.5</v>
      </c>
      <c r="G651">
        <v>0</v>
      </c>
      <c r="H651">
        <v>5</v>
      </c>
      <c r="I651">
        <v>1</v>
      </c>
      <c r="J651">
        <v>2015</v>
      </c>
      <c r="K651">
        <v>10</v>
      </c>
      <c r="L651" t="s">
        <v>16</v>
      </c>
      <c r="M651">
        <f>SUM(Pharma_Sales_Data[[#This Row],[M01AB]:[R06]])</f>
        <v>91.33</v>
      </c>
      <c r="N651" s="2">
        <f>Pharma_Sales_Data[[#This Row],[Total Drug Sales]]*150</f>
        <v>13699.5</v>
      </c>
      <c r="O651" s="2">
        <f>Pharma_Sales_Data[[#This Row],[Total Revenue]]*0.3</f>
        <v>4109.8499999999995</v>
      </c>
      <c r="P651" t="str">
        <f>IF(Pharma_Sales_Data[[#This Row],[Total Revenue]]&gt;20000,"High Value", IF(Pharma_Sales_Data[[#This Row],[Total Revenue]]&gt;=10000,"Medium Value","Low Value"))</f>
        <v>Medium Value</v>
      </c>
    </row>
    <row r="652" spans="1:16" x14ac:dyDescent="0.35">
      <c r="A652" s="1">
        <v>42291</v>
      </c>
      <c r="B652">
        <v>4.66</v>
      </c>
      <c r="C652">
        <v>7.33</v>
      </c>
      <c r="D652">
        <v>3.9</v>
      </c>
      <c r="E652">
        <v>38.6</v>
      </c>
      <c r="F652">
        <v>7</v>
      </c>
      <c r="G652">
        <v>0</v>
      </c>
      <c r="H652">
        <v>0</v>
      </c>
      <c r="I652">
        <v>1</v>
      </c>
      <c r="J652">
        <v>2015</v>
      </c>
      <c r="K652">
        <v>10</v>
      </c>
      <c r="L652" t="s">
        <v>17</v>
      </c>
      <c r="M652">
        <f>SUM(Pharma_Sales_Data[[#This Row],[M01AB]:[R06]])</f>
        <v>62.49</v>
      </c>
      <c r="N652" s="2">
        <f>Pharma_Sales_Data[[#This Row],[Total Drug Sales]]*150</f>
        <v>9373.5</v>
      </c>
      <c r="O652" s="2">
        <f>Pharma_Sales_Data[[#This Row],[Total Revenue]]*0.3</f>
        <v>2812.0499999999997</v>
      </c>
      <c r="P652" t="str">
        <f>IF(Pharma_Sales_Data[[#This Row],[Total Revenue]]&gt;20000,"High Value", IF(Pharma_Sales_Data[[#This Row],[Total Revenue]]&gt;=10000,"Medium Value","Low Value"))</f>
        <v>Low Value</v>
      </c>
    </row>
    <row r="653" spans="1:16" x14ac:dyDescent="0.35">
      <c r="A653" s="1">
        <v>42292</v>
      </c>
      <c r="B653">
        <v>5.16</v>
      </c>
      <c r="C653">
        <v>5.726</v>
      </c>
      <c r="D653">
        <v>7.3</v>
      </c>
      <c r="E653">
        <v>64.724000000000004</v>
      </c>
      <c r="F653">
        <v>4</v>
      </c>
      <c r="G653">
        <v>0</v>
      </c>
      <c r="H653">
        <v>9</v>
      </c>
      <c r="I653">
        <v>1</v>
      </c>
      <c r="J653">
        <v>2015</v>
      </c>
      <c r="K653">
        <v>10</v>
      </c>
      <c r="L653" t="s">
        <v>11</v>
      </c>
      <c r="M653">
        <f>SUM(Pharma_Sales_Data[[#This Row],[M01AB]:[R06]])</f>
        <v>96.91</v>
      </c>
      <c r="N653" s="2">
        <f>Pharma_Sales_Data[[#This Row],[Total Drug Sales]]*150</f>
        <v>14536.5</v>
      </c>
      <c r="O653" s="2">
        <f>Pharma_Sales_Data[[#This Row],[Total Revenue]]*0.3</f>
        <v>4360.95</v>
      </c>
      <c r="P653" t="str">
        <f>IF(Pharma_Sales_Data[[#This Row],[Total Revenue]]&gt;20000,"High Value", IF(Pharma_Sales_Data[[#This Row],[Total Revenue]]&gt;=10000,"Medium Value","Low Value"))</f>
        <v>Medium Value</v>
      </c>
    </row>
    <row r="654" spans="1:16" x14ac:dyDescent="0.35">
      <c r="A654" s="1">
        <v>42293</v>
      </c>
      <c r="B654">
        <v>1.67</v>
      </c>
      <c r="C654">
        <v>3.33</v>
      </c>
      <c r="D654">
        <v>5.2</v>
      </c>
      <c r="E654">
        <v>57.3</v>
      </c>
      <c r="F654">
        <v>2</v>
      </c>
      <c r="G654">
        <v>0</v>
      </c>
      <c r="H654">
        <v>5</v>
      </c>
      <c r="I654">
        <v>1</v>
      </c>
      <c r="J654">
        <v>2015</v>
      </c>
      <c r="K654">
        <v>10</v>
      </c>
      <c r="L654" t="s">
        <v>12</v>
      </c>
      <c r="M654">
        <f>SUM(Pharma_Sales_Data[[#This Row],[M01AB]:[R06]])</f>
        <v>75.5</v>
      </c>
      <c r="N654" s="2">
        <f>Pharma_Sales_Data[[#This Row],[Total Drug Sales]]*150</f>
        <v>11325</v>
      </c>
      <c r="O654" s="2">
        <f>Pharma_Sales_Data[[#This Row],[Total Revenue]]*0.3</f>
        <v>3397.5</v>
      </c>
      <c r="P654" t="str">
        <f>IF(Pharma_Sales_Data[[#This Row],[Total Revenue]]&gt;20000,"High Value", IF(Pharma_Sales_Data[[#This Row],[Total Revenue]]&gt;=10000,"Medium Value","Low Value"))</f>
        <v>Medium Value</v>
      </c>
    </row>
    <row r="655" spans="1:16" x14ac:dyDescent="0.35">
      <c r="A655" s="1">
        <v>42294</v>
      </c>
      <c r="B655">
        <v>10.34</v>
      </c>
      <c r="C655">
        <v>2.8370000000000002</v>
      </c>
      <c r="D655">
        <v>3.4</v>
      </c>
      <c r="E655">
        <v>74.3</v>
      </c>
      <c r="F655">
        <v>8</v>
      </c>
      <c r="G655">
        <v>0</v>
      </c>
      <c r="H655">
        <v>0</v>
      </c>
      <c r="I655">
        <v>1</v>
      </c>
      <c r="J655">
        <v>2015</v>
      </c>
      <c r="K655">
        <v>10</v>
      </c>
      <c r="L655" t="s">
        <v>13</v>
      </c>
      <c r="M655">
        <f>SUM(Pharma_Sales_Data[[#This Row],[M01AB]:[R06]])</f>
        <v>99.876999999999995</v>
      </c>
      <c r="N655" s="2">
        <f>Pharma_Sales_Data[[#This Row],[Total Drug Sales]]*150</f>
        <v>14981.55</v>
      </c>
      <c r="O655" s="2">
        <f>Pharma_Sales_Data[[#This Row],[Total Revenue]]*0.3</f>
        <v>4494.4649999999992</v>
      </c>
      <c r="P655" t="str">
        <f>IF(Pharma_Sales_Data[[#This Row],[Total Revenue]]&gt;20000,"High Value", IF(Pharma_Sales_Data[[#This Row],[Total Revenue]]&gt;=10000,"Medium Value","Low Value"))</f>
        <v>Medium Value</v>
      </c>
    </row>
    <row r="656" spans="1:16" x14ac:dyDescent="0.35">
      <c r="A656" s="1">
        <v>42295</v>
      </c>
      <c r="B656">
        <v>7.34</v>
      </c>
      <c r="C656">
        <v>6.54</v>
      </c>
      <c r="D656">
        <v>4.9000000000000004</v>
      </c>
      <c r="E656">
        <v>55.6</v>
      </c>
      <c r="F656">
        <v>3</v>
      </c>
      <c r="G656">
        <v>1</v>
      </c>
      <c r="H656">
        <v>8</v>
      </c>
      <c r="I656">
        <v>8</v>
      </c>
      <c r="J656">
        <v>2015</v>
      </c>
      <c r="K656">
        <v>10</v>
      </c>
      <c r="L656" t="s">
        <v>14</v>
      </c>
      <c r="M656">
        <f>SUM(Pharma_Sales_Data[[#This Row],[M01AB]:[R06]])</f>
        <v>94.38</v>
      </c>
      <c r="N656" s="2">
        <f>Pharma_Sales_Data[[#This Row],[Total Drug Sales]]*150</f>
        <v>14157</v>
      </c>
      <c r="O656" s="2">
        <f>Pharma_Sales_Data[[#This Row],[Total Revenue]]*0.3</f>
        <v>4247.0999999999995</v>
      </c>
      <c r="P656" t="str">
        <f>IF(Pharma_Sales_Data[[#This Row],[Total Revenue]]&gt;20000,"High Value", IF(Pharma_Sales_Data[[#This Row],[Total Revenue]]&gt;=10000,"Medium Value","Low Value"))</f>
        <v>Medium Value</v>
      </c>
    </row>
    <row r="657" spans="1:16" x14ac:dyDescent="0.35">
      <c r="A657" s="1">
        <v>42296</v>
      </c>
      <c r="B657">
        <v>12</v>
      </c>
      <c r="C657">
        <v>3.802</v>
      </c>
      <c r="D657">
        <v>3</v>
      </c>
      <c r="E657">
        <v>62.6</v>
      </c>
      <c r="F657">
        <v>3</v>
      </c>
      <c r="G657">
        <v>0</v>
      </c>
      <c r="H657">
        <v>17</v>
      </c>
      <c r="I657">
        <v>0</v>
      </c>
      <c r="J657">
        <v>2015</v>
      </c>
      <c r="K657">
        <v>10</v>
      </c>
      <c r="L657" t="s">
        <v>15</v>
      </c>
      <c r="M657">
        <f>SUM(Pharma_Sales_Data[[#This Row],[M01AB]:[R06]])</f>
        <v>101.402</v>
      </c>
      <c r="N657" s="2">
        <f>Pharma_Sales_Data[[#This Row],[Total Drug Sales]]*150</f>
        <v>15210.3</v>
      </c>
      <c r="O657" s="2">
        <f>Pharma_Sales_Data[[#This Row],[Total Revenue]]*0.3</f>
        <v>4563.0899999999992</v>
      </c>
      <c r="P657" t="str">
        <f>IF(Pharma_Sales_Data[[#This Row],[Total Revenue]]&gt;20000,"High Value", IF(Pharma_Sales_Data[[#This Row],[Total Revenue]]&gt;=10000,"Medium Value","Low Value"))</f>
        <v>Medium Value</v>
      </c>
    </row>
    <row r="658" spans="1:16" x14ac:dyDescent="0.35">
      <c r="A658" s="1">
        <v>42297</v>
      </c>
      <c r="B658">
        <v>3.34</v>
      </c>
      <c r="C658">
        <v>1.99</v>
      </c>
      <c r="D658">
        <v>2.2999999999999998</v>
      </c>
      <c r="E658">
        <v>44.7</v>
      </c>
      <c r="F658">
        <v>6</v>
      </c>
      <c r="G658">
        <v>0</v>
      </c>
      <c r="H658">
        <v>10</v>
      </c>
      <c r="I658">
        <v>5</v>
      </c>
      <c r="J658">
        <v>2015</v>
      </c>
      <c r="K658">
        <v>10</v>
      </c>
      <c r="L658" t="s">
        <v>16</v>
      </c>
      <c r="M658">
        <f>SUM(Pharma_Sales_Data[[#This Row],[M01AB]:[R06]])</f>
        <v>73.330000000000013</v>
      </c>
      <c r="N658" s="2">
        <f>Pharma_Sales_Data[[#This Row],[Total Drug Sales]]*150</f>
        <v>10999.500000000002</v>
      </c>
      <c r="O658" s="2">
        <f>Pharma_Sales_Data[[#This Row],[Total Revenue]]*0.3</f>
        <v>3299.8500000000004</v>
      </c>
      <c r="P658" t="str">
        <f>IF(Pharma_Sales_Data[[#This Row],[Total Revenue]]&gt;20000,"High Value", IF(Pharma_Sales_Data[[#This Row],[Total Revenue]]&gt;=10000,"Medium Value","Low Value"))</f>
        <v>Medium Value</v>
      </c>
    </row>
    <row r="659" spans="1:16" x14ac:dyDescent="0.35">
      <c r="A659" s="1">
        <v>42298</v>
      </c>
      <c r="B659">
        <v>8.66</v>
      </c>
      <c r="C659">
        <v>2.363</v>
      </c>
      <c r="D659">
        <v>3.2</v>
      </c>
      <c r="E659">
        <v>36.799999999999997</v>
      </c>
      <c r="F659">
        <v>9</v>
      </c>
      <c r="G659">
        <v>1</v>
      </c>
      <c r="H659">
        <v>1</v>
      </c>
      <c r="I659">
        <v>4</v>
      </c>
      <c r="J659">
        <v>2015</v>
      </c>
      <c r="K659">
        <v>10</v>
      </c>
      <c r="L659" t="s">
        <v>17</v>
      </c>
      <c r="M659">
        <f>SUM(Pharma_Sales_Data[[#This Row],[M01AB]:[R06]])</f>
        <v>66.022999999999996</v>
      </c>
      <c r="N659" s="2">
        <f>Pharma_Sales_Data[[#This Row],[Total Drug Sales]]*150</f>
        <v>9903.4499999999989</v>
      </c>
      <c r="O659" s="2">
        <f>Pharma_Sales_Data[[#This Row],[Total Revenue]]*0.3</f>
        <v>2971.0349999999994</v>
      </c>
      <c r="P659" t="str">
        <f>IF(Pharma_Sales_Data[[#This Row],[Total Revenue]]&gt;20000,"High Value", IF(Pharma_Sales_Data[[#This Row],[Total Revenue]]&gt;=10000,"Medium Value","Low Value"))</f>
        <v>Low Value</v>
      </c>
    </row>
    <row r="660" spans="1:16" x14ac:dyDescent="0.35">
      <c r="A660" s="1">
        <v>42299</v>
      </c>
      <c r="B660">
        <v>4.33</v>
      </c>
      <c r="C660">
        <v>0.34</v>
      </c>
      <c r="D660">
        <v>0</v>
      </c>
      <c r="E660">
        <v>35.262</v>
      </c>
      <c r="F660">
        <v>9</v>
      </c>
      <c r="G660">
        <v>0</v>
      </c>
      <c r="H660">
        <v>2</v>
      </c>
      <c r="I660">
        <v>2</v>
      </c>
      <c r="J660">
        <v>2015</v>
      </c>
      <c r="K660">
        <v>10</v>
      </c>
      <c r="L660" t="s">
        <v>11</v>
      </c>
      <c r="M660">
        <f>SUM(Pharma_Sales_Data[[#This Row],[M01AB]:[R06]])</f>
        <v>52.932000000000002</v>
      </c>
      <c r="N660" s="2">
        <f>Pharma_Sales_Data[[#This Row],[Total Drug Sales]]*150</f>
        <v>7939.8</v>
      </c>
      <c r="O660" s="2">
        <f>Pharma_Sales_Data[[#This Row],[Total Revenue]]*0.3</f>
        <v>2381.94</v>
      </c>
      <c r="P660" t="str">
        <f>IF(Pharma_Sales_Data[[#This Row],[Total Revenue]]&gt;20000,"High Value", IF(Pharma_Sales_Data[[#This Row],[Total Revenue]]&gt;=10000,"Medium Value","Low Value"))</f>
        <v>Low Value</v>
      </c>
    </row>
    <row r="661" spans="1:16" x14ac:dyDescent="0.35">
      <c r="A661" s="1">
        <v>42300</v>
      </c>
      <c r="B661">
        <v>7</v>
      </c>
      <c r="C661">
        <v>1.66</v>
      </c>
      <c r="D661">
        <v>10.199999999999999</v>
      </c>
      <c r="E661">
        <v>41.4</v>
      </c>
      <c r="F661">
        <v>3</v>
      </c>
      <c r="G661">
        <v>0</v>
      </c>
      <c r="H661">
        <v>6</v>
      </c>
      <c r="I661">
        <v>2</v>
      </c>
      <c r="J661">
        <v>2015</v>
      </c>
      <c r="K661">
        <v>10</v>
      </c>
      <c r="L661" t="s">
        <v>12</v>
      </c>
      <c r="M661">
        <f>SUM(Pharma_Sales_Data[[#This Row],[M01AB]:[R06]])</f>
        <v>71.259999999999991</v>
      </c>
      <c r="N661" s="2">
        <f>Pharma_Sales_Data[[#This Row],[Total Drug Sales]]*150</f>
        <v>10688.999999999998</v>
      </c>
      <c r="O661" s="2">
        <f>Pharma_Sales_Data[[#This Row],[Total Revenue]]*0.3</f>
        <v>3206.6999999999994</v>
      </c>
      <c r="P661" t="str">
        <f>IF(Pharma_Sales_Data[[#This Row],[Total Revenue]]&gt;20000,"High Value", IF(Pharma_Sales_Data[[#This Row],[Total Revenue]]&gt;=10000,"Medium Value","Low Value"))</f>
        <v>Medium Value</v>
      </c>
    </row>
    <row r="662" spans="1:16" x14ac:dyDescent="0.35">
      <c r="A662" s="1">
        <v>42301</v>
      </c>
      <c r="B662">
        <v>9.84</v>
      </c>
      <c r="C662">
        <v>8.35</v>
      </c>
      <c r="D662">
        <v>9.1</v>
      </c>
      <c r="E662">
        <v>67.400000000000006</v>
      </c>
      <c r="F662">
        <v>8</v>
      </c>
      <c r="G662">
        <v>0</v>
      </c>
      <c r="H662">
        <v>4</v>
      </c>
      <c r="I662">
        <v>2</v>
      </c>
      <c r="J662">
        <v>2015</v>
      </c>
      <c r="K662">
        <v>10</v>
      </c>
      <c r="L662" t="s">
        <v>13</v>
      </c>
      <c r="M662">
        <f>SUM(Pharma_Sales_Data[[#This Row],[M01AB]:[R06]])</f>
        <v>108.69</v>
      </c>
      <c r="N662" s="2">
        <f>Pharma_Sales_Data[[#This Row],[Total Drug Sales]]*150</f>
        <v>16303.5</v>
      </c>
      <c r="O662" s="2">
        <f>Pharma_Sales_Data[[#This Row],[Total Revenue]]*0.3</f>
        <v>4891.05</v>
      </c>
      <c r="P662" t="str">
        <f>IF(Pharma_Sales_Data[[#This Row],[Total Revenue]]&gt;20000,"High Value", IF(Pharma_Sales_Data[[#This Row],[Total Revenue]]&gt;=10000,"Medium Value","Low Value"))</f>
        <v>Medium Value</v>
      </c>
    </row>
    <row r="663" spans="1:16" x14ac:dyDescent="0.35">
      <c r="A663" s="1">
        <v>42302</v>
      </c>
      <c r="B663">
        <v>3</v>
      </c>
      <c r="C663">
        <v>3.33</v>
      </c>
      <c r="D663">
        <v>3.1</v>
      </c>
      <c r="E663">
        <v>64.599999999999994</v>
      </c>
      <c r="F663">
        <v>4</v>
      </c>
      <c r="G663">
        <v>0</v>
      </c>
      <c r="H663">
        <v>0</v>
      </c>
      <c r="I663">
        <v>4</v>
      </c>
      <c r="J663">
        <v>2015</v>
      </c>
      <c r="K663">
        <v>10</v>
      </c>
      <c r="L663" t="s">
        <v>14</v>
      </c>
      <c r="M663">
        <f>SUM(Pharma_Sales_Data[[#This Row],[M01AB]:[R06]])</f>
        <v>82.03</v>
      </c>
      <c r="N663" s="2">
        <f>Pharma_Sales_Data[[#This Row],[Total Drug Sales]]*150</f>
        <v>12304.5</v>
      </c>
      <c r="O663" s="2">
        <f>Pharma_Sales_Data[[#This Row],[Total Revenue]]*0.3</f>
        <v>3691.35</v>
      </c>
      <c r="P663" t="str">
        <f>IF(Pharma_Sales_Data[[#This Row],[Total Revenue]]&gt;20000,"High Value", IF(Pharma_Sales_Data[[#This Row],[Total Revenue]]&gt;=10000,"Medium Value","Low Value"))</f>
        <v>Medium Value</v>
      </c>
    </row>
    <row r="664" spans="1:16" x14ac:dyDescent="0.35">
      <c r="A664" s="1">
        <v>42303</v>
      </c>
      <c r="B664">
        <v>9</v>
      </c>
      <c r="C664">
        <v>5.33</v>
      </c>
      <c r="D664">
        <v>8</v>
      </c>
      <c r="E664">
        <v>53.3</v>
      </c>
      <c r="F664">
        <v>8</v>
      </c>
      <c r="G664">
        <v>1</v>
      </c>
      <c r="H664">
        <v>2</v>
      </c>
      <c r="I664">
        <v>2</v>
      </c>
      <c r="J664">
        <v>2015</v>
      </c>
      <c r="K664">
        <v>10</v>
      </c>
      <c r="L664" t="s">
        <v>15</v>
      </c>
      <c r="M664">
        <f>SUM(Pharma_Sales_Data[[#This Row],[M01AB]:[R06]])</f>
        <v>88.63</v>
      </c>
      <c r="N664" s="2">
        <f>Pharma_Sales_Data[[#This Row],[Total Drug Sales]]*150</f>
        <v>13294.5</v>
      </c>
      <c r="O664" s="2">
        <f>Pharma_Sales_Data[[#This Row],[Total Revenue]]*0.3</f>
        <v>3988.35</v>
      </c>
      <c r="P664" t="str">
        <f>IF(Pharma_Sales_Data[[#This Row],[Total Revenue]]&gt;20000,"High Value", IF(Pharma_Sales_Data[[#This Row],[Total Revenue]]&gt;=10000,"Medium Value","Low Value"))</f>
        <v>Medium Value</v>
      </c>
    </row>
    <row r="665" spans="1:16" x14ac:dyDescent="0.35">
      <c r="A665" s="1">
        <v>42304</v>
      </c>
      <c r="B665">
        <v>4.33</v>
      </c>
      <c r="C665">
        <v>2</v>
      </c>
      <c r="D665">
        <v>8.5</v>
      </c>
      <c r="E665">
        <v>64.400000000000006</v>
      </c>
      <c r="F665">
        <v>7</v>
      </c>
      <c r="G665">
        <v>0</v>
      </c>
      <c r="H665">
        <v>8</v>
      </c>
      <c r="I665">
        <v>3</v>
      </c>
      <c r="J665">
        <v>2015</v>
      </c>
      <c r="K665">
        <v>10</v>
      </c>
      <c r="L665" t="s">
        <v>16</v>
      </c>
      <c r="M665">
        <f>SUM(Pharma_Sales_Data[[#This Row],[M01AB]:[R06]])</f>
        <v>97.23</v>
      </c>
      <c r="N665" s="2">
        <f>Pharma_Sales_Data[[#This Row],[Total Drug Sales]]*150</f>
        <v>14584.5</v>
      </c>
      <c r="O665" s="2">
        <f>Pharma_Sales_Data[[#This Row],[Total Revenue]]*0.3</f>
        <v>4375.3499999999995</v>
      </c>
      <c r="P665" t="str">
        <f>IF(Pharma_Sales_Data[[#This Row],[Total Revenue]]&gt;20000,"High Value", IF(Pharma_Sales_Data[[#This Row],[Total Revenue]]&gt;=10000,"Medium Value","Low Value"))</f>
        <v>Medium Value</v>
      </c>
    </row>
    <row r="666" spans="1:16" x14ac:dyDescent="0.35">
      <c r="A666" s="1">
        <v>42305</v>
      </c>
      <c r="B666">
        <v>1</v>
      </c>
      <c r="C666">
        <v>1.66</v>
      </c>
      <c r="D666">
        <v>1</v>
      </c>
      <c r="E666">
        <v>33</v>
      </c>
      <c r="F666">
        <v>11</v>
      </c>
      <c r="G666">
        <v>1</v>
      </c>
      <c r="H666">
        <v>6</v>
      </c>
      <c r="I666">
        <v>2</v>
      </c>
      <c r="J666">
        <v>2015</v>
      </c>
      <c r="K666">
        <v>10</v>
      </c>
      <c r="L666" t="s">
        <v>17</v>
      </c>
      <c r="M666">
        <f>SUM(Pharma_Sales_Data[[#This Row],[M01AB]:[R06]])</f>
        <v>56.66</v>
      </c>
      <c r="N666" s="2">
        <f>Pharma_Sales_Data[[#This Row],[Total Drug Sales]]*150</f>
        <v>8499</v>
      </c>
      <c r="O666" s="2">
        <f>Pharma_Sales_Data[[#This Row],[Total Revenue]]*0.3</f>
        <v>2549.6999999999998</v>
      </c>
      <c r="P666" t="str">
        <f>IF(Pharma_Sales_Data[[#This Row],[Total Revenue]]&gt;20000,"High Value", IF(Pharma_Sales_Data[[#This Row],[Total Revenue]]&gt;=10000,"Medium Value","Low Value"))</f>
        <v>Low Value</v>
      </c>
    </row>
    <row r="667" spans="1:16" x14ac:dyDescent="0.35">
      <c r="A667" s="1">
        <v>42306</v>
      </c>
      <c r="B667">
        <v>2.33</v>
      </c>
      <c r="C667">
        <v>3.6930000000000001</v>
      </c>
      <c r="D667">
        <v>1.3</v>
      </c>
      <c r="E667">
        <v>38.299999999999997</v>
      </c>
      <c r="F667">
        <v>8</v>
      </c>
      <c r="G667">
        <v>0</v>
      </c>
      <c r="H667">
        <v>0</v>
      </c>
      <c r="I667">
        <v>1</v>
      </c>
      <c r="J667">
        <v>2015</v>
      </c>
      <c r="K667">
        <v>10</v>
      </c>
      <c r="L667" t="s">
        <v>11</v>
      </c>
      <c r="M667">
        <f>SUM(Pharma_Sales_Data[[#This Row],[M01AB]:[R06]])</f>
        <v>54.622999999999998</v>
      </c>
      <c r="N667" s="2">
        <f>Pharma_Sales_Data[[#This Row],[Total Drug Sales]]*150</f>
        <v>8193.4499999999989</v>
      </c>
      <c r="O667" s="2">
        <f>Pharma_Sales_Data[[#This Row],[Total Revenue]]*0.3</f>
        <v>2458.0349999999994</v>
      </c>
      <c r="P667" t="str">
        <f>IF(Pharma_Sales_Data[[#This Row],[Total Revenue]]&gt;20000,"High Value", IF(Pharma_Sales_Data[[#This Row],[Total Revenue]]&gt;=10000,"Medium Value","Low Value"))</f>
        <v>Low Value</v>
      </c>
    </row>
    <row r="668" spans="1:16" x14ac:dyDescent="0.35">
      <c r="A668" s="1">
        <v>42307</v>
      </c>
      <c r="B668">
        <v>5.33</v>
      </c>
      <c r="C668">
        <v>3.67</v>
      </c>
      <c r="D668">
        <v>3.2</v>
      </c>
      <c r="E668">
        <v>49.6</v>
      </c>
      <c r="F668">
        <v>8</v>
      </c>
      <c r="G668">
        <v>0</v>
      </c>
      <c r="H668">
        <v>5</v>
      </c>
      <c r="I668">
        <v>3</v>
      </c>
      <c r="J668">
        <v>2015</v>
      </c>
      <c r="K668">
        <v>10</v>
      </c>
      <c r="L668" t="s">
        <v>12</v>
      </c>
      <c r="M668">
        <f>SUM(Pharma_Sales_Data[[#This Row],[M01AB]:[R06]])</f>
        <v>77.8</v>
      </c>
      <c r="N668" s="2">
        <f>Pharma_Sales_Data[[#This Row],[Total Drug Sales]]*150</f>
        <v>11670</v>
      </c>
      <c r="O668" s="2">
        <f>Pharma_Sales_Data[[#This Row],[Total Revenue]]*0.3</f>
        <v>3501</v>
      </c>
      <c r="P668" t="str">
        <f>IF(Pharma_Sales_Data[[#This Row],[Total Revenue]]&gt;20000,"High Value", IF(Pharma_Sales_Data[[#This Row],[Total Revenue]]&gt;=10000,"Medium Value","Low Value"))</f>
        <v>Medium Value</v>
      </c>
    </row>
    <row r="669" spans="1:16" x14ac:dyDescent="0.35">
      <c r="A669" s="1">
        <v>42308</v>
      </c>
      <c r="B669">
        <v>5.66</v>
      </c>
      <c r="C669">
        <v>4.6500000000000004</v>
      </c>
      <c r="D669">
        <v>8</v>
      </c>
      <c r="E669">
        <v>58.4</v>
      </c>
      <c r="F669">
        <v>6</v>
      </c>
      <c r="G669">
        <v>0</v>
      </c>
      <c r="H669">
        <v>7</v>
      </c>
      <c r="I669">
        <v>1</v>
      </c>
      <c r="J669">
        <v>2015</v>
      </c>
      <c r="K669">
        <v>10</v>
      </c>
      <c r="L669" t="s">
        <v>13</v>
      </c>
      <c r="M669">
        <f>SUM(Pharma_Sales_Data[[#This Row],[M01AB]:[R06]])</f>
        <v>90.710000000000008</v>
      </c>
      <c r="N669" s="2">
        <f>Pharma_Sales_Data[[#This Row],[Total Drug Sales]]*150</f>
        <v>13606.500000000002</v>
      </c>
      <c r="O669" s="2">
        <f>Pharma_Sales_Data[[#This Row],[Total Revenue]]*0.3</f>
        <v>4081.9500000000003</v>
      </c>
      <c r="P669" t="str">
        <f>IF(Pharma_Sales_Data[[#This Row],[Total Revenue]]&gt;20000,"High Value", IF(Pharma_Sales_Data[[#This Row],[Total Revenue]]&gt;=10000,"Medium Value","Low Value"))</f>
        <v>Medium Value</v>
      </c>
    </row>
    <row r="670" spans="1:16" x14ac:dyDescent="0.35">
      <c r="A670" s="1">
        <v>42309</v>
      </c>
      <c r="B670">
        <v>2.33</v>
      </c>
      <c r="C670">
        <v>7.99</v>
      </c>
      <c r="D670">
        <v>5.6</v>
      </c>
      <c r="E670">
        <v>80.400000000000006</v>
      </c>
      <c r="F670">
        <v>11</v>
      </c>
      <c r="G670">
        <v>0</v>
      </c>
      <c r="H670">
        <v>5</v>
      </c>
      <c r="I670">
        <v>0</v>
      </c>
      <c r="J670">
        <v>2015</v>
      </c>
      <c r="K670">
        <v>11</v>
      </c>
      <c r="L670" t="s">
        <v>14</v>
      </c>
      <c r="M670">
        <f>SUM(Pharma_Sales_Data[[#This Row],[M01AB]:[R06]])</f>
        <v>112.32000000000001</v>
      </c>
      <c r="N670" s="2">
        <f>Pharma_Sales_Data[[#This Row],[Total Drug Sales]]*150</f>
        <v>16848</v>
      </c>
      <c r="O670" s="2">
        <f>Pharma_Sales_Data[[#This Row],[Total Revenue]]*0.3</f>
        <v>5054.3999999999996</v>
      </c>
      <c r="P670" t="str">
        <f>IF(Pharma_Sales_Data[[#This Row],[Total Revenue]]&gt;20000,"High Value", IF(Pharma_Sales_Data[[#This Row],[Total Revenue]]&gt;=10000,"Medium Value","Low Value"))</f>
        <v>Medium Value</v>
      </c>
    </row>
    <row r="671" spans="1:16" x14ac:dyDescent="0.35">
      <c r="A671" s="1">
        <v>42310</v>
      </c>
      <c r="B671">
        <v>4.66</v>
      </c>
      <c r="C671">
        <v>4.33</v>
      </c>
      <c r="D671">
        <v>4</v>
      </c>
      <c r="E671">
        <v>46.3</v>
      </c>
      <c r="F671">
        <v>7</v>
      </c>
      <c r="G671">
        <v>0</v>
      </c>
      <c r="H671">
        <v>7</v>
      </c>
      <c r="I671">
        <v>2</v>
      </c>
      <c r="J671">
        <v>2015</v>
      </c>
      <c r="K671">
        <v>11</v>
      </c>
      <c r="L671" t="s">
        <v>15</v>
      </c>
      <c r="M671">
        <f>SUM(Pharma_Sales_Data[[#This Row],[M01AB]:[R06]])</f>
        <v>75.289999999999992</v>
      </c>
      <c r="N671" s="2">
        <f>Pharma_Sales_Data[[#This Row],[Total Drug Sales]]*150</f>
        <v>11293.499999999998</v>
      </c>
      <c r="O671" s="2">
        <f>Pharma_Sales_Data[[#This Row],[Total Revenue]]*0.3</f>
        <v>3388.0499999999993</v>
      </c>
      <c r="P671" t="str">
        <f>IF(Pharma_Sales_Data[[#This Row],[Total Revenue]]&gt;20000,"High Value", IF(Pharma_Sales_Data[[#This Row],[Total Revenue]]&gt;=10000,"Medium Value","Low Value"))</f>
        <v>Medium Value</v>
      </c>
    </row>
    <row r="672" spans="1:16" x14ac:dyDescent="0.35">
      <c r="A672" s="1">
        <v>42311</v>
      </c>
      <c r="B672">
        <v>1.34</v>
      </c>
      <c r="C672">
        <v>4.3499999999999996</v>
      </c>
      <c r="D672">
        <v>4.3</v>
      </c>
      <c r="E672">
        <v>41.8</v>
      </c>
      <c r="F672">
        <v>5</v>
      </c>
      <c r="G672">
        <v>0</v>
      </c>
      <c r="H672">
        <v>3</v>
      </c>
      <c r="I672">
        <v>0</v>
      </c>
      <c r="J672">
        <v>2015</v>
      </c>
      <c r="K672">
        <v>11</v>
      </c>
      <c r="L672" t="s">
        <v>16</v>
      </c>
      <c r="M672">
        <f>SUM(Pharma_Sales_Data[[#This Row],[M01AB]:[R06]])</f>
        <v>59.789999999999992</v>
      </c>
      <c r="N672" s="2">
        <f>Pharma_Sales_Data[[#This Row],[Total Drug Sales]]*150</f>
        <v>8968.4999999999982</v>
      </c>
      <c r="O672" s="2">
        <f>Pharma_Sales_Data[[#This Row],[Total Revenue]]*0.3</f>
        <v>2690.5499999999993</v>
      </c>
      <c r="P672" t="str">
        <f>IF(Pharma_Sales_Data[[#This Row],[Total Revenue]]&gt;20000,"High Value", IF(Pharma_Sales_Data[[#This Row],[Total Revenue]]&gt;=10000,"Medium Value","Low Value"))</f>
        <v>Low Value</v>
      </c>
    </row>
    <row r="673" spans="1:16" x14ac:dyDescent="0.35">
      <c r="A673" s="1">
        <v>42312</v>
      </c>
      <c r="B673">
        <v>8.5</v>
      </c>
      <c r="C673">
        <v>2.34</v>
      </c>
      <c r="D673">
        <v>3</v>
      </c>
      <c r="E673">
        <v>59.8</v>
      </c>
      <c r="F673">
        <v>18</v>
      </c>
      <c r="G673">
        <v>3</v>
      </c>
      <c r="H673">
        <v>3</v>
      </c>
      <c r="I673">
        <v>4</v>
      </c>
      <c r="J673">
        <v>2015</v>
      </c>
      <c r="K673">
        <v>11</v>
      </c>
      <c r="L673" t="s">
        <v>17</v>
      </c>
      <c r="M673">
        <f>SUM(Pharma_Sales_Data[[#This Row],[M01AB]:[R06]])</f>
        <v>101.64</v>
      </c>
      <c r="N673" s="2">
        <f>Pharma_Sales_Data[[#This Row],[Total Drug Sales]]*150</f>
        <v>15246</v>
      </c>
      <c r="O673" s="2">
        <f>Pharma_Sales_Data[[#This Row],[Total Revenue]]*0.3</f>
        <v>4573.8</v>
      </c>
      <c r="P673" t="str">
        <f>IF(Pharma_Sales_Data[[#This Row],[Total Revenue]]&gt;20000,"High Value", IF(Pharma_Sales_Data[[#This Row],[Total Revenue]]&gt;=10000,"Medium Value","Low Value"))</f>
        <v>Medium Value</v>
      </c>
    </row>
    <row r="674" spans="1:16" x14ac:dyDescent="0.35">
      <c r="A674" s="1">
        <v>42313</v>
      </c>
      <c r="B674">
        <v>4.33</v>
      </c>
      <c r="C674">
        <v>3.5609999999999999</v>
      </c>
      <c r="D674">
        <v>7.4</v>
      </c>
      <c r="E674">
        <v>45</v>
      </c>
      <c r="F674">
        <v>3</v>
      </c>
      <c r="G674">
        <v>0</v>
      </c>
      <c r="H674">
        <v>0</v>
      </c>
      <c r="I674">
        <v>2</v>
      </c>
      <c r="J674">
        <v>2015</v>
      </c>
      <c r="K674">
        <v>11</v>
      </c>
      <c r="L674" t="s">
        <v>11</v>
      </c>
      <c r="M674">
        <f>SUM(Pharma_Sales_Data[[#This Row],[M01AB]:[R06]])</f>
        <v>65.290999999999997</v>
      </c>
      <c r="N674" s="2">
        <f>Pharma_Sales_Data[[#This Row],[Total Drug Sales]]*150</f>
        <v>9793.65</v>
      </c>
      <c r="O674" s="2">
        <f>Pharma_Sales_Data[[#This Row],[Total Revenue]]*0.3</f>
        <v>2938.0949999999998</v>
      </c>
      <c r="P674" t="str">
        <f>IF(Pharma_Sales_Data[[#This Row],[Total Revenue]]&gt;20000,"High Value", IF(Pharma_Sales_Data[[#This Row],[Total Revenue]]&gt;=10000,"Medium Value","Low Value"))</f>
        <v>Low Value</v>
      </c>
    </row>
    <row r="675" spans="1:16" x14ac:dyDescent="0.35">
      <c r="A675" s="1">
        <v>42314</v>
      </c>
      <c r="B675">
        <v>3.33</v>
      </c>
      <c r="C675">
        <v>6.7359999999999998</v>
      </c>
      <c r="D675">
        <v>4</v>
      </c>
      <c r="E675">
        <v>31.475000000000001</v>
      </c>
      <c r="F675">
        <v>5</v>
      </c>
      <c r="G675">
        <v>2</v>
      </c>
      <c r="H675">
        <v>1</v>
      </c>
      <c r="I675">
        <v>0</v>
      </c>
      <c r="J675">
        <v>2015</v>
      </c>
      <c r="K675">
        <v>11</v>
      </c>
      <c r="L675" t="s">
        <v>12</v>
      </c>
      <c r="M675">
        <f>SUM(Pharma_Sales_Data[[#This Row],[M01AB]:[R06]])</f>
        <v>53.540999999999997</v>
      </c>
      <c r="N675" s="2">
        <f>Pharma_Sales_Data[[#This Row],[Total Drug Sales]]*150</f>
        <v>8031.15</v>
      </c>
      <c r="O675" s="2">
        <f>Pharma_Sales_Data[[#This Row],[Total Revenue]]*0.3</f>
        <v>2409.3449999999998</v>
      </c>
      <c r="P675" t="str">
        <f>IF(Pharma_Sales_Data[[#This Row],[Total Revenue]]&gt;20000,"High Value", IF(Pharma_Sales_Data[[#This Row],[Total Revenue]]&gt;=10000,"Medium Value","Low Value"))</f>
        <v>Low Value</v>
      </c>
    </row>
    <row r="676" spans="1:16" x14ac:dyDescent="0.35">
      <c r="A676" s="1">
        <v>42315</v>
      </c>
      <c r="B676">
        <v>4</v>
      </c>
      <c r="C676">
        <v>3.11</v>
      </c>
      <c r="D676">
        <v>4.8</v>
      </c>
      <c r="E676">
        <v>69.900000000000006</v>
      </c>
      <c r="F676">
        <v>15</v>
      </c>
      <c r="G676">
        <v>1</v>
      </c>
      <c r="H676">
        <v>6</v>
      </c>
      <c r="I676">
        <v>1</v>
      </c>
      <c r="J676">
        <v>2015</v>
      </c>
      <c r="K676">
        <v>11</v>
      </c>
      <c r="L676" t="s">
        <v>13</v>
      </c>
      <c r="M676">
        <f>SUM(Pharma_Sales_Data[[#This Row],[M01AB]:[R06]])</f>
        <v>104.81</v>
      </c>
      <c r="N676" s="2">
        <f>Pharma_Sales_Data[[#This Row],[Total Drug Sales]]*150</f>
        <v>15721.5</v>
      </c>
      <c r="O676" s="2">
        <f>Pharma_Sales_Data[[#This Row],[Total Revenue]]*0.3</f>
        <v>4716.45</v>
      </c>
      <c r="P676" t="str">
        <f>IF(Pharma_Sales_Data[[#This Row],[Total Revenue]]&gt;20000,"High Value", IF(Pharma_Sales_Data[[#This Row],[Total Revenue]]&gt;=10000,"Medium Value","Low Value"))</f>
        <v>Medium Value</v>
      </c>
    </row>
    <row r="677" spans="1:16" x14ac:dyDescent="0.35">
      <c r="A677" s="1">
        <v>42316</v>
      </c>
      <c r="B677">
        <v>6.33</v>
      </c>
      <c r="C677">
        <v>3.67</v>
      </c>
      <c r="D677">
        <v>7.2</v>
      </c>
      <c r="E677">
        <v>48.6</v>
      </c>
      <c r="F677">
        <v>7</v>
      </c>
      <c r="G677">
        <v>0</v>
      </c>
      <c r="H677">
        <v>13</v>
      </c>
      <c r="I677">
        <v>1</v>
      </c>
      <c r="J677">
        <v>2015</v>
      </c>
      <c r="K677">
        <v>11</v>
      </c>
      <c r="L677" t="s">
        <v>14</v>
      </c>
      <c r="M677">
        <f>SUM(Pharma_Sales_Data[[#This Row],[M01AB]:[R06]])</f>
        <v>86.8</v>
      </c>
      <c r="N677" s="2">
        <f>Pharma_Sales_Data[[#This Row],[Total Drug Sales]]*150</f>
        <v>13020</v>
      </c>
      <c r="O677" s="2">
        <f>Pharma_Sales_Data[[#This Row],[Total Revenue]]*0.3</f>
        <v>3906</v>
      </c>
      <c r="P677" t="str">
        <f>IF(Pharma_Sales_Data[[#This Row],[Total Revenue]]&gt;20000,"High Value", IF(Pharma_Sales_Data[[#This Row],[Total Revenue]]&gt;=10000,"Medium Value","Low Value"))</f>
        <v>Medium Value</v>
      </c>
    </row>
    <row r="678" spans="1:16" x14ac:dyDescent="0.35">
      <c r="A678" s="1">
        <v>42317</v>
      </c>
      <c r="B678">
        <v>3.66</v>
      </c>
      <c r="C678">
        <v>6.1980000000000004</v>
      </c>
      <c r="D678">
        <v>4.2</v>
      </c>
      <c r="E678">
        <v>40.75</v>
      </c>
      <c r="F678">
        <v>3</v>
      </c>
      <c r="G678">
        <v>1</v>
      </c>
      <c r="H678">
        <v>12</v>
      </c>
      <c r="I678">
        <v>1</v>
      </c>
      <c r="J678">
        <v>2015</v>
      </c>
      <c r="K678">
        <v>11</v>
      </c>
      <c r="L678" t="s">
        <v>15</v>
      </c>
      <c r="M678">
        <f>SUM(Pharma_Sales_Data[[#This Row],[M01AB]:[R06]])</f>
        <v>71.807999999999993</v>
      </c>
      <c r="N678" s="2">
        <f>Pharma_Sales_Data[[#This Row],[Total Drug Sales]]*150</f>
        <v>10771.199999999999</v>
      </c>
      <c r="O678" s="2">
        <f>Pharma_Sales_Data[[#This Row],[Total Revenue]]*0.3</f>
        <v>3231.3599999999997</v>
      </c>
      <c r="P678" t="str">
        <f>IF(Pharma_Sales_Data[[#This Row],[Total Revenue]]&gt;20000,"High Value", IF(Pharma_Sales_Data[[#This Row],[Total Revenue]]&gt;=10000,"Medium Value","Low Value"))</f>
        <v>Medium Value</v>
      </c>
    </row>
    <row r="679" spans="1:16" x14ac:dyDescent="0.35">
      <c r="A679" s="1">
        <v>42318</v>
      </c>
      <c r="B679">
        <v>6.33</v>
      </c>
      <c r="C679">
        <v>7.4820000000000002</v>
      </c>
      <c r="D679">
        <v>10</v>
      </c>
      <c r="E679">
        <v>41.2</v>
      </c>
      <c r="F679">
        <v>8</v>
      </c>
      <c r="G679">
        <v>0</v>
      </c>
      <c r="H679">
        <v>9</v>
      </c>
      <c r="I679">
        <v>2</v>
      </c>
      <c r="J679">
        <v>2015</v>
      </c>
      <c r="K679">
        <v>11</v>
      </c>
      <c r="L679" t="s">
        <v>16</v>
      </c>
      <c r="M679">
        <f>SUM(Pharma_Sales_Data[[#This Row],[M01AB]:[R06]])</f>
        <v>84.012</v>
      </c>
      <c r="N679" s="2">
        <f>Pharma_Sales_Data[[#This Row],[Total Drug Sales]]*150</f>
        <v>12601.8</v>
      </c>
      <c r="O679" s="2">
        <f>Pharma_Sales_Data[[#This Row],[Total Revenue]]*0.3</f>
        <v>3780.5399999999995</v>
      </c>
      <c r="P679" t="str">
        <f>IF(Pharma_Sales_Data[[#This Row],[Total Revenue]]&gt;20000,"High Value", IF(Pharma_Sales_Data[[#This Row],[Total Revenue]]&gt;=10000,"Medium Value","Low Value"))</f>
        <v>Medium Value</v>
      </c>
    </row>
    <row r="680" spans="1:16" x14ac:dyDescent="0.35">
      <c r="A680" s="1">
        <v>42319</v>
      </c>
      <c r="B680">
        <v>9.66</v>
      </c>
      <c r="C680">
        <v>5.34</v>
      </c>
      <c r="D680">
        <v>7.2</v>
      </c>
      <c r="E680">
        <v>60</v>
      </c>
      <c r="F680">
        <v>4</v>
      </c>
      <c r="G680">
        <v>0</v>
      </c>
      <c r="H680">
        <v>12</v>
      </c>
      <c r="I680">
        <v>3</v>
      </c>
      <c r="J680">
        <v>2015</v>
      </c>
      <c r="K680">
        <v>11</v>
      </c>
      <c r="L680" t="s">
        <v>17</v>
      </c>
      <c r="M680">
        <f>SUM(Pharma_Sales_Data[[#This Row],[M01AB]:[R06]])</f>
        <v>101.2</v>
      </c>
      <c r="N680" s="2">
        <f>Pharma_Sales_Data[[#This Row],[Total Drug Sales]]*150</f>
        <v>15180</v>
      </c>
      <c r="O680" s="2">
        <f>Pharma_Sales_Data[[#This Row],[Total Revenue]]*0.3</f>
        <v>4554</v>
      </c>
      <c r="P680" t="str">
        <f>IF(Pharma_Sales_Data[[#This Row],[Total Revenue]]&gt;20000,"High Value", IF(Pharma_Sales_Data[[#This Row],[Total Revenue]]&gt;=10000,"Medium Value","Low Value"))</f>
        <v>Medium Value</v>
      </c>
    </row>
    <row r="681" spans="1:16" x14ac:dyDescent="0.35">
      <c r="A681" s="1">
        <v>42320</v>
      </c>
      <c r="B681">
        <v>6</v>
      </c>
      <c r="C681">
        <v>4.33</v>
      </c>
      <c r="D681">
        <v>6</v>
      </c>
      <c r="E681">
        <v>24</v>
      </c>
      <c r="F681">
        <v>11</v>
      </c>
      <c r="G681">
        <v>0</v>
      </c>
      <c r="H681">
        <v>20</v>
      </c>
      <c r="I681">
        <v>0</v>
      </c>
      <c r="J681">
        <v>2015</v>
      </c>
      <c r="K681">
        <v>11</v>
      </c>
      <c r="L681" t="s">
        <v>11</v>
      </c>
      <c r="M681">
        <f>SUM(Pharma_Sales_Data[[#This Row],[M01AB]:[R06]])</f>
        <v>71.33</v>
      </c>
      <c r="N681" s="2">
        <f>Pharma_Sales_Data[[#This Row],[Total Drug Sales]]*150</f>
        <v>10699.5</v>
      </c>
      <c r="O681" s="2">
        <f>Pharma_Sales_Data[[#This Row],[Total Revenue]]*0.3</f>
        <v>3209.85</v>
      </c>
      <c r="P681" t="str">
        <f>IF(Pharma_Sales_Data[[#This Row],[Total Revenue]]&gt;20000,"High Value", IF(Pharma_Sales_Data[[#This Row],[Total Revenue]]&gt;=10000,"Medium Value","Low Value"))</f>
        <v>Medium Value</v>
      </c>
    </row>
    <row r="682" spans="1:16" x14ac:dyDescent="0.35">
      <c r="A682" s="1">
        <v>42321</v>
      </c>
      <c r="B682">
        <v>5</v>
      </c>
      <c r="C682">
        <v>2.44</v>
      </c>
      <c r="D682">
        <v>2</v>
      </c>
      <c r="E682">
        <v>22</v>
      </c>
      <c r="F682">
        <v>13</v>
      </c>
      <c r="G682">
        <v>0</v>
      </c>
      <c r="H682">
        <v>0</v>
      </c>
      <c r="I682">
        <v>0</v>
      </c>
      <c r="J682">
        <v>2015</v>
      </c>
      <c r="K682">
        <v>11</v>
      </c>
      <c r="L682" t="s">
        <v>12</v>
      </c>
      <c r="M682">
        <f>SUM(Pharma_Sales_Data[[#This Row],[M01AB]:[R06]])</f>
        <v>44.44</v>
      </c>
      <c r="N682" s="2">
        <f>Pharma_Sales_Data[[#This Row],[Total Drug Sales]]*150</f>
        <v>6666</v>
      </c>
      <c r="O682" s="2">
        <f>Pharma_Sales_Data[[#This Row],[Total Revenue]]*0.3</f>
        <v>1999.8</v>
      </c>
      <c r="P682" t="str">
        <f>IF(Pharma_Sales_Data[[#This Row],[Total Revenue]]&gt;20000,"High Value", IF(Pharma_Sales_Data[[#This Row],[Total Revenue]]&gt;=10000,"Medium Value","Low Value"))</f>
        <v>Low Value</v>
      </c>
    </row>
    <row r="683" spans="1:16" x14ac:dyDescent="0.35">
      <c r="A683" s="1">
        <v>42322</v>
      </c>
      <c r="B683">
        <v>4.99</v>
      </c>
      <c r="C683">
        <v>0.33</v>
      </c>
      <c r="D683">
        <v>3.7</v>
      </c>
      <c r="E683">
        <v>19</v>
      </c>
      <c r="F683">
        <v>5</v>
      </c>
      <c r="G683">
        <v>1</v>
      </c>
      <c r="H683">
        <v>0</v>
      </c>
      <c r="I683">
        <v>1</v>
      </c>
      <c r="J683">
        <v>2015</v>
      </c>
      <c r="K683">
        <v>11</v>
      </c>
      <c r="L683" t="s">
        <v>13</v>
      </c>
      <c r="M683">
        <f>SUM(Pharma_Sales_Data[[#This Row],[M01AB]:[R06]])</f>
        <v>35.019999999999996</v>
      </c>
      <c r="N683" s="2">
        <f>Pharma_Sales_Data[[#This Row],[Total Drug Sales]]*150</f>
        <v>5252.9999999999991</v>
      </c>
      <c r="O683" s="2">
        <f>Pharma_Sales_Data[[#This Row],[Total Revenue]]*0.3</f>
        <v>1575.8999999999996</v>
      </c>
      <c r="P683" t="str">
        <f>IF(Pharma_Sales_Data[[#This Row],[Total Revenue]]&gt;20000,"High Value", IF(Pharma_Sales_Data[[#This Row],[Total Revenue]]&gt;=10000,"Medium Value","Low Value"))</f>
        <v>Low Value</v>
      </c>
    </row>
    <row r="684" spans="1:16" x14ac:dyDescent="0.35">
      <c r="A684" s="1">
        <v>42323</v>
      </c>
      <c r="B684">
        <v>1.33</v>
      </c>
      <c r="C684">
        <v>11.99</v>
      </c>
      <c r="D684">
        <v>9.3000000000000007</v>
      </c>
      <c r="E684">
        <v>42.35</v>
      </c>
      <c r="F684">
        <v>8</v>
      </c>
      <c r="G684">
        <v>2</v>
      </c>
      <c r="H684">
        <v>17</v>
      </c>
      <c r="I684">
        <v>0</v>
      </c>
      <c r="J684">
        <v>2015</v>
      </c>
      <c r="K684">
        <v>11</v>
      </c>
      <c r="L684" t="s">
        <v>14</v>
      </c>
      <c r="M684">
        <f>SUM(Pharma_Sales_Data[[#This Row],[M01AB]:[R06]])</f>
        <v>91.97</v>
      </c>
      <c r="N684" s="2">
        <f>Pharma_Sales_Data[[#This Row],[Total Drug Sales]]*150</f>
        <v>13795.5</v>
      </c>
      <c r="O684" s="2">
        <f>Pharma_Sales_Data[[#This Row],[Total Revenue]]*0.3</f>
        <v>4138.6499999999996</v>
      </c>
      <c r="P684" t="str">
        <f>IF(Pharma_Sales_Data[[#This Row],[Total Revenue]]&gt;20000,"High Value", IF(Pharma_Sales_Data[[#This Row],[Total Revenue]]&gt;=10000,"Medium Value","Low Value"))</f>
        <v>Medium Value</v>
      </c>
    </row>
    <row r="685" spans="1:16" x14ac:dyDescent="0.35">
      <c r="A685" s="1">
        <v>42324</v>
      </c>
      <c r="B685">
        <v>5.67</v>
      </c>
      <c r="C685">
        <v>3.67</v>
      </c>
      <c r="D685">
        <v>6</v>
      </c>
      <c r="E685">
        <v>50.3</v>
      </c>
      <c r="F685">
        <v>9</v>
      </c>
      <c r="G685">
        <v>0</v>
      </c>
      <c r="H685">
        <v>3</v>
      </c>
      <c r="I685">
        <v>2</v>
      </c>
      <c r="J685">
        <v>2015</v>
      </c>
      <c r="K685">
        <v>11</v>
      </c>
      <c r="L685" t="s">
        <v>15</v>
      </c>
      <c r="M685">
        <f>SUM(Pharma_Sales_Data[[#This Row],[M01AB]:[R06]])</f>
        <v>79.64</v>
      </c>
      <c r="N685" s="2">
        <f>Pharma_Sales_Data[[#This Row],[Total Drug Sales]]*150</f>
        <v>11946</v>
      </c>
      <c r="O685" s="2">
        <f>Pharma_Sales_Data[[#This Row],[Total Revenue]]*0.3</f>
        <v>3583.7999999999997</v>
      </c>
      <c r="P685" t="str">
        <f>IF(Pharma_Sales_Data[[#This Row],[Total Revenue]]&gt;20000,"High Value", IF(Pharma_Sales_Data[[#This Row],[Total Revenue]]&gt;=10000,"Medium Value","Low Value"))</f>
        <v>Medium Value</v>
      </c>
    </row>
    <row r="686" spans="1:16" x14ac:dyDescent="0.35">
      <c r="A686" s="1">
        <v>42325</v>
      </c>
      <c r="B686">
        <v>6.34</v>
      </c>
      <c r="C686">
        <v>4.6929999999999996</v>
      </c>
      <c r="D686">
        <v>4.7</v>
      </c>
      <c r="E686">
        <v>60</v>
      </c>
      <c r="F686">
        <v>1</v>
      </c>
      <c r="G686">
        <v>0</v>
      </c>
      <c r="H686">
        <v>0</v>
      </c>
      <c r="I686">
        <v>2</v>
      </c>
      <c r="J686">
        <v>2015</v>
      </c>
      <c r="K686">
        <v>11</v>
      </c>
      <c r="L686" t="s">
        <v>16</v>
      </c>
      <c r="M686">
        <f>SUM(Pharma_Sales_Data[[#This Row],[M01AB]:[R06]])</f>
        <v>78.733000000000004</v>
      </c>
      <c r="N686" s="2">
        <f>Pharma_Sales_Data[[#This Row],[Total Drug Sales]]*150</f>
        <v>11809.95</v>
      </c>
      <c r="O686" s="2">
        <f>Pharma_Sales_Data[[#This Row],[Total Revenue]]*0.3</f>
        <v>3542.9850000000001</v>
      </c>
      <c r="P686" t="str">
        <f>IF(Pharma_Sales_Data[[#This Row],[Total Revenue]]&gt;20000,"High Value", IF(Pharma_Sales_Data[[#This Row],[Total Revenue]]&gt;=10000,"Medium Value","Low Value"))</f>
        <v>Medium Value</v>
      </c>
    </row>
    <row r="687" spans="1:16" x14ac:dyDescent="0.35">
      <c r="A687" s="1">
        <v>42326</v>
      </c>
      <c r="B687">
        <v>6.34</v>
      </c>
      <c r="C687">
        <v>5.33</v>
      </c>
      <c r="D687">
        <v>5.5</v>
      </c>
      <c r="E687">
        <v>24.5</v>
      </c>
      <c r="F687">
        <v>11</v>
      </c>
      <c r="G687">
        <v>0</v>
      </c>
      <c r="H687">
        <v>0</v>
      </c>
      <c r="I687">
        <v>2</v>
      </c>
      <c r="J687">
        <v>2015</v>
      </c>
      <c r="K687">
        <v>11</v>
      </c>
      <c r="L687" t="s">
        <v>17</v>
      </c>
      <c r="M687">
        <f>SUM(Pharma_Sales_Data[[#This Row],[M01AB]:[R06]])</f>
        <v>54.67</v>
      </c>
      <c r="N687" s="2">
        <f>Pharma_Sales_Data[[#This Row],[Total Drug Sales]]*150</f>
        <v>8200.5</v>
      </c>
      <c r="O687" s="2">
        <f>Pharma_Sales_Data[[#This Row],[Total Revenue]]*0.3</f>
        <v>2460.15</v>
      </c>
      <c r="P687" t="str">
        <f>IF(Pharma_Sales_Data[[#This Row],[Total Revenue]]&gt;20000,"High Value", IF(Pharma_Sales_Data[[#This Row],[Total Revenue]]&gt;=10000,"Medium Value","Low Value"))</f>
        <v>Low Value</v>
      </c>
    </row>
    <row r="688" spans="1:16" x14ac:dyDescent="0.35">
      <c r="A688" s="1">
        <v>42327</v>
      </c>
      <c r="B688">
        <v>2</v>
      </c>
      <c r="C688">
        <v>2.99</v>
      </c>
      <c r="D688">
        <v>2.1</v>
      </c>
      <c r="E688">
        <v>26.4</v>
      </c>
      <c r="F688">
        <v>22</v>
      </c>
      <c r="G688">
        <v>0</v>
      </c>
      <c r="H688">
        <v>0</v>
      </c>
      <c r="I688">
        <v>0</v>
      </c>
      <c r="J688">
        <v>2015</v>
      </c>
      <c r="K688">
        <v>11</v>
      </c>
      <c r="L688" t="s">
        <v>11</v>
      </c>
      <c r="M688">
        <f>SUM(Pharma_Sales_Data[[#This Row],[M01AB]:[R06]])</f>
        <v>55.489999999999995</v>
      </c>
      <c r="N688" s="2">
        <f>Pharma_Sales_Data[[#This Row],[Total Drug Sales]]*150</f>
        <v>8323.5</v>
      </c>
      <c r="O688" s="2">
        <f>Pharma_Sales_Data[[#This Row],[Total Revenue]]*0.3</f>
        <v>2497.0499999999997</v>
      </c>
      <c r="P688" t="str">
        <f>IF(Pharma_Sales_Data[[#This Row],[Total Revenue]]&gt;20000,"High Value", IF(Pharma_Sales_Data[[#This Row],[Total Revenue]]&gt;=10000,"Medium Value","Low Value"))</f>
        <v>Low Value</v>
      </c>
    </row>
    <row r="689" spans="1:16" x14ac:dyDescent="0.35">
      <c r="A689" s="1">
        <v>42328</v>
      </c>
      <c r="B689">
        <v>5.66</v>
      </c>
      <c r="C689">
        <v>1.66</v>
      </c>
      <c r="D689">
        <v>3.8</v>
      </c>
      <c r="E689">
        <v>25.6</v>
      </c>
      <c r="F689">
        <v>2</v>
      </c>
      <c r="G689">
        <v>2</v>
      </c>
      <c r="H689">
        <v>10</v>
      </c>
      <c r="I689">
        <v>3</v>
      </c>
      <c r="J689">
        <v>2015</v>
      </c>
      <c r="K689">
        <v>11</v>
      </c>
      <c r="L689" t="s">
        <v>12</v>
      </c>
      <c r="M689">
        <f>SUM(Pharma_Sales_Data[[#This Row],[M01AB]:[R06]])</f>
        <v>53.72</v>
      </c>
      <c r="N689" s="2">
        <f>Pharma_Sales_Data[[#This Row],[Total Drug Sales]]*150</f>
        <v>8058</v>
      </c>
      <c r="O689" s="2">
        <f>Pharma_Sales_Data[[#This Row],[Total Revenue]]*0.3</f>
        <v>2417.4</v>
      </c>
      <c r="P689" t="str">
        <f>IF(Pharma_Sales_Data[[#This Row],[Total Revenue]]&gt;20000,"High Value", IF(Pharma_Sales_Data[[#This Row],[Total Revenue]]&gt;=10000,"Medium Value","Low Value"))</f>
        <v>Low Value</v>
      </c>
    </row>
    <row r="690" spans="1:16" x14ac:dyDescent="0.35">
      <c r="A690" s="1">
        <v>42329</v>
      </c>
      <c r="B690">
        <v>4</v>
      </c>
      <c r="C690">
        <v>2.0099999999999998</v>
      </c>
      <c r="D690">
        <v>5.2</v>
      </c>
      <c r="E690">
        <v>45.5</v>
      </c>
      <c r="F690">
        <v>4</v>
      </c>
      <c r="G690">
        <v>0</v>
      </c>
      <c r="H690">
        <v>17</v>
      </c>
      <c r="I690">
        <v>3</v>
      </c>
      <c r="J690">
        <v>2015</v>
      </c>
      <c r="K690">
        <v>11</v>
      </c>
      <c r="L690" t="s">
        <v>13</v>
      </c>
      <c r="M690">
        <f>SUM(Pharma_Sales_Data[[#This Row],[M01AB]:[R06]])</f>
        <v>80.710000000000008</v>
      </c>
      <c r="N690" s="2">
        <f>Pharma_Sales_Data[[#This Row],[Total Drug Sales]]*150</f>
        <v>12106.500000000002</v>
      </c>
      <c r="O690" s="2">
        <f>Pharma_Sales_Data[[#This Row],[Total Revenue]]*0.3</f>
        <v>3631.9500000000003</v>
      </c>
      <c r="P690" t="str">
        <f>IF(Pharma_Sales_Data[[#This Row],[Total Revenue]]&gt;20000,"High Value", IF(Pharma_Sales_Data[[#This Row],[Total Revenue]]&gt;=10000,"Medium Value","Low Value"))</f>
        <v>Medium Value</v>
      </c>
    </row>
    <row r="691" spans="1:16" x14ac:dyDescent="0.35">
      <c r="A691" s="1">
        <v>42330</v>
      </c>
      <c r="B691">
        <v>2</v>
      </c>
      <c r="C691">
        <v>3.4390000000000001</v>
      </c>
      <c r="D691">
        <v>2.6</v>
      </c>
      <c r="E691">
        <v>41.2</v>
      </c>
      <c r="F691">
        <v>6</v>
      </c>
      <c r="G691">
        <v>2</v>
      </c>
      <c r="H691">
        <v>2</v>
      </c>
      <c r="I691">
        <v>1</v>
      </c>
      <c r="J691">
        <v>2015</v>
      </c>
      <c r="K691">
        <v>11</v>
      </c>
      <c r="L691" t="s">
        <v>14</v>
      </c>
      <c r="M691">
        <f>SUM(Pharma_Sales_Data[[#This Row],[M01AB]:[R06]])</f>
        <v>60.239000000000004</v>
      </c>
      <c r="N691" s="2">
        <f>Pharma_Sales_Data[[#This Row],[Total Drug Sales]]*150</f>
        <v>9035.85</v>
      </c>
      <c r="O691" s="2">
        <f>Pharma_Sales_Data[[#This Row],[Total Revenue]]*0.3</f>
        <v>2710.7550000000001</v>
      </c>
      <c r="P691" t="str">
        <f>IF(Pharma_Sales_Data[[#This Row],[Total Revenue]]&gt;20000,"High Value", IF(Pharma_Sales_Data[[#This Row],[Total Revenue]]&gt;=10000,"Medium Value","Low Value"))</f>
        <v>Low Value</v>
      </c>
    </row>
    <row r="692" spans="1:16" x14ac:dyDescent="0.35">
      <c r="A692" s="1">
        <v>42331</v>
      </c>
      <c r="B692">
        <v>3</v>
      </c>
      <c r="C692">
        <v>1</v>
      </c>
      <c r="D692">
        <v>4.7</v>
      </c>
      <c r="E692">
        <v>69</v>
      </c>
      <c r="F692">
        <v>3</v>
      </c>
      <c r="G692">
        <v>0</v>
      </c>
      <c r="H692">
        <v>1</v>
      </c>
      <c r="I692">
        <v>2</v>
      </c>
      <c r="J692">
        <v>2015</v>
      </c>
      <c r="K692">
        <v>11</v>
      </c>
      <c r="L692" t="s">
        <v>15</v>
      </c>
      <c r="M692">
        <f>SUM(Pharma_Sales_Data[[#This Row],[M01AB]:[R06]])</f>
        <v>83.7</v>
      </c>
      <c r="N692" s="2">
        <f>Pharma_Sales_Data[[#This Row],[Total Drug Sales]]*150</f>
        <v>12555</v>
      </c>
      <c r="O692" s="2">
        <f>Pharma_Sales_Data[[#This Row],[Total Revenue]]*0.3</f>
        <v>3766.5</v>
      </c>
      <c r="P692" t="str">
        <f>IF(Pharma_Sales_Data[[#This Row],[Total Revenue]]&gt;20000,"High Value", IF(Pharma_Sales_Data[[#This Row],[Total Revenue]]&gt;=10000,"Medium Value","Low Value"))</f>
        <v>Medium Value</v>
      </c>
    </row>
    <row r="693" spans="1:16" x14ac:dyDescent="0.35">
      <c r="A693" s="1">
        <v>42332</v>
      </c>
      <c r="B693">
        <v>5</v>
      </c>
      <c r="C693">
        <v>6.33</v>
      </c>
      <c r="D693">
        <v>6.4</v>
      </c>
      <c r="E693">
        <v>19.8</v>
      </c>
      <c r="F693">
        <v>12</v>
      </c>
      <c r="G693">
        <v>3</v>
      </c>
      <c r="H693">
        <v>1</v>
      </c>
      <c r="I693">
        <v>5</v>
      </c>
      <c r="J693">
        <v>2015</v>
      </c>
      <c r="K693">
        <v>11</v>
      </c>
      <c r="L693" t="s">
        <v>16</v>
      </c>
      <c r="M693">
        <f>SUM(Pharma_Sales_Data[[#This Row],[M01AB]:[R06]])</f>
        <v>58.53</v>
      </c>
      <c r="N693" s="2">
        <f>Pharma_Sales_Data[[#This Row],[Total Drug Sales]]*150</f>
        <v>8779.5</v>
      </c>
      <c r="O693" s="2">
        <f>Pharma_Sales_Data[[#This Row],[Total Revenue]]*0.3</f>
        <v>2633.85</v>
      </c>
      <c r="P693" t="str">
        <f>IF(Pharma_Sales_Data[[#This Row],[Total Revenue]]&gt;20000,"High Value", IF(Pharma_Sales_Data[[#This Row],[Total Revenue]]&gt;=10000,"Medium Value","Low Value"))</f>
        <v>Low Value</v>
      </c>
    </row>
    <row r="694" spans="1:16" x14ac:dyDescent="0.35">
      <c r="A694" s="1">
        <v>42333</v>
      </c>
      <c r="B694">
        <v>5.66</v>
      </c>
      <c r="C694">
        <v>5.33</v>
      </c>
      <c r="D694">
        <v>3.2</v>
      </c>
      <c r="E694">
        <v>29</v>
      </c>
      <c r="F694">
        <v>11</v>
      </c>
      <c r="G694">
        <v>0</v>
      </c>
      <c r="H694">
        <v>3</v>
      </c>
      <c r="I694">
        <v>3</v>
      </c>
      <c r="J694">
        <v>2015</v>
      </c>
      <c r="K694">
        <v>11</v>
      </c>
      <c r="L694" t="s">
        <v>17</v>
      </c>
      <c r="M694">
        <f>SUM(Pharma_Sales_Data[[#This Row],[M01AB]:[R06]])</f>
        <v>60.19</v>
      </c>
      <c r="N694" s="2">
        <f>Pharma_Sales_Data[[#This Row],[Total Drug Sales]]*150</f>
        <v>9028.5</v>
      </c>
      <c r="O694" s="2">
        <f>Pharma_Sales_Data[[#This Row],[Total Revenue]]*0.3</f>
        <v>2708.5499999999997</v>
      </c>
      <c r="P694" t="str">
        <f>IF(Pharma_Sales_Data[[#This Row],[Total Revenue]]&gt;20000,"High Value", IF(Pharma_Sales_Data[[#This Row],[Total Revenue]]&gt;=10000,"Medium Value","Low Value"))</f>
        <v>Low Value</v>
      </c>
    </row>
    <row r="695" spans="1:16" x14ac:dyDescent="0.35">
      <c r="A695" s="1">
        <v>42334</v>
      </c>
      <c r="B695">
        <v>4.33</v>
      </c>
      <c r="C695">
        <v>4</v>
      </c>
      <c r="D695">
        <v>2</v>
      </c>
      <c r="E695">
        <v>25.975000000000001</v>
      </c>
      <c r="F695">
        <v>8</v>
      </c>
      <c r="G695">
        <v>0</v>
      </c>
      <c r="H695">
        <v>0</v>
      </c>
      <c r="I695">
        <v>0</v>
      </c>
      <c r="J695">
        <v>2015</v>
      </c>
      <c r="K695">
        <v>11</v>
      </c>
      <c r="L695" t="s">
        <v>11</v>
      </c>
      <c r="M695">
        <f>SUM(Pharma_Sales_Data[[#This Row],[M01AB]:[R06]])</f>
        <v>44.305</v>
      </c>
      <c r="N695" s="2">
        <f>Pharma_Sales_Data[[#This Row],[Total Drug Sales]]*150</f>
        <v>6645.75</v>
      </c>
      <c r="O695" s="2">
        <f>Pharma_Sales_Data[[#This Row],[Total Revenue]]*0.3</f>
        <v>1993.7249999999999</v>
      </c>
      <c r="P695" t="str">
        <f>IF(Pharma_Sales_Data[[#This Row],[Total Revenue]]&gt;20000,"High Value", IF(Pharma_Sales_Data[[#This Row],[Total Revenue]]&gt;=10000,"Medium Value","Low Value"))</f>
        <v>Low Value</v>
      </c>
    </row>
    <row r="696" spans="1:16" x14ac:dyDescent="0.35">
      <c r="A696" s="1">
        <v>42335</v>
      </c>
      <c r="B696">
        <v>0.67</v>
      </c>
      <c r="C696">
        <v>4.3730000000000002</v>
      </c>
      <c r="D696">
        <v>2</v>
      </c>
      <c r="E696">
        <v>20.8</v>
      </c>
      <c r="F696">
        <v>7</v>
      </c>
      <c r="G696">
        <v>0</v>
      </c>
      <c r="H696">
        <v>0</v>
      </c>
      <c r="I696">
        <v>0</v>
      </c>
      <c r="J696">
        <v>2015</v>
      </c>
      <c r="K696">
        <v>11</v>
      </c>
      <c r="L696" t="s">
        <v>12</v>
      </c>
      <c r="M696">
        <f>SUM(Pharma_Sales_Data[[#This Row],[M01AB]:[R06]])</f>
        <v>34.843000000000004</v>
      </c>
      <c r="N696" s="2">
        <f>Pharma_Sales_Data[[#This Row],[Total Drug Sales]]*150</f>
        <v>5226.4500000000007</v>
      </c>
      <c r="O696" s="2">
        <f>Pharma_Sales_Data[[#This Row],[Total Revenue]]*0.3</f>
        <v>1567.9350000000002</v>
      </c>
      <c r="P696" t="str">
        <f>IF(Pharma_Sales_Data[[#This Row],[Total Revenue]]&gt;20000,"High Value", IF(Pharma_Sales_Data[[#This Row],[Total Revenue]]&gt;=10000,"Medium Value","Low Value"))</f>
        <v>Low Value</v>
      </c>
    </row>
    <row r="697" spans="1:16" x14ac:dyDescent="0.35">
      <c r="A697" s="1">
        <v>42336</v>
      </c>
      <c r="B697">
        <v>6.33</v>
      </c>
      <c r="C697">
        <v>3.66</v>
      </c>
      <c r="D697">
        <v>4</v>
      </c>
      <c r="E697">
        <v>46.825000000000003</v>
      </c>
      <c r="F697">
        <v>3</v>
      </c>
      <c r="G697">
        <v>0</v>
      </c>
      <c r="H697">
        <v>10</v>
      </c>
      <c r="I697">
        <v>1</v>
      </c>
      <c r="J697">
        <v>2015</v>
      </c>
      <c r="K697">
        <v>11</v>
      </c>
      <c r="L697" t="s">
        <v>13</v>
      </c>
      <c r="M697">
        <f>SUM(Pharma_Sales_Data[[#This Row],[M01AB]:[R06]])</f>
        <v>74.814999999999998</v>
      </c>
      <c r="N697" s="2">
        <f>Pharma_Sales_Data[[#This Row],[Total Drug Sales]]*150</f>
        <v>11222.25</v>
      </c>
      <c r="O697" s="2">
        <f>Pharma_Sales_Data[[#This Row],[Total Revenue]]*0.3</f>
        <v>3366.6749999999997</v>
      </c>
      <c r="P697" t="str">
        <f>IF(Pharma_Sales_Data[[#This Row],[Total Revenue]]&gt;20000,"High Value", IF(Pharma_Sales_Data[[#This Row],[Total Revenue]]&gt;=10000,"Medium Value","Low Value"))</f>
        <v>Medium Value</v>
      </c>
    </row>
    <row r="698" spans="1:16" x14ac:dyDescent="0.35">
      <c r="A698" s="1">
        <v>42337</v>
      </c>
      <c r="B698">
        <v>6.66</v>
      </c>
      <c r="C698">
        <v>3.726</v>
      </c>
      <c r="D698">
        <v>6</v>
      </c>
      <c r="E698">
        <v>42.2</v>
      </c>
      <c r="F698">
        <v>1</v>
      </c>
      <c r="G698">
        <v>0</v>
      </c>
      <c r="H698">
        <v>4</v>
      </c>
      <c r="I698">
        <v>0</v>
      </c>
      <c r="J698">
        <v>2015</v>
      </c>
      <c r="K698">
        <v>11</v>
      </c>
      <c r="L698" t="s">
        <v>14</v>
      </c>
      <c r="M698">
        <f>SUM(Pharma_Sales_Data[[#This Row],[M01AB]:[R06]])</f>
        <v>63.585999999999999</v>
      </c>
      <c r="N698" s="2">
        <f>Pharma_Sales_Data[[#This Row],[Total Drug Sales]]*150</f>
        <v>9537.9</v>
      </c>
      <c r="O698" s="2">
        <f>Pharma_Sales_Data[[#This Row],[Total Revenue]]*0.3</f>
        <v>2861.37</v>
      </c>
      <c r="P698" t="str">
        <f>IF(Pharma_Sales_Data[[#This Row],[Total Revenue]]&gt;20000,"High Value", IF(Pharma_Sales_Data[[#This Row],[Total Revenue]]&gt;=10000,"Medium Value","Low Value"))</f>
        <v>Low Value</v>
      </c>
    </row>
    <row r="699" spans="1:16" x14ac:dyDescent="0.35">
      <c r="A699" s="1">
        <v>42338</v>
      </c>
      <c r="B699">
        <v>7.33</v>
      </c>
      <c r="C699">
        <v>1.825</v>
      </c>
      <c r="D699">
        <v>5</v>
      </c>
      <c r="E699">
        <v>35.299999999999997</v>
      </c>
      <c r="F699">
        <v>5</v>
      </c>
      <c r="G699">
        <v>1</v>
      </c>
      <c r="H699">
        <v>6</v>
      </c>
      <c r="I699">
        <v>3</v>
      </c>
      <c r="J699">
        <v>2015</v>
      </c>
      <c r="K699">
        <v>11</v>
      </c>
      <c r="L699" t="s">
        <v>15</v>
      </c>
      <c r="M699">
        <f>SUM(Pharma_Sales_Data[[#This Row],[M01AB]:[R06]])</f>
        <v>64.454999999999998</v>
      </c>
      <c r="N699" s="2">
        <f>Pharma_Sales_Data[[#This Row],[Total Drug Sales]]*150</f>
        <v>9668.25</v>
      </c>
      <c r="O699" s="2">
        <f>Pharma_Sales_Data[[#This Row],[Total Revenue]]*0.3</f>
        <v>2900.4749999999999</v>
      </c>
      <c r="P699" t="str">
        <f>IF(Pharma_Sales_Data[[#This Row],[Total Revenue]]&gt;20000,"High Value", IF(Pharma_Sales_Data[[#This Row],[Total Revenue]]&gt;=10000,"Medium Value","Low Value"))</f>
        <v>Low Value</v>
      </c>
    </row>
    <row r="700" spans="1:16" x14ac:dyDescent="0.35">
      <c r="A700" s="1">
        <v>42339</v>
      </c>
      <c r="B700">
        <v>1.99</v>
      </c>
      <c r="C700">
        <v>2.0230000000000001</v>
      </c>
      <c r="D700">
        <v>6.3</v>
      </c>
      <c r="E700">
        <v>23.9</v>
      </c>
      <c r="F700">
        <v>4</v>
      </c>
      <c r="G700">
        <v>1</v>
      </c>
      <c r="H700">
        <v>5</v>
      </c>
      <c r="I700">
        <v>1</v>
      </c>
      <c r="J700">
        <v>2015</v>
      </c>
      <c r="K700">
        <v>12</v>
      </c>
      <c r="L700" t="s">
        <v>16</v>
      </c>
      <c r="M700">
        <f>SUM(Pharma_Sales_Data[[#This Row],[M01AB]:[R06]])</f>
        <v>45.212999999999994</v>
      </c>
      <c r="N700" s="2">
        <f>Pharma_Sales_Data[[#This Row],[Total Drug Sales]]*150</f>
        <v>6781.9499999999989</v>
      </c>
      <c r="O700" s="2">
        <f>Pharma_Sales_Data[[#This Row],[Total Revenue]]*0.3</f>
        <v>2034.5849999999996</v>
      </c>
      <c r="P700" t="str">
        <f>IF(Pharma_Sales_Data[[#This Row],[Total Revenue]]&gt;20000,"High Value", IF(Pharma_Sales_Data[[#This Row],[Total Revenue]]&gt;=10000,"Medium Value","Low Value"))</f>
        <v>Low Value</v>
      </c>
    </row>
    <row r="701" spans="1:16" x14ac:dyDescent="0.35">
      <c r="A701" s="1">
        <v>42340</v>
      </c>
      <c r="B701">
        <v>1</v>
      </c>
      <c r="C701">
        <v>3.33</v>
      </c>
      <c r="D701">
        <v>2.4</v>
      </c>
      <c r="E701">
        <v>42</v>
      </c>
      <c r="F701">
        <v>23</v>
      </c>
      <c r="G701">
        <v>4</v>
      </c>
      <c r="H701">
        <v>0</v>
      </c>
      <c r="I701">
        <v>0</v>
      </c>
      <c r="J701">
        <v>2015</v>
      </c>
      <c r="K701">
        <v>12</v>
      </c>
      <c r="L701" t="s">
        <v>17</v>
      </c>
      <c r="M701">
        <f>SUM(Pharma_Sales_Data[[#This Row],[M01AB]:[R06]])</f>
        <v>75.73</v>
      </c>
      <c r="N701" s="2">
        <f>Pharma_Sales_Data[[#This Row],[Total Drug Sales]]*150</f>
        <v>11359.5</v>
      </c>
      <c r="O701" s="2">
        <f>Pharma_Sales_Data[[#This Row],[Total Revenue]]*0.3</f>
        <v>3407.85</v>
      </c>
      <c r="P701" t="str">
        <f>IF(Pharma_Sales_Data[[#This Row],[Total Revenue]]&gt;20000,"High Value", IF(Pharma_Sales_Data[[#This Row],[Total Revenue]]&gt;=10000,"Medium Value","Low Value"))</f>
        <v>Medium Value</v>
      </c>
    </row>
    <row r="702" spans="1:16" x14ac:dyDescent="0.35">
      <c r="A702" s="1">
        <v>42341</v>
      </c>
      <c r="B702">
        <v>4</v>
      </c>
      <c r="C702">
        <v>3</v>
      </c>
      <c r="D702">
        <v>5.6</v>
      </c>
      <c r="E702">
        <v>56</v>
      </c>
      <c r="F702">
        <v>6</v>
      </c>
      <c r="G702">
        <v>1</v>
      </c>
      <c r="H702">
        <v>1</v>
      </c>
      <c r="I702">
        <v>1</v>
      </c>
      <c r="J702">
        <v>2015</v>
      </c>
      <c r="K702">
        <v>12</v>
      </c>
      <c r="L702" t="s">
        <v>11</v>
      </c>
      <c r="M702">
        <f>SUM(Pharma_Sales_Data[[#This Row],[M01AB]:[R06]])</f>
        <v>77.599999999999994</v>
      </c>
      <c r="N702" s="2">
        <f>Pharma_Sales_Data[[#This Row],[Total Drug Sales]]*150</f>
        <v>11640</v>
      </c>
      <c r="O702" s="2">
        <f>Pharma_Sales_Data[[#This Row],[Total Revenue]]*0.3</f>
        <v>3492</v>
      </c>
      <c r="P702" t="str">
        <f>IF(Pharma_Sales_Data[[#This Row],[Total Revenue]]&gt;20000,"High Value", IF(Pharma_Sales_Data[[#This Row],[Total Revenue]]&gt;=10000,"Medium Value","Low Value"))</f>
        <v>Medium Value</v>
      </c>
    </row>
    <row r="703" spans="1:16" x14ac:dyDescent="0.35">
      <c r="A703" s="1">
        <v>42342</v>
      </c>
      <c r="B703">
        <v>3.33</v>
      </c>
      <c r="C703">
        <v>4.7590000000000003</v>
      </c>
      <c r="D703">
        <v>4.7</v>
      </c>
      <c r="E703">
        <v>25.6</v>
      </c>
      <c r="F703">
        <v>9</v>
      </c>
      <c r="G703">
        <v>3</v>
      </c>
      <c r="H703">
        <v>3</v>
      </c>
      <c r="I703">
        <v>1</v>
      </c>
      <c r="J703">
        <v>2015</v>
      </c>
      <c r="K703">
        <v>12</v>
      </c>
      <c r="L703" t="s">
        <v>12</v>
      </c>
      <c r="M703">
        <f>SUM(Pharma_Sales_Data[[#This Row],[M01AB]:[R06]])</f>
        <v>54.389000000000003</v>
      </c>
      <c r="N703" s="2">
        <f>Pharma_Sales_Data[[#This Row],[Total Drug Sales]]*150</f>
        <v>8158.35</v>
      </c>
      <c r="O703" s="2">
        <f>Pharma_Sales_Data[[#This Row],[Total Revenue]]*0.3</f>
        <v>2447.5050000000001</v>
      </c>
      <c r="P703" t="str">
        <f>IF(Pharma_Sales_Data[[#This Row],[Total Revenue]]&gt;20000,"High Value", IF(Pharma_Sales_Data[[#This Row],[Total Revenue]]&gt;=10000,"Medium Value","Low Value"))</f>
        <v>Low Value</v>
      </c>
    </row>
    <row r="704" spans="1:16" x14ac:dyDescent="0.35">
      <c r="A704" s="1">
        <v>42343</v>
      </c>
      <c r="B704">
        <v>8</v>
      </c>
      <c r="C704">
        <v>3.0329999999999999</v>
      </c>
      <c r="D704">
        <v>2</v>
      </c>
      <c r="E704">
        <v>35.049999999999997</v>
      </c>
      <c r="F704">
        <v>2</v>
      </c>
      <c r="G704">
        <v>0</v>
      </c>
      <c r="H704">
        <v>7</v>
      </c>
      <c r="I704">
        <v>2.33</v>
      </c>
      <c r="J704">
        <v>2015</v>
      </c>
      <c r="K704">
        <v>12</v>
      </c>
      <c r="L704" t="s">
        <v>13</v>
      </c>
      <c r="M704">
        <f>SUM(Pharma_Sales_Data[[#This Row],[M01AB]:[R06]])</f>
        <v>59.412999999999997</v>
      </c>
      <c r="N704" s="2">
        <f>Pharma_Sales_Data[[#This Row],[Total Drug Sales]]*150</f>
        <v>8911.9499999999989</v>
      </c>
      <c r="O704" s="2">
        <f>Pharma_Sales_Data[[#This Row],[Total Revenue]]*0.3</f>
        <v>2673.5849999999996</v>
      </c>
      <c r="P704" t="str">
        <f>IF(Pharma_Sales_Data[[#This Row],[Total Revenue]]&gt;20000,"High Value", IF(Pharma_Sales_Data[[#This Row],[Total Revenue]]&gt;=10000,"Medium Value","Low Value"))</f>
        <v>Low Value</v>
      </c>
    </row>
    <row r="705" spans="1:16" x14ac:dyDescent="0.35">
      <c r="A705" s="1">
        <v>42344</v>
      </c>
      <c r="B705">
        <v>5.67</v>
      </c>
      <c r="C705">
        <v>7</v>
      </c>
      <c r="D705">
        <v>3.4</v>
      </c>
      <c r="E705">
        <v>60.4</v>
      </c>
      <c r="F705">
        <v>5</v>
      </c>
      <c r="G705">
        <v>2</v>
      </c>
      <c r="H705">
        <v>3</v>
      </c>
      <c r="I705">
        <v>1</v>
      </c>
      <c r="J705">
        <v>2015</v>
      </c>
      <c r="K705">
        <v>12</v>
      </c>
      <c r="L705" t="s">
        <v>14</v>
      </c>
      <c r="M705">
        <f>SUM(Pharma_Sales_Data[[#This Row],[M01AB]:[R06]])</f>
        <v>87.47</v>
      </c>
      <c r="N705" s="2">
        <f>Pharma_Sales_Data[[#This Row],[Total Drug Sales]]*150</f>
        <v>13120.5</v>
      </c>
      <c r="O705" s="2">
        <f>Pharma_Sales_Data[[#This Row],[Total Revenue]]*0.3</f>
        <v>3936.1499999999996</v>
      </c>
      <c r="P705" t="str">
        <f>IF(Pharma_Sales_Data[[#This Row],[Total Revenue]]&gt;20000,"High Value", IF(Pharma_Sales_Data[[#This Row],[Total Revenue]]&gt;=10000,"Medium Value","Low Value"))</f>
        <v>Medium Value</v>
      </c>
    </row>
    <row r="706" spans="1:16" x14ac:dyDescent="0.35">
      <c r="A706" s="1">
        <v>42345</v>
      </c>
      <c r="B706">
        <v>3</v>
      </c>
      <c r="C706">
        <v>2.0990000000000002</v>
      </c>
      <c r="D706">
        <v>2.2000000000000002</v>
      </c>
      <c r="E706">
        <v>26.5</v>
      </c>
      <c r="F706">
        <v>6</v>
      </c>
      <c r="G706">
        <v>1</v>
      </c>
      <c r="H706">
        <v>11</v>
      </c>
      <c r="I706">
        <v>6</v>
      </c>
      <c r="J706">
        <v>2015</v>
      </c>
      <c r="K706">
        <v>12</v>
      </c>
      <c r="L706" t="s">
        <v>15</v>
      </c>
      <c r="M706">
        <f>SUM(Pharma_Sales_Data[[#This Row],[M01AB]:[R06]])</f>
        <v>57.798999999999999</v>
      </c>
      <c r="N706" s="2">
        <f>Pharma_Sales_Data[[#This Row],[Total Drug Sales]]*150</f>
        <v>8669.85</v>
      </c>
      <c r="O706" s="2">
        <f>Pharma_Sales_Data[[#This Row],[Total Revenue]]*0.3</f>
        <v>2600.9549999999999</v>
      </c>
      <c r="P706" t="str">
        <f>IF(Pharma_Sales_Data[[#This Row],[Total Revenue]]&gt;20000,"High Value", IF(Pharma_Sales_Data[[#This Row],[Total Revenue]]&gt;=10000,"Medium Value","Low Value"))</f>
        <v>Low Value</v>
      </c>
    </row>
    <row r="707" spans="1:16" x14ac:dyDescent="0.35">
      <c r="A707" s="1">
        <v>42346</v>
      </c>
      <c r="B707">
        <v>2</v>
      </c>
      <c r="C707">
        <v>6.34</v>
      </c>
      <c r="D707">
        <v>2</v>
      </c>
      <c r="E707">
        <v>41.325000000000003</v>
      </c>
      <c r="F707">
        <v>8</v>
      </c>
      <c r="G707">
        <v>0</v>
      </c>
      <c r="H707">
        <v>0</v>
      </c>
      <c r="I707">
        <v>0</v>
      </c>
      <c r="J707">
        <v>2015</v>
      </c>
      <c r="K707">
        <v>12</v>
      </c>
      <c r="L707" t="s">
        <v>16</v>
      </c>
      <c r="M707">
        <f>SUM(Pharma_Sales_Data[[#This Row],[M01AB]:[R06]])</f>
        <v>59.665000000000006</v>
      </c>
      <c r="N707" s="2">
        <f>Pharma_Sales_Data[[#This Row],[Total Drug Sales]]*150</f>
        <v>8949.7500000000018</v>
      </c>
      <c r="O707" s="2">
        <f>Pharma_Sales_Data[[#This Row],[Total Revenue]]*0.3</f>
        <v>2684.9250000000006</v>
      </c>
      <c r="P707" t="str">
        <f>IF(Pharma_Sales_Data[[#This Row],[Total Revenue]]&gt;20000,"High Value", IF(Pharma_Sales_Data[[#This Row],[Total Revenue]]&gt;=10000,"Medium Value","Low Value"))</f>
        <v>Low Value</v>
      </c>
    </row>
    <row r="708" spans="1:16" x14ac:dyDescent="0.35">
      <c r="A708" s="1">
        <v>42347</v>
      </c>
      <c r="B708">
        <v>3.34</v>
      </c>
      <c r="C708">
        <v>3.472</v>
      </c>
      <c r="D708">
        <v>7</v>
      </c>
      <c r="E708">
        <v>41.262</v>
      </c>
      <c r="F708">
        <v>16</v>
      </c>
      <c r="G708">
        <v>0</v>
      </c>
      <c r="H708">
        <v>3</v>
      </c>
      <c r="I708">
        <v>1</v>
      </c>
      <c r="J708">
        <v>2015</v>
      </c>
      <c r="K708">
        <v>12</v>
      </c>
      <c r="L708" t="s">
        <v>17</v>
      </c>
      <c r="M708">
        <f>SUM(Pharma_Sales_Data[[#This Row],[M01AB]:[R06]])</f>
        <v>75.073999999999998</v>
      </c>
      <c r="N708" s="2">
        <f>Pharma_Sales_Data[[#This Row],[Total Drug Sales]]*150</f>
        <v>11261.1</v>
      </c>
      <c r="O708" s="2">
        <f>Pharma_Sales_Data[[#This Row],[Total Revenue]]*0.3</f>
        <v>3378.33</v>
      </c>
      <c r="P708" t="str">
        <f>IF(Pharma_Sales_Data[[#This Row],[Total Revenue]]&gt;20000,"High Value", IF(Pharma_Sales_Data[[#This Row],[Total Revenue]]&gt;=10000,"Medium Value","Low Value"))</f>
        <v>Medium Value</v>
      </c>
    </row>
    <row r="709" spans="1:16" x14ac:dyDescent="0.35">
      <c r="A709" s="1">
        <v>42348</v>
      </c>
      <c r="B709">
        <v>11.66</v>
      </c>
      <c r="C709">
        <v>10.69</v>
      </c>
      <c r="D709">
        <v>16</v>
      </c>
      <c r="E709">
        <v>31.9</v>
      </c>
      <c r="F709">
        <v>9</v>
      </c>
      <c r="G709">
        <v>0</v>
      </c>
      <c r="H709">
        <v>9</v>
      </c>
      <c r="I709">
        <v>2.1</v>
      </c>
      <c r="J709">
        <v>2015</v>
      </c>
      <c r="K709">
        <v>12</v>
      </c>
      <c r="L709" t="s">
        <v>11</v>
      </c>
      <c r="M709">
        <f>SUM(Pharma_Sales_Data[[#This Row],[M01AB]:[R06]])</f>
        <v>90.35</v>
      </c>
      <c r="N709" s="2">
        <f>Pharma_Sales_Data[[#This Row],[Total Drug Sales]]*150</f>
        <v>13552.5</v>
      </c>
      <c r="O709" s="2">
        <f>Pharma_Sales_Data[[#This Row],[Total Revenue]]*0.3</f>
        <v>4065.75</v>
      </c>
      <c r="P709" t="str">
        <f>IF(Pharma_Sales_Data[[#This Row],[Total Revenue]]&gt;20000,"High Value", IF(Pharma_Sales_Data[[#This Row],[Total Revenue]]&gt;=10000,"Medium Value","Low Value"))</f>
        <v>Medium Value</v>
      </c>
    </row>
    <row r="710" spans="1:16" x14ac:dyDescent="0.35">
      <c r="A710" s="1">
        <v>42349</v>
      </c>
      <c r="B710">
        <v>5.84</v>
      </c>
      <c r="C710">
        <v>6.165</v>
      </c>
      <c r="D710">
        <v>3</v>
      </c>
      <c r="E710">
        <v>22.7</v>
      </c>
      <c r="F710">
        <v>9</v>
      </c>
      <c r="G710">
        <v>0</v>
      </c>
      <c r="H710">
        <v>16</v>
      </c>
      <c r="I710">
        <v>1</v>
      </c>
      <c r="J710">
        <v>2015</v>
      </c>
      <c r="K710">
        <v>12</v>
      </c>
      <c r="L710" t="s">
        <v>12</v>
      </c>
      <c r="M710">
        <f>SUM(Pharma_Sales_Data[[#This Row],[M01AB]:[R06]])</f>
        <v>63.704999999999998</v>
      </c>
      <c r="N710" s="2">
        <f>Pharma_Sales_Data[[#This Row],[Total Drug Sales]]*150</f>
        <v>9555.75</v>
      </c>
      <c r="O710" s="2">
        <f>Pharma_Sales_Data[[#This Row],[Total Revenue]]*0.3</f>
        <v>2866.7249999999999</v>
      </c>
      <c r="P710" t="str">
        <f>IF(Pharma_Sales_Data[[#This Row],[Total Revenue]]&gt;20000,"High Value", IF(Pharma_Sales_Data[[#This Row],[Total Revenue]]&gt;=10000,"Medium Value","Low Value"))</f>
        <v>Low Value</v>
      </c>
    </row>
    <row r="711" spans="1:16" x14ac:dyDescent="0.35">
      <c r="A711" s="1">
        <v>42350</v>
      </c>
      <c r="B711">
        <v>6.34</v>
      </c>
      <c r="C711">
        <v>3.2</v>
      </c>
      <c r="D711">
        <v>3</v>
      </c>
      <c r="E711">
        <v>42.2</v>
      </c>
      <c r="F711">
        <v>5</v>
      </c>
      <c r="G711">
        <v>2</v>
      </c>
      <c r="H711">
        <v>6</v>
      </c>
      <c r="I711">
        <v>1</v>
      </c>
      <c r="J711">
        <v>2015</v>
      </c>
      <c r="K711">
        <v>12</v>
      </c>
      <c r="L711" t="s">
        <v>13</v>
      </c>
      <c r="M711">
        <f>SUM(Pharma_Sales_Data[[#This Row],[M01AB]:[R06]])</f>
        <v>68.740000000000009</v>
      </c>
      <c r="N711" s="2">
        <f>Pharma_Sales_Data[[#This Row],[Total Drug Sales]]*150</f>
        <v>10311.000000000002</v>
      </c>
      <c r="O711" s="2">
        <f>Pharma_Sales_Data[[#This Row],[Total Revenue]]*0.3</f>
        <v>3093.3000000000006</v>
      </c>
      <c r="P711" t="str">
        <f>IF(Pharma_Sales_Data[[#This Row],[Total Revenue]]&gt;20000,"High Value", IF(Pharma_Sales_Data[[#This Row],[Total Revenue]]&gt;=10000,"Medium Value","Low Value"))</f>
        <v>Medium Value</v>
      </c>
    </row>
    <row r="712" spans="1:16" x14ac:dyDescent="0.35">
      <c r="A712" s="1">
        <v>42351</v>
      </c>
      <c r="B712">
        <v>9.33</v>
      </c>
      <c r="C712">
        <v>4.32</v>
      </c>
      <c r="D712">
        <v>7</v>
      </c>
      <c r="E712">
        <v>29</v>
      </c>
      <c r="F712">
        <v>5</v>
      </c>
      <c r="G712">
        <v>0</v>
      </c>
      <c r="H712">
        <v>27</v>
      </c>
      <c r="I712">
        <v>0</v>
      </c>
      <c r="J712">
        <v>2015</v>
      </c>
      <c r="K712">
        <v>12</v>
      </c>
      <c r="L712" t="s">
        <v>14</v>
      </c>
      <c r="M712">
        <f>SUM(Pharma_Sales_Data[[#This Row],[M01AB]:[R06]])</f>
        <v>81.650000000000006</v>
      </c>
      <c r="N712" s="2">
        <f>Pharma_Sales_Data[[#This Row],[Total Drug Sales]]*150</f>
        <v>12247.5</v>
      </c>
      <c r="O712" s="2">
        <f>Pharma_Sales_Data[[#This Row],[Total Revenue]]*0.3</f>
        <v>3674.25</v>
      </c>
      <c r="P712" t="str">
        <f>IF(Pharma_Sales_Data[[#This Row],[Total Revenue]]&gt;20000,"High Value", IF(Pharma_Sales_Data[[#This Row],[Total Revenue]]&gt;=10000,"Medium Value","Low Value"))</f>
        <v>Medium Value</v>
      </c>
    </row>
    <row r="713" spans="1:16" x14ac:dyDescent="0.35">
      <c r="A713" s="1">
        <v>42352</v>
      </c>
      <c r="B713">
        <v>5</v>
      </c>
      <c r="C713">
        <v>3</v>
      </c>
      <c r="D713">
        <v>6.6</v>
      </c>
      <c r="E713">
        <v>37.4</v>
      </c>
      <c r="F713">
        <v>11</v>
      </c>
      <c r="G713">
        <v>0</v>
      </c>
      <c r="H713">
        <v>21</v>
      </c>
      <c r="I713">
        <v>1</v>
      </c>
      <c r="J713">
        <v>2015</v>
      </c>
      <c r="K713">
        <v>12</v>
      </c>
      <c r="L713" t="s">
        <v>15</v>
      </c>
      <c r="M713">
        <f>SUM(Pharma_Sales_Data[[#This Row],[M01AB]:[R06]])</f>
        <v>85</v>
      </c>
      <c r="N713" s="2">
        <f>Pharma_Sales_Data[[#This Row],[Total Drug Sales]]*150</f>
        <v>12750</v>
      </c>
      <c r="O713" s="2">
        <f>Pharma_Sales_Data[[#This Row],[Total Revenue]]*0.3</f>
        <v>3825</v>
      </c>
      <c r="P713" t="str">
        <f>IF(Pharma_Sales_Data[[#This Row],[Total Revenue]]&gt;20000,"High Value", IF(Pharma_Sales_Data[[#This Row],[Total Revenue]]&gt;=10000,"Medium Value","Low Value"))</f>
        <v>Medium Value</v>
      </c>
    </row>
    <row r="714" spans="1:16" x14ac:dyDescent="0.35">
      <c r="A714" s="1">
        <v>42353</v>
      </c>
      <c r="B714">
        <v>4.99</v>
      </c>
      <c r="C714">
        <v>2</v>
      </c>
      <c r="D714">
        <v>5</v>
      </c>
      <c r="E714">
        <v>42</v>
      </c>
      <c r="F714">
        <v>3</v>
      </c>
      <c r="G714">
        <v>1</v>
      </c>
      <c r="H714">
        <v>2</v>
      </c>
      <c r="I714">
        <v>1</v>
      </c>
      <c r="J714">
        <v>2015</v>
      </c>
      <c r="K714">
        <v>12</v>
      </c>
      <c r="L714" t="s">
        <v>16</v>
      </c>
      <c r="M714">
        <f>SUM(Pharma_Sales_Data[[#This Row],[M01AB]:[R06]])</f>
        <v>60.99</v>
      </c>
      <c r="N714" s="2">
        <f>Pharma_Sales_Data[[#This Row],[Total Drug Sales]]*150</f>
        <v>9148.5</v>
      </c>
      <c r="O714" s="2">
        <f>Pharma_Sales_Data[[#This Row],[Total Revenue]]*0.3</f>
        <v>2744.5499999999997</v>
      </c>
      <c r="P714" t="str">
        <f>IF(Pharma_Sales_Data[[#This Row],[Total Revenue]]&gt;20000,"High Value", IF(Pharma_Sales_Data[[#This Row],[Total Revenue]]&gt;=10000,"Medium Value","Low Value"))</f>
        <v>Low Value</v>
      </c>
    </row>
    <row r="715" spans="1:16" x14ac:dyDescent="0.35">
      <c r="A715" s="1">
        <v>42354</v>
      </c>
      <c r="B715">
        <v>6.67</v>
      </c>
      <c r="C715">
        <v>4</v>
      </c>
      <c r="D715">
        <v>4</v>
      </c>
      <c r="E715">
        <v>42</v>
      </c>
      <c r="F715">
        <v>11</v>
      </c>
      <c r="G715">
        <v>1</v>
      </c>
      <c r="H715">
        <v>11</v>
      </c>
      <c r="I715">
        <v>0</v>
      </c>
      <c r="J715">
        <v>2015</v>
      </c>
      <c r="K715">
        <v>12</v>
      </c>
      <c r="L715" t="s">
        <v>17</v>
      </c>
      <c r="M715">
        <f>SUM(Pharma_Sales_Data[[#This Row],[M01AB]:[R06]])</f>
        <v>79.67</v>
      </c>
      <c r="N715" s="2">
        <f>Pharma_Sales_Data[[#This Row],[Total Drug Sales]]*150</f>
        <v>11950.5</v>
      </c>
      <c r="O715" s="2">
        <f>Pharma_Sales_Data[[#This Row],[Total Revenue]]*0.3</f>
        <v>3585.15</v>
      </c>
      <c r="P715" t="str">
        <f>IF(Pharma_Sales_Data[[#This Row],[Total Revenue]]&gt;20000,"High Value", IF(Pharma_Sales_Data[[#This Row],[Total Revenue]]&gt;=10000,"Medium Value","Low Value"))</f>
        <v>Medium Value</v>
      </c>
    </row>
    <row r="716" spans="1:16" x14ac:dyDescent="0.35">
      <c r="A716" s="1">
        <v>42355</v>
      </c>
      <c r="B716">
        <v>9</v>
      </c>
      <c r="C716">
        <v>3.01</v>
      </c>
      <c r="D716">
        <v>3</v>
      </c>
      <c r="E716">
        <v>25</v>
      </c>
      <c r="F716">
        <v>7</v>
      </c>
      <c r="G716">
        <v>0</v>
      </c>
      <c r="H716">
        <v>0</v>
      </c>
      <c r="I716">
        <v>2</v>
      </c>
      <c r="J716">
        <v>2015</v>
      </c>
      <c r="K716">
        <v>12</v>
      </c>
      <c r="L716" t="s">
        <v>11</v>
      </c>
      <c r="M716">
        <f>SUM(Pharma_Sales_Data[[#This Row],[M01AB]:[R06]])</f>
        <v>49.01</v>
      </c>
      <c r="N716" s="2">
        <f>Pharma_Sales_Data[[#This Row],[Total Drug Sales]]*150</f>
        <v>7351.5</v>
      </c>
      <c r="O716" s="2">
        <f>Pharma_Sales_Data[[#This Row],[Total Revenue]]*0.3</f>
        <v>2205.4499999999998</v>
      </c>
      <c r="P716" t="str">
        <f>IF(Pharma_Sales_Data[[#This Row],[Total Revenue]]&gt;20000,"High Value", IF(Pharma_Sales_Data[[#This Row],[Total Revenue]]&gt;=10000,"Medium Value","Low Value"))</f>
        <v>Low Value</v>
      </c>
    </row>
    <row r="717" spans="1:16" x14ac:dyDescent="0.35">
      <c r="A717" s="1">
        <v>42356</v>
      </c>
      <c r="B717">
        <v>4.33</v>
      </c>
      <c r="C717">
        <v>8.9009999999999998</v>
      </c>
      <c r="D717">
        <v>4.3</v>
      </c>
      <c r="E717">
        <v>27.2</v>
      </c>
      <c r="F717">
        <v>12</v>
      </c>
      <c r="G717">
        <v>4</v>
      </c>
      <c r="H717">
        <v>2</v>
      </c>
      <c r="I717">
        <v>1</v>
      </c>
      <c r="J717">
        <v>2015</v>
      </c>
      <c r="K717">
        <v>12</v>
      </c>
      <c r="L717" t="s">
        <v>12</v>
      </c>
      <c r="M717">
        <f>SUM(Pharma_Sales_Data[[#This Row],[M01AB]:[R06]])</f>
        <v>63.730999999999995</v>
      </c>
      <c r="N717" s="2">
        <f>Pharma_Sales_Data[[#This Row],[Total Drug Sales]]*150</f>
        <v>9559.65</v>
      </c>
      <c r="O717" s="2">
        <f>Pharma_Sales_Data[[#This Row],[Total Revenue]]*0.3</f>
        <v>2867.895</v>
      </c>
      <c r="P717" t="str">
        <f>IF(Pharma_Sales_Data[[#This Row],[Total Revenue]]&gt;20000,"High Value", IF(Pharma_Sales_Data[[#This Row],[Total Revenue]]&gt;=10000,"Medium Value","Low Value"))</f>
        <v>Low Value</v>
      </c>
    </row>
    <row r="718" spans="1:16" x14ac:dyDescent="0.35">
      <c r="A718" s="1">
        <v>42357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2015</v>
      </c>
      <c r="K718">
        <v>12</v>
      </c>
      <c r="L718" t="s">
        <v>13</v>
      </c>
      <c r="M718">
        <f>SUM(Pharma_Sales_Data[[#This Row],[M01AB]:[R06]])</f>
        <v>0</v>
      </c>
      <c r="N718" s="2">
        <f>Pharma_Sales_Data[[#This Row],[Total Drug Sales]]*150</f>
        <v>0</v>
      </c>
      <c r="O718" s="2">
        <f>Pharma_Sales_Data[[#This Row],[Total Revenue]]*0.3</f>
        <v>0</v>
      </c>
      <c r="P718" t="str">
        <f>IF(Pharma_Sales_Data[[#This Row],[Total Revenue]]&gt;20000,"High Value", IF(Pharma_Sales_Data[[#This Row],[Total Revenue]]&gt;=10000,"Medium Value","Low Value"))</f>
        <v>Low Value</v>
      </c>
    </row>
    <row r="719" spans="1:16" x14ac:dyDescent="0.35">
      <c r="A719" s="1">
        <v>42358</v>
      </c>
      <c r="B719">
        <v>3</v>
      </c>
      <c r="C719">
        <v>3.4740000000000002</v>
      </c>
      <c r="D719">
        <v>2.2000000000000002</v>
      </c>
      <c r="E719">
        <v>43</v>
      </c>
      <c r="F719">
        <v>3</v>
      </c>
      <c r="G719">
        <v>0</v>
      </c>
      <c r="H719">
        <v>16</v>
      </c>
      <c r="I719">
        <v>1</v>
      </c>
      <c r="J719">
        <v>2015</v>
      </c>
      <c r="K719">
        <v>12</v>
      </c>
      <c r="L719" t="s">
        <v>14</v>
      </c>
      <c r="M719">
        <f>SUM(Pharma_Sales_Data[[#This Row],[M01AB]:[R06]])</f>
        <v>71.674000000000007</v>
      </c>
      <c r="N719" s="2">
        <f>Pharma_Sales_Data[[#This Row],[Total Drug Sales]]*150</f>
        <v>10751.1</v>
      </c>
      <c r="O719" s="2">
        <f>Pharma_Sales_Data[[#This Row],[Total Revenue]]*0.3</f>
        <v>3225.33</v>
      </c>
      <c r="P719" t="str">
        <f>IF(Pharma_Sales_Data[[#This Row],[Total Revenue]]&gt;20000,"High Value", IF(Pharma_Sales_Data[[#This Row],[Total Revenue]]&gt;=10000,"Medium Value","Low Value"))</f>
        <v>Medium Value</v>
      </c>
    </row>
    <row r="720" spans="1:16" x14ac:dyDescent="0.35">
      <c r="A720" s="1">
        <v>42359</v>
      </c>
      <c r="B720">
        <v>5</v>
      </c>
      <c r="C720">
        <v>6.34</v>
      </c>
      <c r="D720">
        <v>2</v>
      </c>
      <c r="E720">
        <v>53.6</v>
      </c>
      <c r="F720">
        <v>14</v>
      </c>
      <c r="G720">
        <v>0</v>
      </c>
      <c r="H720">
        <v>6</v>
      </c>
      <c r="I720">
        <v>0.4</v>
      </c>
      <c r="J720">
        <v>2015</v>
      </c>
      <c r="K720">
        <v>12</v>
      </c>
      <c r="L720" t="s">
        <v>15</v>
      </c>
      <c r="M720">
        <f>SUM(Pharma_Sales_Data[[#This Row],[M01AB]:[R06]])</f>
        <v>87.34</v>
      </c>
      <c r="N720" s="2">
        <f>Pharma_Sales_Data[[#This Row],[Total Drug Sales]]*150</f>
        <v>13101</v>
      </c>
      <c r="O720" s="2">
        <f>Pharma_Sales_Data[[#This Row],[Total Revenue]]*0.3</f>
        <v>3930.2999999999997</v>
      </c>
      <c r="P720" t="str">
        <f>IF(Pharma_Sales_Data[[#This Row],[Total Revenue]]&gt;20000,"High Value", IF(Pharma_Sales_Data[[#This Row],[Total Revenue]]&gt;=10000,"Medium Value","Low Value"))</f>
        <v>Medium Value</v>
      </c>
    </row>
    <row r="721" spans="1:16" x14ac:dyDescent="0.35">
      <c r="A721" s="1">
        <v>42360</v>
      </c>
      <c r="B721">
        <v>5.66</v>
      </c>
      <c r="C721">
        <v>0</v>
      </c>
      <c r="D721">
        <v>5</v>
      </c>
      <c r="E721">
        <v>48</v>
      </c>
      <c r="F721">
        <v>6</v>
      </c>
      <c r="G721">
        <v>0</v>
      </c>
      <c r="H721">
        <v>13</v>
      </c>
      <c r="I721">
        <v>1</v>
      </c>
      <c r="J721">
        <v>2015</v>
      </c>
      <c r="K721">
        <v>12</v>
      </c>
      <c r="L721" t="s">
        <v>16</v>
      </c>
      <c r="M721">
        <f>SUM(Pharma_Sales_Data[[#This Row],[M01AB]:[R06]])</f>
        <v>78.66</v>
      </c>
      <c r="N721" s="2">
        <f>Pharma_Sales_Data[[#This Row],[Total Drug Sales]]*150</f>
        <v>11799</v>
      </c>
      <c r="O721" s="2">
        <f>Pharma_Sales_Data[[#This Row],[Total Revenue]]*0.3</f>
        <v>3539.7</v>
      </c>
      <c r="P721" t="str">
        <f>IF(Pharma_Sales_Data[[#This Row],[Total Revenue]]&gt;20000,"High Value", IF(Pharma_Sales_Data[[#This Row],[Total Revenue]]&gt;=10000,"Medium Value","Low Value"))</f>
        <v>Medium Value</v>
      </c>
    </row>
    <row r="722" spans="1:16" x14ac:dyDescent="0.35">
      <c r="A722" s="1">
        <v>42361</v>
      </c>
      <c r="B722">
        <v>3.33</v>
      </c>
      <c r="C722">
        <v>4.01</v>
      </c>
      <c r="D722">
        <v>2.2999999999999998</v>
      </c>
      <c r="E722">
        <v>28.8</v>
      </c>
      <c r="F722">
        <v>3</v>
      </c>
      <c r="G722">
        <v>0</v>
      </c>
      <c r="H722">
        <v>0</v>
      </c>
      <c r="I722">
        <v>0</v>
      </c>
      <c r="J722">
        <v>2015</v>
      </c>
      <c r="K722">
        <v>12</v>
      </c>
      <c r="L722" t="s">
        <v>17</v>
      </c>
      <c r="M722">
        <f>SUM(Pharma_Sales_Data[[#This Row],[M01AB]:[R06]])</f>
        <v>41.44</v>
      </c>
      <c r="N722" s="2">
        <f>Pharma_Sales_Data[[#This Row],[Total Drug Sales]]*150</f>
        <v>6216</v>
      </c>
      <c r="O722" s="2">
        <f>Pharma_Sales_Data[[#This Row],[Total Revenue]]*0.3</f>
        <v>1864.8</v>
      </c>
      <c r="P722" t="str">
        <f>IF(Pharma_Sales_Data[[#This Row],[Total Revenue]]&gt;20000,"High Value", IF(Pharma_Sales_Data[[#This Row],[Total Revenue]]&gt;=10000,"Medium Value","Low Value"))</f>
        <v>Low Value</v>
      </c>
    </row>
    <row r="723" spans="1:16" x14ac:dyDescent="0.35">
      <c r="A723" s="1">
        <v>42362</v>
      </c>
      <c r="B723">
        <v>7.33</v>
      </c>
      <c r="C723">
        <v>3.3959999999999999</v>
      </c>
      <c r="D723">
        <v>5</v>
      </c>
      <c r="E723">
        <v>28.3</v>
      </c>
      <c r="F723">
        <v>5</v>
      </c>
      <c r="G723">
        <v>0</v>
      </c>
      <c r="H723">
        <v>16</v>
      </c>
      <c r="I723">
        <v>0</v>
      </c>
      <c r="J723">
        <v>2015</v>
      </c>
      <c r="K723">
        <v>12</v>
      </c>
      <c r="L723" t="s">
        <v>11</v>
      </c>
      <c r="M723">
        <f>SUM(Pharma_Sales_Data[[#This Row],[M01AB]:[R06]])</f>
        <v>65.025999999999996</v>
      </c>
      <c r="N723" s="2">
        <f>Pharma_Sales_Data[[#This Row],[Total Drug Sales]]*150</f>
        <v>9753.9</v>
      </c>
      <c r="O723" s="2">
        <f>Pharma_Sales_Data[[#This Row],[Total Revenue]]*0.3</f>
        <v>2926.1699999999996</v>
      </c>
      <c r="P723" t="str">
        <f>IF(Pharma_Sales_Data[[#This Row],[Total Revenue]]&gt;20000,"High Value", IF(Pharma_Sales_Data[[#This Row],[Total Revenue]]&gt;=10000,"Medium Value","Low Value"))</f>
        <v>Low Value</v>
      </c>
    </row>
    <row r="724" spans="1:16" x14ac:dyDescent="0.35">
      <c r="A724" s="1">
        <v>42363</v>
      </c>
      <c r="B724">
        <v>0.66</v>
      </c>
      <c r="C724">
        <v>4.66</v>
      </c>
      <c r="D724">
        <v>2</v>
      </c>
      <c r="E724">
        <v>20.661999999999999</v>
      </c>
      <c r="F724">
        <v>28</v>
      </c>
      <c r="G724">
        <v>2</v>
      </c>
      <c r="H724">
        <v>1</v>
      </c>
      <c r="I724">
        <v>1</v>
      </c>
      <c r="J724">
        <v>2015</v>
      </c>
      <c r="K724">
        <v>12</v>
      </c>
      <c r="L724" t="s">
        <v>12</v>
      </c>
      <c r="M724">
        <f>SUM(Pharma_Sales_Data[[#This Row],[M01AB]:[R06]])</f>
        <v>59.981999999999999</v>
      </c>
      <c r="N724" s="2">
        <f>Pharma_Sales_Data[[#This Row],[Total Drug Sales]]*150</f>
        <v>8997.2999999999993</v>
      </c>
      <c r="O724" s="2">
        <f>Pharma_Sales_Data[[#This Row],[Total Revenue]]*0.3</f>
        <v>2699.1899999999996</v>
      </c>
      <c r="P724" t="str">
        <f>IF(Pharma_Sales_Data[[#This Row],[Total Revenue]]&gt;20000,"High Value", IF(Pharma_Sales_Data[[#This Row],[Total Revenue]]&gt;=10000,"Medium Value","Low Value"))</f>
        <v>Low Value</v>
      </c>
    </row>
    <row r="725" spans="1:16" x14ac:dyDescent="0.35">
      <c r="A725" s="1">
        <v>42364</v>
      </c>
      <c r="B725">
        <v>4.67</v>
      </c>
      <c r="C725">
        <v>1.66</v>
      </c>
      <c r="D725">
        <v>5</v>
      </c>
      <c r="E725">
        <v>87.2</v>
      </c>
      <c r="F725">
        <v>15</v>
      </c>
      <c r="G725">
        <v>3</v>
      </c>
      <c r="H725">
        <v>0</v>
      </c>
      <c r="I725">
        <v>4.3</v>
      </c>
      <c r="J725">
        <v>2015</v>
      </c>
      <c r="K725">
        <v>12</v>
      </c>
      <c r="L725" t="s">
        <v>13</v>
      </c>
      <c r="M725">
        <f>SUM(Pharma_Sales_Data[[#This Row],[M01AB]:[R06]])</f>
        <v>120.83</v>
      </c>
      <c r="N725" s="2">
        <f>Pharma_Sales_Data[[#This Row],[Total Drug Sales]]*150</f>
        <v>18124.5</v>
      </c>
      <c r="O725" s="2">
        <f>Pharma_Sales_Data[[#This Row],[Total Revenue]]*0.3</f>
        <v>5437.3499999999995</v>
      </c>
      <c r="P725" t="str">
        <f>IF(Pharma_Sales_Data[[#This Row],[Total Revenue]]&gt;20000,"High Value", IF(Pharma_Sales_Data[[#This Row],[Total Revenue]]&gt;=10000,"Medium Value","Low Value"))</f>
        <v>Medium Value</v>
      </c>
    </row>
    <row r="726" spans="1:16" x14ac:dyDescent="0.35">
      <c r="A726" s="1">
        <v>42365</v>
      </c>
      <c r="B726">
        <v>5.33</v>
      </c>
      <c r="C726">
        <v>6.7919999999999998</v>
      </c>
      <c r="D726">
        <v>5.2</v>
      </c>
      <c r="E726">
        <v>63.5</v>
      </c>
      <c r="F726">
        <v>4</v>
      </c>
      <c r="G726">
        <v>0</v>
      </c>
      <c r="H726">
        <v>14</v>
      </c>
      <c r="I726">
        <v>4.5999999999999996</v>
      </c>
      <c r="J726">
        <v>2015</v>
      </c>
      <c r="K726">
        <v>12</v>
      </c>
      <c r="L726" t="s">
        <v>14</v>
      </c>
      <c r="M726">
        <f>SUM(Pharma_Sales_Data[[#This Row],[M01AB]:[R06]])</f>
        <v>103.422</v>
      </c>
      <c r="N726" s="2">
        <f>Pharma_Sales_Data[[#This Row],[Total Drug Sales]]*150</f>
        <v>15513.3</v>
      </c>
      <c r="O726" s="2">
        <f>Pharma_Sales_Data[[#This Row],[Total Revenue]]*0.3</f>
        <v>4653.99</v>
      </c>
      <c r="P726" t="str">
        <f>IF(Pharma_Sales_Data[[#This Row],[Total Revenue]]&gt;20000,"High Value", IF(Pharma_Sales_Data[[#This Row],[Total Revenue]]&gt;=10000,"Medium Value","Low Value"))</f>
        <v>Medium Value</v>
      </c>
    </row>
    <row r="727" spans="1:16" x14ac:dyDescent="0.35">
      <c r="A727" s="1">
        <v>42366</v>
      </c>
      <c r="B727">
        <v>4</v>
      </c>
      <c r="C727">
        <v>5.0990000000000002</v>
      </c>
      <c r="D727">
        <v>9.1999999999999993</v>
      </c>
      <c r="E727">
        <v>61.5</v>
      </c>
      <c r="F727">
        <v>18</v>
      </c>
      <c r="G727">
        <v>3</v>
      </c>
      <c r="H727">
        <v>26</v>
      </c>
      <c r="I727">
        <v>1</v>
      </c>
      <c r="J727">
        <v>2015</v>
      </c>
      <c r="K727">
        <v>12</v>
      </c>
      <c r="L727" t="s">
        <v>15</v>
      </c>
      <c r="M727">
        <f>SUM(Pharma_Sales_Data[[#This Row],[M01AB]:[R06]])</f>
        <v>127.79900000000001</v>
      </c>
      <c r="N727" s="2">
        <f>Pharma_Sales_Data[[#This Row],[Total Drug Sales]]*150</f>
        <v>19169.850000000002</v>
      </c>
      <c r="O727" s="2">
        <f>Pharma_Sales_Data[[#This Row],[Total Revenue]]*0.3</f>
        <v>5750.9550000000008</v>
      </c>
      <c r="P727" t="str">
        <f>IF(Pharma_Sales_Data[[#This Row],[Total Revenue]]&gt;20000,"High Value", IF(Pharma_Sales_Data[[#This Row],[Total Revenue]]&gt;=10000,"Medium Value","Low Value"))</f>
        <v>Medium Value</v>
      </c>
    </row>
    <row r="728" spans="1:16" x14ac:dyDescent="0.35">
      <c r="A728" s="1">
        <v>42367</v>
      </c>
      <c r="B728">
        <v>10.67</v>
      </c>
      <c r="C728">
        <v>2.33</v>
      </c>
      <c r="D728">
        <v>2</v>
      </c>
      <c r="E728">
        <v>71.599999999999994</v>
      </c>
      <c r="F728">
        <v>9</v>
      </c>
      <c r="G728">
        <v>0</v>
      </c>
      <c r="H728">
        <v>2</v>
      </c>
      <c r="I728">
        <v>3</v>
      </c>
      <c r="J728">
        <v>2015</v>
      </c>
      <c r="K728">
        <v>12</v>
      </c>
      <c r="L728" t="s">
        <v>16</v>
      </c>
      <c r="M728">
        <f>SUM(Pharma_Sales_Data[[#This Row],[M01AB]:[R06]])</f>
        <v>100.6</v>
      </c>
      <c r="N728" s="2">
        <f>Pharma_Sales_Data[[#This Row],[Total Drug Sales]]*150</f>
        <v>15090</v>
      </c>
      <c r="O728" s="2">
        <f>Pharma_Sales_Data[[#This Row],[Total Revenue]]*0.3</f>
        <v>4527</v>
      </c>
      <c r="P728" t="str">
        <f>IF(Pharma_Sales_Data[[#This Row],[Total Revenue]]&gt;20000,"High Value", IF(Pharma_Sales_Data[[#This Row],[Total Revenue]]&gt;=10000,"Medium Value","Low Value"))</f>
        <v>Medium Value</v>
      </c>
    </row>
    <row r="729" spans="1:16" x14ac:dyDescent="0.35">
      <c r="A729" s="1">
        <v>42368</v>
      </c>
      <c r="B729">
        <v>6.66</v>
      </c>
      <c r="C729">
        <v>7.0890000000000004</v>
      </c>
      <c r="D729">
        <v>2</v>
      </c>
      <c r="E729">
        <v>56.4</v>
      </c>
      <c r="F729">
        <v>12</v>
      </c>
      <c r="G729">
        <v>0</v>
      </c>
      <c r="H729">
        <v>4</v>
      </c>
      <c r="I729">
        <v>2</v>
      </c>
      <c r="J729">
        <v>2015</v>
      </c>
      <c r="K729">
        <v>12</v>
      </c>
      <c r="L729" t="s">
        <v>17</v>
      </c>
      <c r="M729">
        <f>SUM(Pharma_Sales_Data[[#This Row],[M01AB]:[R06]])</f>
        <v>90.149000000000001</v>
      </c>
      <c r="N729" s="2">
        <f>Pharma_Sales_Data[[#This Row],[Total Drug Sales]]*150</f>
        <v>13522.35</v>
      </c>
      <c r="O729" s="2">
        <f>Pharma_Sales_Data[[#This Row],[Total Revenue]]*0.3</f>
        <v>4056.7049999999999</v>
      </c>
      <c r="P729" t="str">
        <f>IF(Pharma_Sales_Data[[#This Row],[Total Revenue]]&gt;20000,"High Value", IF(Pharma_Sales_Data[[#This Row],[Total Revenue]]&gt;=10000,"Medium Value","Low Value"))</f>
        <v>Medium Value</v>
      </c>
    </row>
    <row r="730" spans="1:16" x14ac:dyDescent="0.35">
      <c r="A730" s="1">
        <v>42369</v>
      </c>
      <c r="B730">
        <v>7.66</v>
      </c>
      <c r="C730">
        <v>6.0990000000000002</v>
      </c>
      <c r="D730">
        <v>7.6</v>
      </c>
      <c r="E730">
        <v>44.35</v>
      </c>
      <c r="F730">
        <v>18</v>
      </c>
      <c r="G730">
        <v>0</v>
      </c>
      <c r="H730">
        <v>6</v>
      </c>
      <c r="I730">
        <v>1</v>
      </c>
      <c r="J730">
        <v>2015</v>
      </c>
      <c r="K730">
        <v>12</v>
      </c>
      <c r="L730" t="s">
        <v>11</v>
      </c>
      <c r="M730">
        <f>SUM(Pharma_Sales_Data[[#This Row],[M01AB]:[R06]])</f>
        <v>90.709000000000003</v>
      </c>
      <c r="N730" s="2">
        <f>Pharma_Sales_Data[[#This Row],[Total Drug Sales]]*150</f>
        <v>13606.35</v>
      </c>
      <c r="O730" s="2">
        <f>Pharma_Sales_Data[[#This Row],[Total Revenue]]*0.3</f>
        <v>4081.9049999999997</v>
      </c>
      <c r="P730" t="str">
        <f>IF(Pharma_Sales_Data[[#This Row],[Total Revenue]]&gt;20000,"High Value", IF(Pharma_Sales_Data[[#This Row],[Total Revenue]]&gt;=10000,"Medium Value","Low Value"))</f>
        <v>Medium Value</v>
      </c>
    </row>
    <row r="731" spans="1:16" x14ac:dyDescent="0.35">
      <c r="A731" s="1">
        <v>42370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2016</v>
      </c>
      <c r="K731">
        <v>1</v>
      </c>
      <c r="L731" t="s">
        <v>12</v>
      </c>
      <c r="M731">
        <f>SUM(Pharma_Sales_Data[[#This Row],[M01AB]:[R06]])</f>
        <v>0</v>
      </c>
      <c r="N731" s="2">
        <f>Pharma_Sales_Data[[#This Row],[Total Drug Sales]]*150</f>
        <v>0</v>
      </c>
      <c r="O731" s="2">
        <f>Pharma_Sales_Data[[#This Row],[Total Revenue]]*0.3</f>
        <v>0</v>
      </c>
      <c r="P731" t="str">
        <f>IF(Pharma_Sales_Data[[#This Row],[Total Revenue]]&gt;20000,"High Value", IF(Pharma_Sales_Data[[#This Row],[Total Revenue]]&gt;=10000,"Medium Value","Low Value"))</f>
        <v>Low Value</v>
      </c>
    </row>
    <row r="732" spans="1:16" x14ac:dyDescent="0.35">
      <c r="A732" s="1">
        <v>42371</v>
      </c>
      <c r="B732">
        <v>0.34</v>
      </c>
      <c r="C732">
        <v>1.02</v>
      </c>
      <c r="D732">
        <v>1</v>
      </c>
      <c r="E732">
        <v>51.2</v>
      </c>
      <c r="F732">
        <v>0</v>
      </c>
      <c r="G732">
        <v>1</v>
      </c>
      <c r="H732">
        <v>5</v>
      </c>
      <c r="I732">
        <v>5</v>
      </c>
      <c r="J732">
        <v>2016</v>
      </c>
      <c r="K732">
        <v>1</v>
      </c>
      <c r="L732" t="s">
        <v>13</v>
      </c>
      <c r="M732">
        <f>SUM(Pharma_Sales_Data[[#This Row],[M01AB]:[R06]])</f>
        <v>64.56</v>
      </c>
      <c r="N732" s="2">
        <f>Pharma_Sales_Data[[#This Row],[Total Drug Sales]]*150</f>
        <v>9684</v>
      </c>
      <c r="O732" s="2">
        <f>Pharma_Sales_Data[[#This Row],[Total Revenue]]*0.3</f>
        <v>2905.2</v>
      </c>
      <c r="P732" t="str">
        <f>IF(Pharma_Sales_Data[[#This Row],[Total Revenue]]&gt;20000,"High Value", IF(Pharma_Sales_Data[[#This Row],[Total Revenue]]&gt;=10000,"Medium Value","Low Value"))</f>
        <v>Low Value</v>
      </c>
    </row>
    <row r="733" spans="1:16" x14ac:dyDescent="0.35">
      <c r="A733" s="1">
        <v>42372</v>
      </c>
      <c r="B733">
        <v>4</v>
      </c>
      <c r="C733">
        <v>4</v>
      </c>
      <c r="D733">
        <v>2.5</v>
      </c>
      <c r="E733">
        <v>56.1</v>
      </c>
      <c r="F733">
        <v>1</v>
      </c>
      <c r="G733">
        <v>0</v>
      </c>
      <c r="H733">
        <v>5</v>
      </c>
      <c r="I733">
        <v>1</v>
      </c>
      <c r="J733">
        <v>2016</v>
      </c>
      <c r="K733">
        <v>1</v>
      </c>
      <c r="L733" t="s">
        <v>14</v>
      </c>
      <c r="M733">
        <f>SUM(Pharma_Sales_Data[[#This Row],[M01AB]:[R06]])</f>
        <v>73.599999999999994</v>
      </c>
      <c r="N733" s="2">
        <f>Pharma_Sales_Data[[#This Row],[Total Drug Sales]]*150</f>
        <v>11040</v>
      </c>
      <c r="O733" s="2">
        <f>Pharma_Sales_Data[[#This Row],[Total Revenue]]*0.3</f>
        <v>3312</v>
      </c>
      <c r="P733" t="str">
        <f>IF(Pharma_Sales_Data[[#This Row],[Total Revenue]]&gt;20000,"High Value", IF(Pharma_Sales_Data[[#This Row],[Total Revenue]]&gt;=10000,"Medium Value","Low Value"))</f>
        <v>Medium Value</v>
      </c>
    </row>
    <row r="734" spans="1:16" x14ac:dyDescent="0.35">
      <c r="A734" s="1">
        <v>42373</v>
      </c>
      <c r="B734">
        <v>7.33</v>
      </c>
      <c r="C734">
        <v>5.99</v>
      </c>
      <c r="D734">
        <v>6</v>
      </c>
      <c r="E734">
        <v>46.6</v>
      </c>
      <c r="F734">
        <v>6</v>
      </c>
      <c r="G734">
        <v>0</v>
      </c>
      <c r="H734">
        <v>12</v>
      </c>
      <c r="I734">
        <v>1</v>
      </c>
      <c r="J734">
        <v>2016</v>
      </c>
      <c r="K734">
        <v>1</v>
      </c>
      <c r="L734" t="s">
        <v>15</v>
      </c>
      <c r="M734">
        <f>SUM(Pharma_Sales_Data[[#This Row],[M01AB]:[R06]])</f>
        <v>84.92</v>
      </c>
      <c r="N734" s="2">
        <f>Pharma_Sales_Data[[#This Row],[Total Drug Sales]]*150</f>
        <v>12738</v>
      </c>
      <c r="O734" s="2">
        <f>Pharma_Sales_Data[[#This Row],[Total Revenue]]*0.3</f>
        <v>3821.3999999999996</v>
      </c>
      <c r="P734" t="str">
        <f>IF(Pharma_Sales_Data[[#This Row],[Total Revenue]]&gt;20000,"High Value", IF(Pharma_Sales_Data[[#This Row],[Total Revenue]]&gt;=10000,"Medium Value","Low Value"))</f>
        <v>Medium Value</v>
      </c>
    </row>
    <row r="735" spans="1:16" x14ac:dyDescent="0.35">
      <c r="A735" s="1">
        <v>42374</v>
      </c>
      <c r="B735">
        <v>5.33</v>
      </c>
      <c r="C735">
        <v>5.99</v>
      </c>
      <c r="D735">
        <v>4.5999999999999996</v>
      </c>
      <c r="E735">
        <v>38.6</v>
      </c>
      <c r="F735">
        <v>15</v>
      </c>
      <c r="G735">
        <v>0</v>
      </c>
      <c r="H735">
        <v>5</v>
      </c>
      <c r="I735">
        <v>1</v>
      </c>
      <c r="J735">
        <v>2016</v>
      </c>
      <c r="K735">
        <v>1</v>
      </c>
      <c r="L735" t="s">
        <v>16</v>
      </c>
      <c r="M735">
        <f>SUM(Pharma_Sales_Data[[#This Row],[M01AB]:[R06]])</f>
        <v>75.52000000000001</v>
      </c>
      <c r="N735" s="2">
        <f>Pharma_Sales_Data[[#This Row],[Total Drug Sales]]*150</f>
        <v>11328.000000000002</v>
      </c>
      <c r="O735" s="2">
        <f>Pharma_Sales_Data[[#This Row],[Total Revenue]]*0.3</f>
        <v>3398.4000000000005</v>
      </c>
      <c r="P735" t="str">
        <f>IF(Pharma_Sales_Data[[#This Row],[Total Revenue]]&gt;20000,"High Value", IF(Pharma_Sales_Data[[#This Row],[Total Revenue]]&gt;=10000,"Medium Value","Low Value"))</f>
        <v>Medium Value</v>
      </c>
    </row>
    <row r="736" spans="1:16" x14ac:dyDescent="0.35">
      <c r="A736" s="1">
        <v>42375</v>
      </c>
      <c r="B736">
        <v>6.66</v>
      </c>
      <c r="C736">
        <v>3</v>
      </c>
      <c r="D736">
        <v>6</v>
      </c>
      <c r="E736">
        <v>61.9</v>
      </c>
      <c r="F736">
        <v>2</v>
      </c>
      <c r="G736">
        <v>0</v>
      </c>
      <c r="H736">
        <v>12</v>
      </c>
      <c r="I736">
        <v>2</v>
      </c>
      <c r="J736">
        <v>2016</v>
      </c>
      <c r="K736">
        <v>1</v>
      </c>
      <c r="L736" t="s">
        <v>17</v>
      </c>
      <c r="M736">
        <f>SUM(Pharma_Sales_Data[[#This Row],[M01AB]:[R06]])</f>
        <v>93.56</v>
      </c>
      <c r="N736" s="2">
        <f>Pharma_Sales_Data[[#This Row],[Total Drug Sales]]*150</f>
        <v>14034</v>
      </c>
      <c r="O736" s="2">
        <f>Pharma_Sales_Data[[#This Row],[Total Revenue]]*0.3</f>
        <v>4210.2</v>
      </c>
      <c r="P736" t="str">
        <f>IF(Pharma_Sales_Data[[#This Row],[Total Revenue]]&gt;20000,"High Value", IF(Pharma_Sales_Data[[#This Row],[Total Revenue]]&gt;=10000,"Medium Value","Low Value"))</f>
        <v>Medium Value</v>
      </c>
    </row>
    <row r="737" spans="1:16" x14ac:dyDescent="0.35">
      <c r="A737" s="1">
        <v>42376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2016</v>
      </c>
      <c r="K737">
        <v>1</v>
      </c>
      <c r="L737" t="s">
        <v>11</v>
      </c>
      <c r="M737">
        <f>SUM(Pharma_Sales_Data[[#This Row],[M01AB]:[R06]])</f>
        <v>0</v>
      </c>
      <c r="N737" s="2">
        <f>Pharma_Sales_Data[[#This Row],[Total Drug Sales]]*150</f>
        <v>0</v>
      </c>
      <c r="O737" s="2">
        <f>Pharma_Sales_Data[[#This Row],[Total Revenue]]*0.3</f>
        <v>0</v>
      </c>
      <c r="P737" t="str">
        <f>IF(Pharma_Sales_Data[[#This Row],[Total Revenue]]&gt;20000,"High Value", IF(Pharma_Sales_Data[[#This Row],[Total Revenue]]&gt;=10000,"Medium Value","Low Value"))</f>
        <v>Low Value</v>
      </c>
    </row>
    <row r="738" spans="1:16" x14ac:dyDescent="0.35">
      <c r="A738" s="1">
        <v>42377</v>
      </c>
      <c r="B738">
        <v>8</v>
      </c>
      <c r="C738">
        <v>3.4630000000000001</v>
      </c>
      <c r="D738">
        <v>7.7</v>
      </c>
      <c r="E738">
        <v>39.200000000000003</v>
      </c>
      <c r="F738">
        <v>8</v>
      </c>
      <c r="G738">
        <v>3</v>
      </c>
      <c r="H738">
        <v>2</v>
      </c>
      <c r="I738">
        <v>2</v>
      </c>
      <c r="J738">
        <v>2016</v>
      </c>
      <c r="K738">
        <v>1</v>
      </c>
      <c r="L738" t="s">
        <v>12</v>
      </c>
      <c r="M738">
        <f>SUM(Pharma_Sales_Data[[#This Row],[M01AB]:[R06]])</f>
        <v>73.363</v>
      </c>
      <c r="N738" s="2">
        <f>Pharma_Sales_Data[[#This Row],[Total Drug Sales]]*150</f>
        <v>11004.45</v>
      </c>
      <c r="O738" s="2">
        <f>Pharma_Sales_Data[[#This Row],[Total Revenue]]*0.3</f>
        <v>3301.335</v>
      </c>
      <c r="P738" t="str">
        <f>IF(Pharma_Sales_Data[[#This Row],[Total Revenue]]&gt;20000,"High Value", IF(Pharma_Sales_Data[[#This Row],[Total Revenue]]&gt;=10000,"Medium Value","Low Value"))</f>
        <v>Medium Value</v>
      </c>
    </row>
    <row r="739" spans="1:16" x14ac:dyDescent="0.35">
      <c r="A739" s="1">
        <v>42378</v>
      </c>
      <c r="B739">
        <v>7.33</v>
      </c>
      <c r="C739">
        <v>2.66</v>
      </c>
      <c r="D739">
        <v>5</v>
      </c>
      <c r="E739">
        <v>88.3</v>
      </c>
      <c r="F739">
        <v>9</v>
      </c>
      <c r="G739">
        <v>0</v>
      </c>
      <c r="H739">
        <v>3</v>
      </c>
      <c r="I739">
        <v>3</v>
      </c>
      <c r="J739">
        <v>2016</v>
      </c>
      <c r="K739">
        <v>1</v>
      </c>
      <c r="L739" t="s">
        <v>13</v>
      </c>
      <c r="M739">
        <f>SUM(Pharma_Sales_Data[[#This Row],[M01AB]:[R06]])</f>
        <v>118.28999999999999</v>
      </c>
      <c r="N739" s="2">
        <f>Pharma_Sales_Data[[#This Row],[Total Drug Sales]]*150</f>
        <v>17743.5</v>
      </c>
      <c r="O739" s="2">
        <f>Pharma_Sales_Data[[#This Row],[Total Revenue]]*0.3</f>
        <v>5323.05</v>
      </c>
      <c r="P739" t="str">
        <f>IF(Pharma_Sales_Data[[#This Row],[Total Revenue]]&gt;20000,"High Value", IF(Pharma_Sales_Data[[#This Row],[Total Revenue]]&gt;=10000,"Medium Value","Low Value"))</f>
        <v>Medium Value</v>
      </c>
    </row>
    <row r="740" spans="1:16" x14ac:dyDescent="0.35">
      <c r="A740" s="1">
        <v>42379</v>
      </c>
      <c r="B740">
        <v>7</v>
      </c>
      <c r="C740">
        <v>4.0330000000000004</v>
      </c>
      <c r="D740">
        <v>12</v>
      </c>
      <c r="E740">
        <v>67.599999999999994</v>
      </c>
      <c r="F740">
        <v>8</v>
      </c>
      <c r="G740">
        <v>1</v>
      </c>
      <c r="H740">
        <v>1</v>
      </c>
      <c r="I740">
        <v>0</v>
      </c>
      <c r="J740">
        <v>2016</v>
      </c>
      <c r="K740">
        <v>1</v>
      </c>
      <c r="L740" t="s">
        <v>14</v>
      </c>
      <c r="M740">
        <f>SUM(Pharma_Sales_Data[[#This Row],[M01AB]:[R06]])</f>
        <v>100.633</v>
      </c>
      <c r="N740" s="2">
        <f>Pharma_Sales_Data[[#This Row],[Total Drug Sales]]*150</f>
        <v>15094.949999999999</v>
      </c>
      <c r="O740" s="2">
        <f>Pharma_Sales_Data[[#This Row],[Total Revenue]]*0.3</f>
        <v>4528.4849999999997</v>
      </c>
      <c r="P740" t="str">
        <f>IF(Pharma_Sales_Data[[#This Row],[Total Revenue]]&gt;20000,"High Value", IF(Pharma_Sales_Data[[#This Row],[Total Revenue]]&gt;=10000,"Medium Value","Low Value"))</f>
        <v>Medium Value</v>
      </c>
    </row>
    <row r="741" spans="1:16" x14ac:dyDescent="0.35">
      <c r="A741" s="1">
        <v>42380</v>
      </c>
      <c r="B741">
        <v>9.34</v>
      </c>
      <c r="C741">
        <v>5.66</v>
      </c>
      <c r="D741">
        <v>7</v>
      </c>
      <c r="E741">
        <v>64.900000000000006</v>
      </c>
      <c r="F741">
        <v>18</v>
      </c>
      <c r="G741">
        <v>0</v>
      </c>
      <c r="H741">
        <v>0</v>
      </c>
      <c r="I741">
        <v>4</v>
      </c>
      <c r="J741">
        <v>2016</v>
      </c>
      <c r="K741">
        <v>1</v>
      </c>
      <c r="L741" t="s">
        <v>15</v>
      </c>
      <c r="M741">
        <f>SUM(Pharma_Sales_Data[[#This Row],[M01AB]:[R06]])</f>
        <v>108.9</v>
      </c>
      <c r="N741" s="2">
        <f>Pharma_Sales_Data[[#This Row],[Total Drug Sales]]*150</f>
        <v>16335</v>
      </c>
      <c r="O741" s="2">
        <f>Pharma_Sales_Data[[#This Row],[Total Revenue]]*0.3</f>
        <v>4900.5</v>
      </c>
      <c r="P741" t="str">
        <f>IF(Pharma_Sales_Data[[#This Row],[Total Revenue]]&gt;20000,"High Value", IF(Pharma_Sales_Data[[#This Row],[Total Revenue]]&gt;=10000,"Medium Value","Low Value"))</f>
        <v>Medium Value</v>
      </c>
    </row>
    <row r="742" spans="1:16" x14ac:dyDescent="0.35">
      <c r="A742" s="1">
        <v>42381</v>
      </c>
      <c r="B742">
        <v>12</v>
      </c>
      <c r="C742">
        <v>3.1320000000000001</v>
      </c>
      <c r="D742">
        <v>12</v>
      </c>
      <c r="E742">
        <v>61.35</v>
      </c>
      <c r="F742">
        <v>8</v>
      </c>
      <c r="G742">
        <v>0</v>
      </c>
      <c r="H742">
        <v>0</v>
      </c>
      <c r="I742">
        <v>0</v>
      </c>
      <c r="J742">
        <v>2016</v>
      </c>
      <c r="K742">
        <v>1</v>
      </c>
      <c r="L742" t="s">
        <v>16</v>
      </c>
      <c r="M742">
        <f>SUM(Pharma_Sales_Data[[#This Row],[M01AB]:[R06]])</f>
        <v>96.481999999999999</v>
      </c>
      <c r="N742" s="2">
        <f>Pharma_Sales_Data[[#This Row],[Total Drug Sales]]*150</f>
        <v>14472.3</v>
      </c>
      <c r="O742" s="2">
        <f>Pharma_Sales_Data[[#This Row],[Total Revenue]]*0.3</f>
        <v>4341.6899999999996</v>
      </c>
      <c r="P742" t="str">
        <f>IF(Pharma_Sales_Data[[#This Row],[Total Revenue]]&gt;20000,"High Value", IF(Pharma_Sales_Data[[#This Row],[Total Revenue]]&gt;=10000,"Medium Value","Low Value"))</f>
        <v>Medium Value</v>
      </c>
    </row>
    <row r="743" spans="1:16" x14ac:dyDescent="0.35">
      <c r="A743" s="1">
        <v>42382</v>
      </c>
      <c r="B743">
        <v>9</v>
      </c>
      <c r="C743">
        <v>1.66</v>
      </c>
      <c r="D743">
        <v>5</v>
      </c>
      <c r="E743">
        <v>41.7</v>
      </c>
      <c r="F743">
        <v>15</v>
      </c>
      <c r="G743">
        <v>0</v>
      </c>
      <c r="H743">
        <v>1</v>
      </c>
      <c r="I743">
        <v>2</v>
      </c>
      <c r="J743">
        <v>2016</v>
      </c>
      <c r="K743">
        <v>1</v>
      </c>
      <c r="L743" t="s">
        <v>17</v>
      </c>
      <c r="M743">
        <f>SUM(Pharma_Sales_Data[[#This Row],[M01AB]:[R06]])</f>
        <v>75.36</v>
      </c>
      <c r="N743" s="2">
        <f>Pharma_Sales_Data[[#This Row],[Total Drug Sales]]*150</f>
        <v>11304</v>
      </c>
      <c r="O743" s="2">
        <f>Pharma_Sales_Data[[#This Row],[Total Revenue]]*0.3</f>
        <v>3391.2</v>
      </c>
      <c r="P743" t="str">
        <f>IF(Pharma_Sales_Data[[#This Row],[Total Revenue]]&gt;20000,"High Value", IF(Pharma_Sales_Data[[#This Row],[Total Revenue]]&gt;=10000,"Medium Value","Low Value"))</f>
        <v>Medium Value</v>
      </c>
    </row>
    <row r="744" spans="1:16" x14ac:dyDescent="0.35">
      <c r="A744" s="1">
        <v>42383</v>
      </c>
      <c r="B744">
        <v>2</v>
      </c>
      <c r="C744">
        <v>5.1550000000000002</v>
      </c>
      <c r="D744">
        <v>6</v>
      </c>
      <c r="E744">
        <v>69</v>
      </c>
      <c r="F744">
        <v>18</v>
      </c>
      <c r="G744">
        <v>0</v>
      </c>
      <c r="H744">
        <v>8</v>
      </c>
      <c r="I744">
        <v>2</v>
      </c>
      <c r="J744">
        <v>2016</v>
      </c>
      <c r="K744">
        <v>1</v>
      </c>
      <c r="L744" t="s">
        <v>11</v>
      </c>
      <c r="M744">
        <f>SUM(Pharma_Sales_Data[[#This Row],[M01AB]:[R06]])</f>
        <v>110.155</v>
      </c>
      <c r="N744" s="2">
        <f>Pharma_Sales_Data[[#This Row],[Total Drug Sales]]*150</f>
        <v>16523.25</v>
      </c>
      <c r="O744" s="2">
        <f>Pharma_Sales_Data[[#This Row],[Total Revenue]]*0.3</f>
        <v>4956.9749999999995</v>
      </c>
      <c r="P744" t="str">
        <f>IF(Pharma_Sales_Data[[#This Row],[Total Revenue]]&gt;20000,"High Value", IF(Pharma_Sales_Data[[#This Row],[Total Revenue]]&gt;=10000,"Medium Value","Low Value"))</f>
        <v>Medium Value</v>
      </c>
    </row>
    <row r="745" spans="1:16" x14ac:dyDescent="0.35">
      <c r="A745" s="1">
        <v>42384</v>
      </c>
      <c r="B745">
        <v>8.98</v>
      </c>
      <c r="C745">
        <v>4.66</v>
      </c>
      <c r="D745">
        <v>10.6</v>
      </c>
      <c r="E745">
        <v>18.100000000000001</v>
      </c>
      <c r="F745">
        <v>8</v>
      </c>
      <c r="G745">
        <v>0</v>
      </c>
      <c r="H745">
        <v>10</v>
      </c>
      <c r="I745">
        <v>2</v>
      </c>
      <c r="J745">
        <v>2016</v>
      </c>
      <c r="K745">
        <v>1</v>
      </c>
      <c r="L745" t="s">
        <v>12</v>
      </c>
      <c r="M745">
        <f>SUM(Pharma_Sales_Data[[#This Row],[M01AB]:[R06]])</f>
        <v>62.34</v>
      </c>
      <c r="N745" s="2">
        <f>Pharma_Sales_Data[[#This Row],[Total Drug Sales]]*150</f>
        <v>9351</v>
      </c>
      <c r="O745" s="2">
        <f>Pharma_Sales_Data[[#This Row],[Total Revenue]]*0.3</f>
        <v>2805.2999999999997</v>
      </c>
      <c r="P745" t="str">
        <f>IF(Pharma_Sales_Data[[#This Row],[Total Revenue]]&gt;20000,"High Value", IF(Pharma_Sales_Data[[#This Row],[Total Revenue]]&gt;=10000,"Medium Value","Low Value"))</f>
        <v>Low Value</v>
      </c>
    </row>
    <row r="746" spans="1:16" x14ac:dyDescent="0.35">
      <c r="A746" s="1">
        <v>42385</v>
      </c>
      <c r="B746">
        <v>3.34</v>
      </c>
      <c r="C746">
        <v>5.34</v>
      </c>
      <c r="D746">
        <v>6</v>
      </c>
      <c r="E746">
        <v>63.6</v>
      </c>
      <c r="F746">
        <v>11</v>
      </c>
      <c r="G746">
        <v>0</v>
      </c>
      <c r="H746">
        <v>2</v>
      </c>
      <c r="I746">
        <v>1</v>
      </c>
      <c r="J746">
        <v>2016</v>
      </c>
      <c r="K746">
        <v>1</v>
      </c>
      <c r="L746" t="s">
        <v>13</v>
      </c>
      <c r="M746">
        <f>SUM(Pharma_Sales_Data[[#This Row],[M01AB]:[R06]])</f>
        <v>92.28</v>
      </c>
      <c r="N746" s="2">
        <f>Pharma_Sales_Data[[#This Row],[Total Drug Sales]]*150</f>
        <v>13842</v>
      </c>
      <c r="O746" s="2">
        <f>Pharma_Sales_Data[[#This Row],[Total Revenue]]*0.3</f>
        <v>4152.5999999999995</v>
      </c>
      <c r="P746" t="str">
        <f>IF(Pharma_Sales_Data[[#This Row],[Total Revenue]]&gt;20000,"High Value", IF(Pharma_Sales_Data[[#This Row],[Total Revenue]]&gt;=10000,"Medium Value","Low Value"))</f>
        <v>Medium Value</v>
      </c>
    </row>
    <row r="747" spans="1:16" x14ac:dyDescent="0.35">
      <c r="A747" s="1">
        <v>42386</v>
      </c>
      <c r="B747">
        <v>7.01</v>
      </c>
      <c r="C747">
        <v>1.6040000000000001</v>
      </c>
      <c r="D747">
        <v>3.9</v>
      </c>
      <c r="E747">
        <v>46.6</v>
      </c>
      <c r="F747">
        <v>4</v>
      </c>
      <c r="G747">
        <v>0</v>
      </c>
      <c r="H747">
        <v>0</v>
      </c>
      <c r="I747">
        <v>1</v>
      </c>
      <c r="J747">
        <v>2016</v>
      </c>
      <c r="K747">
        <v>1</v>
      </c>
      <c r="L747" t="s">
        <v>14</v>
      </c>
      <c r="M747">
        <f>SUM(Pharma_Sales_Data[[#This Row],[M01AB]:[R06]])</f>
        <v>64.114000000000004</v>
      </c>
      <c r="N747" s="2">
        <f>Pharma_Sales_Data[[#This Row],[Total Drug Sales]]*150</f>
        <v>9617.1</v>
      </c>
      <c r="O747" s="2">
        <f>Pharma_Sales_Data[[#This Row],[Total Revenue]]*0.3</f>
        <v>2885.13</v>
      </c>
      <c r="P747" t="str">
        <f>IF(Pharma_Sales_Data[[#This Row],[Total Revenue]]&gt;20000,"High Value", IF(Pharma_Sales_Data[[#This Row],[Total Revenue]]&gt;=10000,"Medium Value","Low Value"))</f>
        <v>Low Value</v>
      </c>
    </row>
    <row r="748" spans="1:16" x14ac:dyDescent="0.35">
      <c r="A748" s="1">
        <v>42387</v>
      </c>
      <c r="B748">
        <v>3.5</v>
      </c>
      <c r="C748">
        <v>2.99</v>
      </c>
      <c r="D748">
        <v>4.3</v>
      </c>
      <c r="E748">
        <v>62.8</v>
      </c>
      <c r="F748">
        <v>3</v>
      </c>
      <c r="G748">
        <v>2</v>
      </c>
      <c r="H748">
        <v>9</v>
      </c>
      <c r="I748">
        <v>2</v>
      </c>
      <c r="J748">
        <v>2016</v>
      </c>
      <c r="K748">
        <v>1</v>
      </c>
      <c r="L748" t="s">
        <v>15</v>
      </c>
      <c r="M748">
        <f>SUM(Pharma_Sales_Data[[#This Row],[M01AB]:[R06]])</f>
        <v>89.59</v>
      </c>
      <c r="N748" s="2">
        <f>Pharma_Sales_Data[[#This Row],[Total Drug Sales]]*150</f>
        <v>13438.5</v>
      </c>
      <c r="O748" s="2">
        <f>Pharma_Sales_Data[[#This Row],[Total Revenue]]*0.3</f>
        <v>4031.5499999999997</v>
      </c>
      <c r="P748" t="str">
        <f>IF(Pharma_Sales_Data[[#This Row],[Total Revenue]]&gt;20000,"High Value", IF(Pharma_Sales_Data[[#This Row],[Total Revenue]]&gt;=10000,"Medium Value","Low Value"))</f>
        <v>Medium Value</v>
      </c>
    </row>
    <row r="749" spans="1:16" x14ac:dyDescent="0.35">
      <c r="A749" s="1">
        <v>42388</v>
      </c>
      <c r="B749">
        <v>6</v>
      </c>
      <c r="C749">
        <v>5.66</v>
      </c>
      <c r="D749">
        <v>6</v>
      </c>
      <c r="E749">
        <v>49.8</v>
      </c>
      <c r="F749">
        <v>7</v>
      </c>
      <c r="G749">
        <v>0</v>
      </c>
      <c r="H749">
        <v>0</v>
      </c>
      <c r="I749">
        <v>3</v>
      </c>
      <c r="J749">
        <v>2016</v>
      </c>
      <c r="K749">
        <v>1</v>
      </c>
      <c r="L749" t="s">
        <v>16</v>
      </c>
      <c r="M749">
        <f>SUM(Pharma_Sales_Data[[#This Row],[M01AB]:[R06]])</f>
        <v>77.459999999999994</v>
      </c>
      <c r="N749" s="2">
        <f>Pharma_Sales_Data[[#This Row],[Total Drug Sales]]*150</f>
        <v>11618.999999999998</v>
      </c>
      <c r="O749" s="2">
        <f>Pharma_Sales_Data[[#This Row],[Total Revenue]]*0.3</f>
        <v>3485.6999999999994</v>
      </c>
      <c r="P749" t="str">
        <f>IF(Pharma_Sales_Data[[#This Row],[Total Revenue]]&gt;20000,"High Value", IF(Pharma_Sales_Data[[#This Row],[Total Revenue]]&gt;=10000,"Medium Value","Low Value"))</f>
        <v>Medium Value</v>
      </c>
    </row>
    <row r="750" spans="1:16" x14ac:dyDescent="0.35">
      <c r="A750" s="1">
        <v>42389</v>
      </c>
      <c r="B750">
        <v>2.3199999999999998</v>
      </c>
      <c r="C750">
        <v>3.363</v>
      </c>
      <c r="D750">
        <v>3</v>
      </c>
      <c r="E750">
        <v>15.1</v>
      </c>
      <c r="F750">
        <v>29</v>
      </c>
      <c r="G750">
        <v>3</v>
      </c>
      <c r="H750">
        <v>3</v>
      </c>
      <c r="I750">
        <v>2</v>
      </c>
      <c r="J750">
        <v>2016</v>
      </c>
      <c r="K750">
        <v>1</v>
      </c>
      <c r="L750" t="s">
        <v>17</v>
      </c>
      <c r="M750">
        <f>SUM(Pharma_Sales_Data[[#This Row],[M01AB]:[R06]])</f>
        <v>60.783000000000001</v>
      </c>
      <c r="N750" s="2">
        <f>Pharma_Sales_Data[[#This Row],[Total Drug Sales]]*150</f>
        <v>9117.4500000000007</v>
      </c>
      <c r="O750" s="2">
        <f>Pharma_Sales_Data[[#This Row],[Total Revenue]]*0.3</f>
        <v>2735.2350000000001</v>
      </c>
      <c r="P750" t="str">
        <f>IF(Pharma_Sales_Data[[#This Row],[Total Revenue]]&gt;20000,"High Value", IF(Pharma_Sales_Data[[#This Row],[Total Revenue]]&gt;=10000,"Medium Value","Low Value"))</f>
        <v>Low Value</v>
      </c>
    </row>
    <row r="751" spans="1:16" x14ac:dyDescent="0.35">
      <c r="A751" s="1">
        <v>42390</v>
      </c>
      <c r="B751">
        <v>5</v>
      </c>
      <c r="C751">
        <v>1.43</v>
      </c>
      <c r="D751">
        <v>1</v>
      </c>
      <c r="E751">
        <v>68.400000000000006</v>
      </c>
      <c r="F751">
        <v>8</v>
      </c>
      <c r="G751">
        <v>4</v>
      </c>
      <c r="H751">
        <v>6</v>
      </c>
      <c r="I751">
        <v>5</v>
      </c>
      <c r="J751">
        <v>2016</v>
      </c>
      <c r="K751">
        <v>1</v>
      </c>
      <c r="L751" t="s">
        <v>11</v>
      </c>
      <c r="M751">
        <f>SUM(Pharma_Sales_Data[[#This Row],[M01AB]:[R06]])</f>
        <v>98.830000000000013</v>
      </c>
      <c r="N751" s="2">
        <f>Pharma_Sales_Data[[#This Row],[Total Drug Sales]]*150</f>
        <v>14824.500000000002</v>
      </c>
      <c r="O751" s="2">
        <f>Pharma_Sales_Data[[#This Row],[Total Revenue]]*0.3</f>
        <v>4447.3500000000004</v>
      </c>
      <c r="P751" t="str">
        <f>IF(Pharma_Sales_Data[[#This Row],[Total Revenue]]&gt;20000,"High Value", IF(Pharma_Sales_Data[[#This Row],[Total Revenue]]&gt;=10000,"Medium Value","Low Value"))</f>
        <v>Medium Value</v>
      </c>
    </row>
    <row r="752" spans="1:16" x14ac:dyDescent="0.35">
      <c r="A752" s="1">
        <v>42391</v>
      </c>
      <c r="B752">
        <v>0.83</v>
      </c>
      <c r="C752">
        <v>7.6779999999999999</v>
      </c>
      <c r="D752">
        <v>7</v>
      </c>
      <c r="E752">
        <v>39.5</v>
      </c>
      <c r="F752">
        <v>11</v>
      </c>
      <c r="G752">
        <v>0</v>
      </c>
      <c r="H752">
        <v>10</v>
      </c>
      <c r="I752">
        <v>0</v>
      </c>
      <c r="J752">
        <v>2016</v>
      </c>
      <c r="K752">
        <v>1</v>
      </c>
      <c r="L752" t="s">
        <v>12</v>
      </c>
      <c r="M752">
        <f>SUM(Pharma_Sales_Data[[#This Row],[M01AB]:[R06]])</f>
        <v>76.007999999999996</v>
      </c>
      <c r="N752" s="2">
        <f>Pharma_Sales_Data[[#This Row],[Total Drug Sales]]*150</f>
        <v>11401.199999999999</v>
      </c>
      <c r="O752" s="2">
        <f>Pharma_Sales_Data[[#This Row],[Total Revenue]]*0.3</f>
        <v>3420.3599999999997</v>
      </c>
      <c r="P752" t="str">
        <f>IF(Pharma_Sales_Data[[#This Row],[Total Revenue]]&gt;20000,"High Value", IF(Pharma_Sales_Data[[#This Row],[Total Revenue]]&gt;=10000,"Medium Value","Low Value"))</f>
        <v>Medium Value</v>
      </c>
    </row>
    <row r="753" spans="1:16" x14ac:dyDescent="0.35">
      <c r="A753" s="1">
        <v>42392</v>
      </c>
      <c r="B753">
        <v>6.33</v>
      </c>
      <c r="C753">
        <v>6.1319999999999997</v>
      </c>
      <c r="D753">
        <v>7.1</v>
      </c>
      <c r="E753">
        <v>36.799999999999997</v>
      </c>
      <c r="F753">
        <v>4</v>
      </c>
      <c r="G753">
        <v>0</v>
      </c>
      <c r="H753">
        <v>6</v>
      </c>
      <c r="I753">
        <v>2</v>
      </c>
      <c r="J753">
        <v>2016</v>
      </c>
      <c r="K753">
        <v>1</v>
      </c>
      <c r="L753" t="s">
        <v>13</v>
      </c>
      <c r="M753">
        <f>SUM(Pharma_Sales_Data[[#This Row],[M01AB]:[R06]])</f>
        <v>68.361999999999995</v>
      </c>
      <c r="N753" s="2">
        <f>Pharma_Sales_Data[[#This Row],[Total Drug Sales]]*150</f>
        <v>10254.299999999999</v>
      </c>
      <c r="O753" s="2">
        <f>Pharma_Sales_Data[[#This Row],[Total Revenue]]*0.3</f>
        <v>3076.2899999999995</v>
      </c>
      <c r="P753" t="str">
        <f>IF(Pharma_Sales_Data[[#This Row],[Total Revenue]]&gt;20000,"High Value", IF(Pharma_Sales_Data[[#This Row],[Total Revenue]]&gt;=10000,"Medium Value","Low Value"))</f>
        <v>Medium Value</v>
      </c>
    </row>
    <row r="754" spans="1:16" x14ac:dyDescent="0.35">
      <c r="A754" s="1">
        <v>42393</v>
      </c>
      <c r="B754">
        <v>4</v>
      </c>
      <c r="C754">
        <v>6.1219999999999999</v>
      </c>
      <c r="D754">
        <v>11.3</v>
      </c>
      <c r="E754">
        <v>48.1</v>
      </c>
      <c r="F754">
        <v>3</v>
      </c>
      <c r="G754">
        <v>0</v>
      </c>
      <c r="H754">
        <v>12</v>
      </c>
      <c r="I754">
        <v>3</v>
      </c>
      <c r="J754">
        <v>2016</v>
      </c>
      <c r="K754">
        <v>1</v>
      </c>
      <c r="L754" t="s">
        <v>14</v>
      </c>
      <c r="M754">
        <f>SUM(Pharma_Sales_Data[[#This Row],[M01AB]:[R06]])</f>
        <v>87.522000000000006</v>
      </c>
      <c r="N754" s="2">
        <f>Pharma_Sales_Data[[#This Row],[Total Drug Sales]]*150</f>
        <v>13128.300000000001</v>
      </c>
      <c r="O754" s="2">
        <f>Pharma_Sales_Data[[#This Row],[Total Revenue]]*0.3</f>
        <v>3938.4900000000002</v>
      </c>
      <c r="P754" t="str">
        <f>IF(Pharma_Sales_Data[[#This Row],[Total Revenue]]&gt;20000,"High Value", IF(Pharma_Sales_Data[[#This Row],[Total Revenue]]&gt;=10000,"Medium Value","Low Value"))</f>
        <v>Medium Value</v>
      </c>
    </row>
    <row r="755" spans="1:16" x14ac:dyDescent="0.35">
      <c r="A755" s="1">
        <v>42394</v>
      </c>
      <c r="B755">
        <v>10.33</v>
      </c>
      <c r="C755">
        <v>4.26</v>
      </c>
      <c r="D755">
        <v>4</v>
      </c>
      <c r="E755">
        <v>46.95</v>
      </c>
      <c r="F755">
        <v>12</v>
      </c>
      <c r="G755">
        <v>2</v>
      </c>
      <c r="H755">
        <v>10</v>
      </c>
      <c r="I755">
        <v>1.5</v>
      </c>
      <c r="J755">
        <v>2016</v>
      </c>
      <c r="K755">
        <v>1</v>
      </c>
      <c r="L755" t="s">
        <v>15</v>
      </c>
      <c r="M755">
        <f>SUM(Pharma_Sales_Data[[#This Row],[M01AB]:[R06]])</f>
        <v>91.04</v>
      </c>
      <c r="N755" s="2">
        <f>Pharma_Sales_Data[[#This Row],[Total Drug Sales]]*150</f>
        <v>13656.000000000002</v>
      </c>
      <c r="O755" s="2">
        <f>Pharma_Sales_Data[[#This Row],[Total Revenue]]*0.3</f>
        <v>4096.8</v>
      </c>
      <c r="P755" t="str">
        <f>IF(Pharma_Sales_Data[[#This Row],[Total Revenue]]&gt;20000,"High Value", IF(Pharma_Sales_Data[[#This Row],[Total Revenue]]&gt;=10000,"Medium Value","Low Value"))</f>
        <v>Medium Value</v>
      </c>
    </row>
    <row r="756" spans="1:16" x14ac:dyDescent="0.35">
      <c r="A756" s="1">
        <v>42395</v>
      </c>
      <c r="B756">
        <v>5.68</v>
      </c>
      <c r="C756">
        <v>4.069</v>
      </c>
      <c r="D756">
        <v>8</v>
      </c>
      <c r="E756">
        <v>30.3</v>
      </c>
      <c r="F756">
        <v>9</v>
      </c>
      <c r="G756">
        <v>0</v>
      </c>
      <c r="H756">
        <v>15</v>
      </c>
      <c r="I756">
        <v>0</v>
      </c>
      <c r="J756">
        <v>2016</v>
      </c>
      <c r="K756">
        <v>1</v>
      </c>
      <c r="L756" t="s">
        <v>16</v>
      </c>
      <c r="M756">
        <f>SUM(Pharma_Sales_Data[[#This Row],[M01AB]:[R06]])</f>
        <v>72.049000000000007</v>
      </c>
      <c r="N756" s="2">
        <f>Pharma_Sales_Data[[#This Row],[Total Drug Sales]]*150</f>
        <v>10807.35</v>
      </c>
      <c r="O756" s="2">
        <f>Pharma_Sales_Data[[#This Row],[Total Revenue]]*0.3</f>
        <v>3242.2049999999999</v>
      </c>
      <c r="P756" t="str">
        <f>IF(Pharma_Sales_Data[[#This Row],[Total Revenue]]&gt;20000,"High Value", IF(Pharma_Sales_Data[[#This Row],[Total Revenue]]&gt;=10000,"Medium Value","Low Value"))</f>
        <v>Medium Value</v>
      </c>
    </row>
    <row r="757" spans="1:16" x14ac:dyDescent="0.35">
      <c r="A757" s="1">
        <v>42396</v>
      </c>
      <c r="B757">
        <v>4.34</v>
      </c>
      <c r="C757">
        <v>4.4290000000000003</v>
      </c>
      <c r="D757">
        <v>3.4</v>
      </c>
      <c r="E757">
        <v>30.062000000000001</v>
      </c>
      <c r="F757">
        <v>18</v>
      </c>
      <c r="G757">
        <v>5</v>
      </c>
      <c r="H757">
        <v>5</v>
      </c>
      <c r="I757">
        <v>2</v>
      </c>
      <c r="J757">
        <v>2016</v>
      </c>
      <c r="K757">
        <v>1</v>
      </c>
      <c r="L757" t="s">
        <v>17</v>
      </c>
      <c r="M757">
        <f>SUM(Pharma_Sales_Data[[#This Row],[M01AB]:[R06]])</f>
        <v>72.230999999999995</v>
      </c>
      <c r="N757" s="2">
        <f>Pharma_Sales_Data[[#This Row],[Total Drug Sales]]*150</f>
        <v>10834.65</v>
      </c>
      <c r="O757" s="2">
        <f>Pharma_Sales_Data[[#This Row],[Total Revenue]]*0.3</f>
        <v>3250.395</v>
      </c>
      <c r="P757" t="str">
        <f>IF(Pharma_Sales_Data[[#This Row],[Total Revenue]]&gt;20000,"High Value", IF(Pharma_Sales_Data[[#This Row],[Total Revenue]]&gt;=10000,"Medium Value","Low Value"))</f>
        <v>Medium Value</v>
      </c>
    </row>
    <row r="758" spans="1:16" x14ac:dyDescent="0.35">
      <c r="A758" s="1">
        <v>42397</v>
      </c>
      <c r="B758">
        <v>7.33</v>
      </c>
      <c r="C758">
        <v>6.66</v>
      </c>
      <c r="D758">
        <v>4.4000000000000004</v>
      </c>
      <c r="E758">
        <v>33</v>
      </c>
      <c r="F758">
        <v>4</v>
      </c>
      <c r="G758">
        <v>0</v>
      </c>
      <c r="H758">
        <v>4</v>
      </c>
      <c r="I758">
        <v>3</v>
      </c>
      <c r="J758">
        <v>2016</v>
      </c>
      <c r="K758">
        <v>1</v>
      </c>
      <c r="L758" t="s">
        <v>11</v>
      </c>
      <c r="M758">
        <f>SUM(Pharma_Sales_Data[[#This Row],[M01AB]:[R06]])</f>
        <v>62.39</v>
      </c>
      <c r="N758" s="2">
        <f>Pharma_Sales_Data[[#This Row],[Total Drug Sales]]*150</f>
        <v>9358.5</v>
      </c>
      <c r="O758" s="2">
        <f>Pharma_Sales_Data[[#This Row],[Total Revenue]]*0.3</f>
        <v>2807.5499999999997</v>
      </c>
      <c r="P758" t="str">
        <f>IF(Pharma_Sales_Data[[#This Row],[Total Revenue]]&gt;20000,"High Value", IF(Pharma_Sales_Data[[#This Row],[Total Revenue]]&gt;=10000,"Medium Value","Low Value"))</f>
        <v>Low Value</v>
      </c>
    </row>
    <row r="759" spans="1:16" x14ac:dyDescent="0.35">
      <c r="A759" s="1">
        <v>42398</v>
      </c>
      <c r="B759">
        <v>5</v>
      </c>
      <c r="C759">
        <v>8.67</v>
      </c>
      <c r="D759">
        <v>8.6</v>
      </c>
      <c r="E759">
        <v>74.400000000000006</v>
      </c>
      <c r="F759">
        <v>3</v>
      </c>
      <c r="G759">
        <v>1</v>
      </c>
      <c r="H759">
        <v>17</v>
      </c>
      <c r="I759">
        <v>2</v>
      </c>
      <c r="J759">
        <v>2016</v>
      </c>
      <c r="K759">
        <v>1</v>
      </c>
      <c r="L759" t="s">
        <v>12</v>
      </c>
      <c r="M759">
        <f>SUM(Pharma_Sales_Data[[#This Row],[M01AB]:[R06]])</f>
        <v>119.67</v>
      </c>
      <c r="N759" s="2">
        <f>Pharma_Sales_Data[[#This Row],[Total Drug Sales]]*150</f>
        <v>17950.5</v>
      </c>
      <c r="O759" s="2">
        <f>Pharma_Sales_Data[[#This Row],[Total Revenue]]*0.3</f>
        <v>5385.15</v>
      </c>
      <c r="P759" t="str">
        <f>IF(Pharma_Sales_Data[[#This Row],[Total Revenue]]&gt;20000,"High Value", IF(Pharma_Sales_Data[[#This Row],[Total Revenue]]&gt;=10000,"Medium Value","Low Value"))</f>
        <v>Medium Value</v>
      </c>
    </row>
    <row r="760" spans="1:16" x14ac:dyDescent="0.35">
      <c r="A760" s="1">
        <v>42399</v>
      </c>
      <c r="B760">
        <v>9</v>
      </c>
      <c r="C760">
        <v>4.4290000000000003</v>
      </c>
      <c r="D760">
        <v>5.3</v>
      </c>
      <c r="E760">
        <v>47.462000000000003</v>
      </c>
      <c r="F760">
        <v>3</v>
      </c>
      <c r="G760">
        <v>2</v>
      </c>
      <c r="H760">
        <v>5</v>
      </c>
      <c r="I760">
        <v>2</v>
      </c>
      <c r="J760">
        <v>2016</v>
      </c>
      <c r="K760">
        <v>1</v>
      </c>
      <c r="L760" t="s">
        <v>13</v>
      </c>
      <c r="M760">
        <f>SUM(Pharma_Sales_Data[[#This Row],[M01AB]:[R06]])</f>
        <v>78.191000000000003</v>
      </c>
      <c r="N760" s="2">
        <f>Pharma_Sales_Data[[#This Row],[Total Drug Sales]]*150</f>
        <v>11728.65</v>
      </c>
      <c r="O760" s="2">
        <f>Pharma_Sales_Data[[#This Row],[Total Revenue]]*0.3</f>
        <v>3518.5949999999998</v>
      </c>
      <c r="P760" t="str">
        <f>IF(Pharma_Sales_Data[[#This Row],[Total Revenue]]&gt;20000,"High Value", IF(Pharma_Sales_Data[[#This Row],[Total Revenue]]&gt;=10000,"Medium Value","Low Value"))</f>
        <v>Medium Value</v>
      </c>
    </row>
    <row r="761" spans="1:16" x14ac:dyDescent="0.35">
      <c r="A761" s="1">
        <v>42400</v>
      </c>
      <c r="B761">
        <v>4.33</v>
      </c>
      <c r="C761">
        <v>5.1429999999999998</v>
      </c>
      <c r="D761">
        <v>3.8</v>
      </c>
      <c r="E761">
        <v>78.900000000000006</v>
      </c>
      <c r="F761">
        <v>3</v>
      </c>
      <c r="G761">
        <v>0</v>
      </c>
      <c r="H761">
        <v>6</v>
      </c>
      <c r="I761">
        <v>2</v>
      </c>
      <c r="J761">
        <v>2016</v>
      </c>
      <c r="K761">
        <v>1</v>
      </c>
      <c r="L761" t="s">
        <v>14</v>
      </c>
      <c r="M761">
        <f>SUM(Pharma_Sales_Data[[#This Row],[M01AB]:[R06]])</f>
        <v>103.173</v>
      </c>
      <c r="N761" s="2">
        <f>Pharma_Sales_Data[[#This Row],[Total Drug Sales]]*150</f>
        <v>15475.95</v>
      </c>
      <c r="O761" s="2">
        <f>Pharma_Sales_Data[[#This Row],[Total Revenue]]*0.3</f>
        <v>4642.7849999999999</v>
      </c>
      <c r="P761" t="str">
        <f>IF(Pharma_Sales_Data[[#This Row],[Total Revenue]]&gt;20000,"High Value", IF(Pharma_Sales_Data[[#This Row],[Total Revenue]]&gt;=10000,"Medium Value","Low Value"))</f>
        <v>Medium Value</v>
      </c>
    </row>
    <row r="762" spans="1:16" x14ac:dyDescent="0.35">
      <c r="A762" s="1">
        <v>42401</v>
      </c>
      <c r="B762">
        <v>6.34</v>
      </c>
      <c r="C762">
        <v>5</v>
      </c>
      <c r="D762">
        <v>7.1</v>
      </c>
      <c r="E762">
        <v>18</v>
      </c>
      <c r="F762">
        <v>7</v>
      </c>
      <c r="G762">
        <v>0</v>
      </c>
      <c r="H762">
        <v>6</v>
      </c>
      <c r="I762">
        <v>1</v>
      </c>
      <c r="J762">
        <v>2016</v>
      </c>
      <c r="K762">
        <v>2</v>
      </c>
      <c r="L762" t="s">
        <v>15</v>
      </c>
      <c r="M762">
        <f>SUM(Pharma_Sales_Data[[#This Row],[M01AB]:[R06]])</f>
        <v>50.44</v>
      </c>
      <c r="N762" s="2">
        <f>Pharma_Sales_Data[[#This Row],[Total Drug Sales]]*150</f>
        <v>7566</v>
      </c>
      <c r="O762" s="2">
        <f>Pharma_Sales_Data[[#This Row],[Total Revenue]]*0.3</f>
        <v>2269.7999999999997</v>
      </c>
      <c r="P762" t="str">
        <f>IF(Pharma_Sales_Data[[#This Row],[Total Revenue]]&gt;20000,"High Value", IF(Pharma_Sales_Data[[#This Row],[Total Revenue]]&gt;=10000,"Medium Value","Low Value"))</f>
        <v>Low Value</v>
      </c>
    </row>
    <row r="763" spans="1:16" x14ac:dyDescent="0.35">
      <c r="A763" s="1">
        <v>42402</v>
      </c>
      <c r="B763">
        <v>14.33</v>
      </c>
      <c r="C763">
        <v>4.8780000000000001</v>
      </c>
      <c r="D763">
        <v>1.3</v>
      </c>
      <c r="E763">
        <v>39</v>
      </c>
      <c r="F763">
        <v>6</v>
      </c>
      <c r="G763">
        <v>0</v>
      </c>
      <c r="H763">
        <v>0</v>
      </c>
      <c r="I763">
        <v>1</v>
      </c>
      <c r="J763">
        <v>2016</v>
      </c>
      <c r="K763">
        <v>2</v>
      </c>
      <c r="L763" t="s">
        <v>16</v>
      </c>
      <c r="M763">
        <f>SUM(Pharma_Sales_Data[[#This Row],[M01AB]:[R06]])</f>
        <v>66.507999999999996</v>
      </c>
      <c r="N763" s="2">
        <f>Pharma_Sales_Data[[#This Row],[Total Drug Sales]]*150</f>
        <v>9976.1999999999989</v>
      </c>
      <c r="O763" s="2">
        <f>Pharma_Sales_Data[[#This Row],[Total Revenue]]*0.3</f>
        <v>2992.8599999999997</v>
      </c>
      <c r="P763" t="str">
        <f>IF(Pharma_Sales_Data[[#This Row],[Total Revenue]]&gt;20000,"High Value", IF(Pharma_Sales_Data[[#This Row],[Total Revenue]]&gt;=10000,"Medium Value","Low Value"))</f>
        <v>Low Value</v>
      </c>
    </row>
    <row r="764" spans="1:16" x14ac:dyDescent="0.35">
      <c r="A764" s="1">
        <v>42403</v>
      </c>
      <c r="B764">
        <v>8</v>
      </c>
      <c r="C764">
        <v>6.6929999999999996</v>
      </c>
      <c r="D764">
        <v>11.5</v>
      </c>
      <c r="E764">
        <v>39.061999999999998</v>
      </c>
      <c r="F764">
        <v>11</v>
      </c>
      <c r="G764">
        <v>5</v>
      </c>
      <c r="H764">
        <v>0</v>
      </c>
      <c r="I764">
        <v>0</v>
      </c>
      <c r="J764">
        <v>2016</v>
      </c>
      <c r="K764">
        <v>2</v>
      </c>
      <c r="L764" t="s">
        <v>17</v>
      </c>
      <c r="M764">
        <f>SUM(Pharma_Sales_Data[[#This Row],[M01AB]:[R06]])</f>
        <v>81.254999999999995</v>
      </c>
      <c r="N764" s="2">
        <f>Pharma_Sales_Data[[#This Row],[Total Drug Sales]]*150</f>
        <v>12188.25</v>
      </c>
      <c r="O764" s="2">
        <f>Pharma_Sales_Data[[#This Row],[Total Revenue]]*0.3</f>
        <v>3656.4749999999999</v>
      </c>
      <c r="P764" t="str">
        <f>IF(Pharma_Sales_Data[[#This Row],[Total Revenue]]&gt;20000,"High Value", IF(Pharma_Sales_Data[[#This Row],[Total Revenue]]&gt;=10000,"Medium Value","Low Value"))</f>
        <v>Medium Value</v>
      </c>
    </row>
    <row r="765" spans="1:16" x14ac:dyDescent="0.35">
      <c r="A765" s="1">
        <v>42404</v>
      </c>
      <c r="B765">
        <v>8.34</v>
      </c>
      <c r="C765">
        <v>4</v>
      </c>
      <c r="D765">
        <v>4.2</v>
      </c>
      <c r="E765">
        <v>28.8</v>
      </c>
      <c r="F765">
        <v>5</v>
      </c>
      <c r="G765">
        <v>0</v>
      </c>
      <c r="H765">
        <v>4</v>
      </c>
      <c r="I765">
        <v>4</v>
      </c>
      <c r="J765">
        <v>2016</v>
      </c>
      <c r="K765">
        <v>2</v>
      </c>
      <c r="L765" t="s">
        <v>11</v>
      </c>
      <c r="M765">
        <f>SUM(Pharma_Sales_Data[[#This Row],[M01AB]:[R06]])</f>
        <v>58.34</v>
      </c>
      <c r="N765" s="2">
        <f>Pharma_Sales_Data[[#This Row],[Total Drug Sales]]*150</f>
        <v>8751</v>
      </c>
      <c r="O765" s="2">
        <f>Pharma_Sales_Data[[#This Row],[Total Revenue]]*0.3</f>
        <v>2625.2999999999997</v>
      </c>
      <c r="P765" t="str">
        <f>IF(Pharma_Sales_Data[[#This Row],[Total Revenue]]&gt;20000,"High Value", IF(Pharma_Sales_Data[[#This Row],[Total Revenue]]&gt;=10000,"Medium Value","Low Value"))</f>
        <v>Low Value</v>
      </c>
    </row>
    <row r="766" spans="1:16" x14ac:dyDescent="0.35">
      <c r="A766" s="1">
        <v>42405</v>
      </c>
      <c r="B766">
        <v>5.66</v>
      </c>
      <c r="C766">
        <v>2</v>
      </c>
      <c r="D766">
        <v>3</v>
      </c>
      <c r="E766">
        <v>51.6</v>
      </c>
      <c r="F766">
        <v>7</v>
      </c>
      <c r="G766">
        <v>0</v>
      </c>
      <c r="H766">
        <v>3</v>
      </c>
      <c r="I766">
        <v>1</v>
      </c>
      <c r="J766">
        <v>2016</v>
      </c>
      <c r="K766">
        <v>2</v>
      </c>
      <c r="L766" t="s">
        <v>12</v>
      </c>
      <c r="M766">
        <f>SUM(Pharma_Sales_Data[[#This Row],[M01AB]:[R06]])</f>
        <v>73.260000000000005</v>
      </c>
      <c r="N766" s="2">
        <f>Pharma_Sales_Data[[#This Row],[Total Drug Sales]]*150</f>
        <v>10989</v>
      </c>
      <c r="O766" s="2">
        <f>Pharma_Sales_Data[[#This Row],[Total Revenue]]*0.3</f>
        <v>3296.7</v>
      </c>
      <c r="P766" t="str">
        <f>IF(Pharma_Sales_Data[[#This Row],[Total Revenue]]&gt;20000,"High Value", IF(Pharma_Sales_Data[[#This Row],[Total Revenue]]&gt;=10000,"Medium Value","Low Value"))</f>
        <v>Medium Value</v>
      </c>
    </row>
    <row r="767" spans="1:16" x14ac:dyDescent="0.35">
      <c r="A767" s="1">
        <v>42406</v>
      </c>
      <c r="B767">
        <v>5.33</v>
      </c>
      <c r="C767">
        <v>10.33</v>
      </c>
      <c r="D767">
        <v>3</v>
      </c>
      <c r="E767">
        <v>57.161999999999999</v>
      </c>
      <c r="F767">
        <v>1</v>
      </c>
      <c r="G767">
        <v>0</v>
      </c>
      <c r="H767">
        <v>11</v>
      </c>
      <c r="I767">
        <v>2</v>
      </c>
      <c r="J767">
        <v>2016</v>
      </c>
      <c r="K767">
        <v>2</v>
      </c>
      <c r="L767" t="s">
        <v>13</v>
      </c>
      <c r="M767">
        <f>SUM(Pharma_Sales_Data[[#This Row],[M01AB]:[R06]])</f>
        <v>89.822000000000003</v>
      </c>
      <c r="N767" s="2">
        <f>Pharma_Sales_Data[[#This Row],[Total Drug Sales]]*150</f>
        <v>13473.300000000001</v>
      </c>
      <c r="O767" s="2">
        <f>Pharma_Sales_Data[[#This Row],[Total Revenue]]*0.3</f>
        <v>4041.9900000000002</v>
      </c>
      <c r="P767" t="str">
        <f>IF(Pharma_Sales_Data[[#This Row],[Total Revenue]]&gt;20000,"High Value", IF(Pharma_Sales_Data[[#This Row],[Total Revenue]]&gt;=10000,"Medium Value","Low Value"))</f>
        <v>Medium Value</v>
      </c>
    </row>
    <row r="768" spans="1:16" x14ac:dyDescent="0.35">
      <c r="A768" s="1">
        <v>42407</v>
      </c>
      <c r="B768">
        <v>3.66</v>
      </c>
      <c r="C768">
        <v>6.056</v>
      </c>
      <c r="D768">
        <v>4.5</v>
      </c>
      <c r="E768">
        <v>88.2</v>
      </c>
      <c r="F768">
        <v>2</v>
      </c>
      <c r="G768">
        <v>0</v>
      </c>
      <c r="H768">
        <v>13</v>
      </c>
      <c r="I768">
        <v>1</v>
      </c>
      <c r="J768">
        <v>2016</v>
      </c>
      <c r="K768">
        <v>2</v>
      </c>
      <c r="L768" t="s">
        <v>14</v>
      </c>
      <c r="M768">
        <f>SUM(Pharma_Sales_Data[[#This Row],[M01AB]:[R06]])</f>
        <v>118.416</v>
      </c>
      <c r="N768" s="2">
        <f>Pharma_Sales_Data[[#This Row],[Total Drug Sales]]*150</f>
        <v>17762.399999999998</v>
      </c>
      <c r="O768" s="2">
        <f>Pharma_Sales_Data[[#This Row],[Total Revenue]]*0.3</f>
        <v>5328.7199999999993</v>
      </c>
      <c r="P768" t="str">
        <f>IF(Pharma_Sales_Data[[#This Row],[Total Revenue]]&gt;20000,"High Value", IF(Pharma_Sales_Data[[#This Row],[Total Revenue]]&gt;=10000,"Medium Value","Low Value"))</f>
        <v>Medium Value</v>
      </c>
    </row>
    <row r="769" spans="1:16" x14ac:dyDescent="0.35">
      <c r="A769" s="1">
        <v>42408</v>
      </c>
      <c r="B769">
        <v>6.33</v>
      </c>
      <c r="C769">
        <v>6.99</v>
      </c>
      <c r="D769">
        <v>5.5</v>
      </c>
      <c r="E769">
        <v>28.038</v>
      </c>
      <c r="F769">
        <v>5</v>
      </c>
      <c r="G769">
        <v>0</v>
      </c>
      <c r="H769">
        <v>23</v>
      </c>
      <c r="I769">
        <v>1</v>
      </c>
      <c r="J769">
        <v>2016</v>
      </c>
      <c r="K769">
        <v>2</v>
      </c>
      <c r="L769" t="s">
        <v>15</v>
      </c>
      <c r="M769">
        <f>SUM(Pharma_Sales_Data[[#This Row],[M01AB]:[R06]])</f>
        <v>75.858000000000004</v>
      </c>
      <c r="N769" s="2">
        <f>Pharma_Sales_Data[[#This Row],[Total Drug Sales]]*150</f>
        <v>11378.7</v>
      </c>
      <c r="O769" s="2">
        <f>Pharma_Sales_Data[[#This Row],[Total Revenue]]*0.3</f>
        <v>3413.61</v>
      </c>
      <c r="P769" t="str">
        <f>IF(Pharma_Sales_Data[[#This Row],[Total Revenue]]&gt;20000,"High Value", IF(Pharma_Sales_Data[[#This Row],[Total Revenue]]&gt;=10000,"Medium Value","Low Value"))</f>
        <v>Medium Value</v>
      </c>
    </row>
    <row r="770" spans="1:16" x14ac:dyDescent="0.35">
      <c r="A770" s="1">
        <v>42409</v>
      </c>
      <c r="B770">
        <v>7</v>
      </c>
      <c r="C770">
        <v>3.33</v>
      </c>
      <c r="D770">
        <v>4.4000000000000004</v>
      </c>
      <c r="E770">
        <v>47.7</v>
      </c>
      <c r="F770">
        <v>16</v>
      </c>
      <c r="G770">
        <v>2</v>
      </c>
      <c r="H770">
        <v>1</v>
      </c>
      <c r="I770">
        <v>2</v>
      </c>
      <c r="J770">
        <v>2016</v>
      </c>
      <c r="K770">
        <v>2</v>
      </c>
      <c r="L770" t="s">
        <v>16</v>
      </c>
      <c r="M770">
        <f>SUM(Pharma_Sales_Data[[#This Row],[M01AB]:[R06]])</f>
        <v>83.43</v>
      </c>
      <c r="N770" s="2">
        <f>Pharma_Sales_Data[[#This Row],[Total Drug Sales]]*150</f>
        <v>12514.500000000002</v>
      </c>
      <c r="O770" s="2">
        <f>Pharma_Sales_Data[[#This Row],[Total Revenue]]*0.3</f>
        <v>3754.3500000000004</v>
      </c>
      <c r="P770" t="str">
        <f>IF(Pharma_Sales_Data[[#This Row],[Total Revenue]]&gt;20000,"High Value", IF(Pharma_Sales_Data[[#This Row],[Total Revenue]]&gt;=10000,"Medium Value","Low Value"))</f>
        <v>Medium Value</v>
      </c>
    </row>
    <row r="771" spans="1:16" x14ac:dyDescent="0.35">
      <c r="A771" s="1">
        <v>42410</v>
      </c>
      <c r="B771">
        <v>4.34</v>
      </c>
      <c r="C771">
        <v>4.7030000000000003</v>
      </c>
      <c r="D771">
        <v>7.2</v>
      </c>
      <c r="E771">
        <v>34.1</v>
      </c>
      <c r="F771">
        <v>29</v>
      </c>
      <c r="G771">
        <v>0</v>
      </c>
      <c r="H771">
        <v>4</v>
      </c>
      <c r="I771">
        <v>2</v>
      </c>
      <c r="J771">
        <v>2016</v>
      </c>
      <c r="K771">
        <v>2</v>
      </c>
      <c r="L771" t="s">
        <v>17</v>
      </c>
      <c r="M771">
        <f>SUM(Pharma_Sales_Data[[#This Row],[M01AB]:[R06]])</f>
        <v>85.343000000000004</v>
      </c>
      <c r="N771" s="2">
        <f>Pharma_Sales_Data[[#This Row],[Total Drug Sales]]*150</f>
        <v>12801.45</v>
      </c>
      <c r="O771" s="2">
        <f>Pharma_Sales_Data[[#This Row],[Total Revenue]]*0.3</f>
        <v>3840.4349999999999</v>
      </c>
      <c r="P771" t="str">
        <f>IF(Pharma_Sales_Data[[#This Row],[Total Revenue]]&gt;20000,"High Value", IF(Pharma_Sales_Data[[#This Row],[Total Revenue]]&gt;=10000,"Medium Value","Low Value"))</f>
        <v>Medium Value</v>
      </c>
    </row>
    <row r="772" spans="1:16" x14ac:dyDescent="0.35">
      <c r="A772" s="1">
        <v>42411</v>
      </c>
      <c r="B772">
        <v>1.66</v>
      </c>
      <c r="C772">
        <v>4.1559999999999997</v>
      </c>
      <c r="D772">
        <v>2.7</v>
      </c>
      <c r="E772">
        <v>38.1</v>
      </c>
      <c r="F772">
        <v>10</v>
      </c>
      <c r="G772">
        <v>1</v>
      </c>
      <c r="H772">
        <v>13</v>
      </c>
      <c r="I772">
        <v>4</v>
      </c>
      <c r="J772">
        <v>2016</v>
      </c>
      <c r="K772">
        <v>2</v>
      </c>
      <c r="L772" t="s">
        <v>11</v>
      </c>
      <c r="M772">
        <f>SUM(Pharma_Sales_Data[[#This Row],[M01AB]:[R06]])</f>
        <v>74.616</v>
      </c>
      <c r="N772" s="2">
        <f>Pharma_Sales_Data[[#This Row],[Total Drug Sales]]*150</f>
        <v>11192.4</v>
      </c>
      <c r="O772" s="2">
        <f>Pharma_Sales_Data[[#This Row],[Total Revenue]]*0.3</f>
        <v>3357.72</v>
      </c>
      <c r="P772" t="str">
        <f>IF(Pharma_Sales_Data[[#This Row],[Total Revenue]]&gt;20000,"High Value", IF(Pharma_Sales_Data[[#This Row],[Total Revenue]]&gt;=10000,"Medium Value","Low Value"))</f>
        <v>Medium Value</v>
      </c>
    </row>
    <row r="773" spans="1:16" x14ac:dyDescent="0.35">
      <c r="A773" s="1">
        <v>42412</v>
      </c>
      <c r="B773">
        <v>5.99</v>
      </c>
      <c r="C773">
        <v>6.4290000000000003</v>
      </c>
      <c r="D773">
        <v>8.5</v>
      </c>
      <c r="E773">
        <v>60.674999999999997</v>
      </c>
      <c r="F773">
        <v>4</v>
      </c>
      <c r="G773">
        <v>0</v>
      </c>
      <c r="H773">
        <v>20</v>
      </c>
      <c r="I773">
        <v>1</v>
      </c>
      <c r="J773">
        <v>2016</v>
      </c>
      <c r="K773">
        <v>2</v>
      </c>
      <c r="L773" t="s">
        <v>12</v>
      </c>
      <c r="M773">
        <f>SUM(Pharma_Sales_Data[[#This Row],[M01AB]:[R06]])</f>
        <v>106.59399999999999</v>
      </c>
      <c r="N773" s="2">
        <f>Pharma_Sales_Data[[#This Row],[Total Drug Sales]]*150</f>
        <v>15989.099999999999</v>
      </c>
      <c r="O773" s="2">
        <f>Pharma_Sales_Data[[#This Row],[Total Revenue]]*0.3</f>
        <v>4796.7299999999996</v>
      </c>
      <c r="P773" t="str">
        <f>IF(Pharma_Sales_Data[[#This Row],[Total Revenue]]&gt;20000,"High Value", IF(Pharma_Sales_Data[[#This Row],[Total Revenue]]&gt;=10000,"Medium Value","Low Value"))</f>
        <v>Medium Value</v>
      </c>
    </row>
    <row r="774" spans="1:16" x14ac:dyDescent="0.35">
      <c r="A774" s="1">
        <v>42413</v>
      </c>
      <c r="B774">
        <v>2.67</v>
      </c>
      <c r="C774">
        <v>3.67</v>
      </c>
      <c r="D774">
        <v>5</v>
      </c>
      <c r="E774">
        <v>42.4</v>
      </c>
      <c r="F774">
        <v>2</v>
      </c>
      <c r="G774">
        <v>0</v>
      </c>
      <c r="H774">
        <v>10</v>
      </c>
      <c r="I774">
        <v>2</v>
      </c>
      <c r="J774">
        <v>2016</v>
      </c>
      <c r="K774">
        <v>2</v>
      </c>
      <c r="L774" t="s">
        <v>13</v>
      </c>
      <c r="M774">
        <f>SUM(Pharma_Sales_Data[[#This Row],[M01AB]:[R06]])</f>
        <v>67.739999999999995</v>
      </c>
      <c r="N774" s="2">
        <f>Pharma_Sales_Data[[#This Row],[Total Drug Sales]]*150</f>
        <v>10161</v>
      </c>
      <c r="O774" s="2">
        <f>Pharma_Sales_Data[[#This Row],[Total Revenue]]*0.3</f>
        <v>3048.2999999999997</v>
      </c>
      <c r="P774" t="str">
        <f>IF(Pharma_Sales_Data[[#This Row],[Total Revenue]]&gt;20000,"High Value", IF(Pharma_Sales_Data[[#This Row],[Total Revenue]]&gt;=10000,"Medium Value","Low Value"))</f>
        <v>Medium Value</v>
      </c>
    </row>
    <row r="775" spans="1:16" x14ac:dyDescent="0.35">
      <c r="A775" s="1">
        <v>42414</v>
      </c>
      <c r="B775">
        <v>5.84</v>
      </c>
      <c r="C775">
        <v>7.34</v>
      </c>
      <c r="D775">
        <v>3.8</v>
      </c>
      <c r="E775">
        <v>43.6</v>
      </c>
      <c r="F775">
        <v>5</v>
      </c>
      <c r="G775">
        <v>0</v>
      </c>
      <c r="H775">
        <v>7</v>
      </c>
      <c r="I775">
        <v>4</v>
      </c>
      <c r="J775">
        <v>2016</v>
      </c>
      <c r="K775">
        <v>2</v>
      </c>
      <c r="L775" t="s">
        <v>14</v>
      </c>
      <c r="M775">
        <f>SUM(Pharma_Sales_Data[[#This Row],[M01AB]:[R06]])</f>
        <v>76.58</v>
      </c>
      <c r="N775" s="2">
        <f>Pharma_Sales_Data[[#This Row],[Total Drug Sales]]*150</f>
        <v>11487</v>
      </c>
      <c r="O775" s="2">
        <f>Pharma_Sales_Data[[#This Row],[Total Revenue]]*0.3</f>
        <v>3446.1</v>
      </c>
      <c r="P775" t="str">
        <f>IF(Pharma_Sales_Data[[#This Row],[Total Revenue]]&gt;20000,"High Value", IF(Pharma_Sales_Data[[#This Row],[Total Revenue]]&gt;=10000,"Medium Value","Low Value"))</f>
        <v>Medium Value</v>
      </c>
    </row>
    <row r="776" spans="1:16" x14ac:dyDescent="0.35">
      <c r="A776" s="1">
        <v>42415</v>
      </c>
      <c r="B776">
        <v>5.33</v>
      </c>
      <c r="C776">
        <v>5.33</v>
      </c>
      <c r="D776">
        <v>5.3</v>
      </c>
      <c r="E776">
        <v>52.2</v>
      </c>
      <c r="F776">
        <v>6</v>
      </c>
      <c r="G776">
        <v>0</v>
      </c>
      <c r="H776">
        <v>0</v>
      </c>
      <c r="I776">
        <v>0</v>
      </c>
      <c r="J776">
        <v>2016</v>
      </c>
      <c r="K776">
        <v>2</v>
      </c>
      <c r="L776" t="s">
        <v>15</v>
      </c>
      <c r="M776">
        <f>SUM(Pharma_Sales_Data[[#This Row],[M01AB]:[R06]])</f>
        <v>74.16</v>
      </c>
      <c r="N776" s="2">
        <f>Pharma_Sales_Data[[#This Row],[Total Drug Sales]]*150</f>
        <v>11124</v>
      </c>
      <c r="O776" s="2">
        <f>Pharma_Sales_Data[[#This Row],[Total Revenue]]*0.3</f>
        <v>3337.2</v>
      </c>
      <c r="P776" t="str">
        <f>IF(Pharma_Sales_Data[[#This Row],[Total Revenue]]&gt;20000,"High Value", IF(Pharma_Sales_Data[[#This Row],[Total Revenue]]&gt;=10000,"Medium Value","Low Value"))</f>
        <v>Medium Value</v>
      </c>
    </row>
    <row r="777" spans="1:16" x14ac:dyDescent="0.35">
      <c r="A777" s="1">
        <v>42416</v>
      </c>
      <c r="B777">
        <v>7.33</v>
      </c>
      <c r="C777">
        <v>2.3199999999999998</v>
      </c>
      <c r="D777">
        <v>3</v>
      </c>
      <c r="E777">
        <v>29</v>
      </c>
      <c r="F777">
        <v>3</v>
      </c>
      <c r="G777">
        <v>2</v>
      </c>
      <c r="H777">
        <v>9</v>
      </c>
      <c r="I777">
        <v>3</v>
      </c>
      <c r="J777">
        <v>2016</v>
      </c>
      <c r="K777">
        <v>2</v>
      </c>
      <c r="L777" t="s">
        <v>16</v>
      </c>
      <c r="M777">
        <f>SUM(Pharma_Sales_Data[[#This Row],[M01AB]:[R06]])</f>
        <v>58.65</v>
      </c>
      <c r="N777" s="2">
        <f>Pharma_Sales_Data[[#This Row],[Total Drug Sales]]*150</f>
        <v>8797.5</v>
      </c>
      <c r="O777" s="2">
        <f>Pharma_Sales_Data[[#This Row],[Total Revenue]]*0.3</f>
        <v>2639.25</v>
      </c>
      <c r="P777" t="str">
        <f>IF(Pharma_Sales_Data[[#This Row],[Total Revenue]]&gt;20000,"High Value", IF(Pharma_Sales_Data[[#This Row],[Total Revenue]]&gt;=10000,"Medium Value","Low Value"))</f>
        <v>Low Value</v>
      </c>
    </row>
    <row r="778" spans="1:16" x14ac:dyDescent="0.35">
      <c r="A778" s="1">
        <v>42417</v>
      </c>
      <c r="B778">
        <v>3</v>
      </c>
      <c r="C778">
        <v>5</v>
      </c>
      <c r="D778">
        <v>4</v>
      </c>
      <c r="E778">
        <v>26.6</v>
      </c>
      <c r="F778">
        <v>12</v>
      </c>
      <c r="G778">
        <v>1</v>
      </c>
      <c r="H778">
        <v>1</v>
      </c>
      <c r="I778">
        <v>0</v>
      </c>
      <c r="J778">
        <v>2016</v>
      </c>
      <c r="K778">
        <v>2</v>
      </c>
      <c r="L778" t="s">
        <v>17</v>
      </c>
      <c r="M778">
        <f>SUM(Pharma_Sales_Data[[#This Row],[M01AB]:[R06]])</f>
        <v>52.6</v>
      </c>
      <c r="N778" s="2">
        <f>Pharma_Sales_Data[[#This Row],[Total Drug Sales]]*150</f>
        <v>7890</v>
      </c>
      <c r="O778" s="2">
        <f>Pharma_Sales_Data[[#This Row],[Total Revenue]]*0.3</f>
        <v>2367</v>
      </c>
      <c r="P778" t="str">
        <f>IF(Pharma_Sales_Data[[#This Row],[Total Revenue]]&gt;20000,"High Value", IF(Pharma_Sales_Data[[#This Row],[Total Revenue]]&gt;=10000,"Medium Value","Low Value"))</f>
        <v>Low Value</v>
      </c>
    </row>
    <row r="779" spans="1:16" x14ac:dyDescent="0.35">
      <c r="A779" s="1">
        <v>42418</v>
      </c>
      <c r="B779">
        <v>2.34</v>
      </c>
      <c r="C779">
        <v>1</v>
      </c>
      <c r="D779">
        <v>4.3</v>
      </c>
      <c r="E779">
        <v>43.85</v>
      </c>
      <c r="F779">
        <v>3</v>
      </c>
      <c r="G779">
        <v>0</v>
      </c>
      <c r="H779">
        <v>9</v>
      </c>
      <c r="I779">
        <v>1</v>
      </c>
      <c r="J779">
        <v>2016</v>
      </c>
      <c r="K779">
        <v>2</v>
      </c>
      <c r="L779" t="s">
        <v>11</v>
      </c>
      <c r="M779">
        <f>SUM(Pharma_Sales_Data[[#This Row],[M01AB]:[R06]])</f>
        <v>64.490000000000009</v>
      </c>
      <c r="N779" s="2">
        <f>Pharma_Sales_Data[[#This Row],[Total Drug Sales]]*150</f>
        <v>9673.5000000000018</v>
      </c>
      <c r="O779" s="2">
        <f>Pharma_Sales_Data[[#This Row],[Total Revenue]]*0.3</f>
        <v>2902.0500000000006</v>
      </c>
      <c r="P779" t="str">
        <f>IF(Pharma_Sales_Data[[#This Row],[Total Revenue]]&gt;20000,"High Value", IF(Pharma_Sales_Data[[#This Row],[Total Revenue]]&gt;=10000,"Medium Value","Low Value"))</f>
        <v>Low Value</v>
      </c>
    </row>
    <row r="780" spans="1:16" x14ac:dyDescent="0.35">
      <c r="A780" s="1">
        <v>42419</v>
      </c>
      <c r="B780">
        <v>4</v>
      </c>
      <c r="C780">
        <v>1.67</v>
      </c>
      <c r="D780">
        <v>4</v>
      </c>
      <c r="E780">
        <v>28.7</v>
      </c>
      <c r="F780">
        <v>18</v>
      </c>
      <c r="G780">
        <v>2</v>
      </c>
      <c r="H780">
        <v>26</v>
      </c>
      <c r="I780">
        <v>1</v>
      </c>
      <c r="J780">
        <v>2016</v>
      </c>
      <c r="K780">
        <v>2</v>
      </c>
      <c r="L780" t="s">
        <v>12</v>
      </c>
      <c r="M780">
        <f>SUM(Pharma_Sales_Data[[#This Row],[M01AB]:[R06]])</f>
        <v>85.37</v>
      </c>
      <c r="N780" s="2">
        <f>Pharma_Sales_Data[[#This Row],[Total Drug Sales]]*150</f>
        <v>12805.5</v>
      </c>
      <c r="O780" s="2">
        <f>Pharma_Sales_Data[[#This Row],[Total Revenue]]*0.3</f>
        <v>3841.6499999999996</v>
      </c>
      <c r="P780" t="str">
        <f>IF(Pharma_Sales_Data[[#This Row],[Total Revenue]]&gt;20000,"High Value", IF(Pharma_Sales_Data[[#This Row],[Total Revenue]]&gt;=10000,"Medium Value","Low Value"))</f>
        <v>Medium Value</v>
      </c>
    </row>
    <row r="781" spans="1:16" x14ac:dyDescent="0.35">
      <c r="A781" s="1">
        <v>42420</v>
      </c>
      <c r="B781">
        <v>10.33</v>
      </c>
      <c r="C781">
        <v>4.1219999999999999</v>
      </c>
      <c r="D781">
        <v>4</v>
      </c>
      <c r="E781">
        <v>36.9</v>
      </c>
      <c r="F781">
        <v>5</v>
      </c>
      <c r="G781">
        <v>0</v>
      </c>
      <c r="H781">
        <v>8</v>
      </c>
      <c r="I781">
        <v>3</v>
      </c>
      <c r="J781">
        <v>2016</v>
      </c>
      <c r="K781">
        <v>2</v>
      </c>
      <c r="L781" t="s">
        <v>13</v>
      </c>
      <c r="M781">
        <f>SUM(Pharma_Sales_Data[[#This Row],[M01AB]:[R06]])</f>
        <v>71.352000000000004</v>
      </c>
      <c r="N781" s="2">
        <f>Pharma_Sales_Data[[#This Row],[Total Drug Sales]]*150</f>
        <v>10702.800000000001</v>
      </c>
      <c r="O781" s="2">
        <f>Pharma_Sales_Data[[#This Row],[Total Revenue]]*0.3</f>
        <v>3210.84</v>
      </c>
      <c r="P781" t="str">
        <f>IF(Pharma_Sales_Data[[#This Row],[Total Revenue]]&gt;20000,"High Value", IF(Pharma_Sales_Data[[#This Row],[Total Revenue]]&gt;=10000,"Medium Value","Low Value"))</f>
        <v>Medium Value</v>
      </c>
    </row>
    <row r="782" spans="1:16" x14ac:dyDescent="0.35">
      <c r="A782" s="1">
        <v>42421</v>
      </c>
      <c r="B782">
        <v>6.34</v>
      </c>
      <c r="C782">
        <v>4</v>
      </c>
      <c r="D782">
        <v>0</v>
      </c>
      <c r="E782">
        <v>55.7</v>
      </c>
      <c r="F782">
        <v>5</v>
      </c>
      <c r="G782">
        <v>2</v>
      </c>
      <c r="H782">
        <v>7</v>
      </c>
      <c r="I782">
        <v>4</v>
      </c>
      <c r="J782">
        <v>2016</v>
      </c>
      <c r="K782">
        <v>2</v>
      </c>
      <c r="L782" t="s">
        <v>14</v>
      </c>
      <c r="M782">
        <f>SUM(Pharma_Sales_Data[[#This Row],[M01AB]:[R06]])</f>
        <v>84.04</v>
      </c>
      <c r="N782" s="2">
        <f>Pharma_Sales_Data[[#This Row],[Total Drug Sales]]*150</f>
        <v>12606.000000000002</v>
      </c>
      <c r="O782" s="2">
        <f>Pharma_Sales_Data[[#This Row],[Total Revenue]]*0.3</f>
        <v>3781.8</v>
      </c>
      <c r="P782" t="str">
        <f>IF(Pharma_Sales_Data[[#This Row],[Total Revenue]]&gt;20000,"High Value", IF(Pharma_Sales_Data[[#This Row],[Total Revenue]]&gt;=10000,"Medium Value","Low Value"))</f>
        <v>Medium Value</v>
      </c>
    </row>
    <row r="783" spans="1:16" x14ac:dyDescent="0.35">
      <c r="A783" s="1">
        <v>42422</v>
      </c>
      <c r="B783">
        <v>3</v>
      </c>
      <c r="C783">
        <v>5.32</v>
      </c>
      <c r="D783">
        <v>3</v>
      </c>
      <c r="E783">
        <v>51.125</v>
      </c>
      <c r="F783">
        <v>10</v>
      </c>
      <c r="G783">
        <v>0</v>
      </c>
      <c r="H783">
        <v>12</v>
      </c>
      <c r="I783">
        <v>4</v>
      </c>
      <c r="J783">
        <v>2016</v>
      </c>
      <c r="K783">
        <v>2</v>
      </c>
      <c r="L783" t="s">
        <v>15</v>
      </c>
      <c r="M783">
        <f>SUM(Pharma_Sales_Data[[#This Row],[M01AB]:[R06]])</f>
        <v>88.444999999999993</v>
      </c>
      <c r="N783" s="2">
        <f>Pharma_Sales_Data[[#This Row],[Total Drug Sales]]*150</f>
        <v>13266.749999999998</v>
      </c>
      <c r="O783" s="2">
        <f>Pharma_Sales_Data[[#This Row],[Total Revenue]]*0.3</f>
        <v>3980.0249999999992</v>
      </c>
      <c r="P783" t="str">
        <f>IF(Pharma_Sales_Data[[#This Row],[Total Revenue]]&gt;20000,"High Value", IF(Pharma_Sales_Data[[#This Row],[Total Revenue]]&gt;=10000,"Medium Value","Low Value"))</f>
        <v>Medium Value</v>
      </c>
    </row>
    <row r="784" spans="1:16" x14ac:dyDescent="0.35">
      <c r="A784" s="1">
        <v>42423</v>
      </c>
      <c r="B784">
        <v>3</v>
      </c>
      <c r="C784">
        <v>2.33</v>
      </c>
      <c r="D784">
        <v>2.6</v>
      </c>
      <c r="E784">
        <v>41.3</v>
      </c>
      <c r="F784">
        <v>11</v>
      </c>
      <c r="G784">
        <v>0</v>
      </c>
      <c r="H784">
        <v>15</v>
      </c>
      <c r="I784">
        <v>3</v>
      </c>
      <c r="J784">
        <v>2016</v>
      </c>
      <c r="K784">
        <v>2</v>
      </c>
      <c r="L784" t="s">
        <v>16</v>
      </c>
      <c r="M784">
        <f>SUM(Pharma_Sales_Data[[#This Row],[M01AB]:[R06]])</f>
        <v>78.22999999999999</v>
      </c>
      <c r="N784" s="2">
        <f>Pharma_Sales_Data[[#This Row],[Total Drug Sales]]*150</f>
        <v>11734.499999999998</v>
      </c>
      <c r="O784" s="2">
        <f>Pharma_Sales_Data[[#This Row],[Total Revenue]]*0.3</f>
        <v>3520.3499999999995</v>
      </c>
      <c r="P784" t="str">
        <f>IF(Pharma_Sales_Data[[#This Row],[Total Revenue]]&gt;20000,"High Value", IF(Pharma_Sales_Data[[#This Row],[Total Revenue]]&gt;=10000,"Medium Value","Low Value"))</f>
        <v>Medium Value</v>
      </c>
    </row>
    <row r="785" spans="1:16" x14ac:dyDescent="0.35">
      <c r="A785" s="1">
        <v>42424</v>
      </c>
      <c r="B785">
        <v>7.66</v>
      </c>
      <c r="C785">
        <v>2.33</v>
      </c>
      <c r="D785">
        <v>2.1</v>
      </c>
      <c r="E785">
        <v>35</v>
      </c>
      <c r="F785">
        <v>6</v>
      </c>
      <c r="G785">
        <v>2</v>
      </c>
      <c r="H785">
        <v>5</v>
      </c>
      <c r="I785">
        <v>1</v>
      </c>
      <c r="J785">
        <v>2016</v>
      </c>
      <c r="K785">
        <v>2</v>
      </c>
      <c r="L785" t="s">
        <v>17</v>
      </c>
      <c r="M785">
        <f>SUM(Pharma_Sales_Data[[#This Row],[M01AB]:[R06]])</f>
        <v>61.09</v>
      </c>
      <c r="N785" s="2">
        <f>Pharma_Sales_Data[[#This Row],[Total Drug Sales]]*150</f>
        <v>9163.5</v>
      </c>
      <c r="O785" s="2">
        <f>Pharma_Sales_Data[[#This Row],[Total Revenue]]*0.3</f>
        <v>2749.0499999999997</v>
      </c>
      <c r="P785" t="str">
        <f>IF(Pharma_Sales_Data[[#This Row],[Total Revenue]]&gt;20000,"High Value", IF(Pharma_Sales_Data[[#This Row],[Total Revenue]]&gt;=10000,"Medium Value","Low Value"))</f>
        <v>Low Value</v>
      </c>
    </row>
    <row r="786" spans="1:16" x14ac:dyDescent="0.35">
      <c r="A786" s="1">
        <v>42425</v>
      </c>
      <c r="B786">
        <v>7.99</v>
      </c>
      <c r="C786">
        <v>3.99</v>
      </c>
      <c r="D786">
        <v>5</v>
      </c>
      <c r="E786">
        <v>41</v>
      </c>
      <c r="F786">
        <v>22</v>
      </c>
      <c r="G786">
        <v>1</v>
      </c>
      <c r="H786">
        <v>4</v>
      </c>
      <c r="I786">
        <v>3</v>
      </c>
      <c r="J786">
        <v>2016</v>
      </c>
      <c r="K786">
        <v>2</v>
      </c>
      <c r="L786" t="s">
        <v>11</v>
      </c>
      <c r="M786">
        <f>SUM(Pharma_Sales_Data[[#This Row],[M01AB]:[R06]])</f>
        <v>87.98</v>
      </c>
      <c r="N786" s="2">
        <f>Pharma_Sales_Data[[#This Row],[Total Drug Sales]]*150</f>
        <v>13197</v>
      </c>
      <c r="O786" s="2">
        <f>Pharma_Sales_Data[[#This Row],[Total Revenue]]*0.3</f>
        <v>3959.1</v>
      </c>
      <c r="P786" t="str">
        <f>IF(Pharma_Sales_Data[[#This Row],[Total Revenue]]&gt;20000,"High Value", IF(Pharma_Sales_Data[[#This Row],[Total Revenue]]&gt;=10000,"Medium Value","Low Value"))</f>
        <v>Medium Value</v>
      </c>
    </row>
    <row r="787" spans="1:16" x14ac:dyDescent="0.35">
      <c r="A787" s="1">
        <v>42426</v>
      </c>
      <c r="B787">
        <v>5</v>
      </c>
      <c r="C787">
        <v>5.8479999999999999</v>
      </c>
      <c r="D787">
        <v>4.5</v>
      </c>
      <c r="E787">
        <v>28.55</v>
      </c>
      <c r="F787">
        <v>6</v>
      </c>
      <c r="G787">
        <v>2</v>
      </c>
      <c r="H787">
        <v>0</v>
      </c>
      <c r="I787">
        <v>1</v>
      </c>
      <c r="J787">
        <v>2016</v>
      </c>
      <c r="K787">
        <v>2</v>
      </c>
      <c r="L787" t="s">
        <v>12</v>
      </c>
      <c r="M787">
        <f>SUM(Pharma_Sales_Data[[#This Row],[M01AB]:[R06]])</f>
        <v>52.897999999999996</v>
      </c>
      <c r="N787" s="2">
        <f>Pharma_Sales_Data[[#This Row],[Total Drug Sales]]*150</f>
        <v>7934.7</v>
      </c>
      <c r="O787" s="2">
        <f>Pharma_Sales_Data[[#This Row],[Total Revenue]]*0.3</f>
        <v>2380.41</v>
      </c>
      <c r="P787" t="str">
        <f>IF(Pharma_Sales_Data[[#This Row],[Total Revenue]]&gt;20000,"High Value", IF(Pharma_Sales_Data[[#This Row],[Total Revenue]]&gt;=10000,"Medium Value","Low Value"))</f>
        <v>Low Value</v>
      </c>
    </row>
    <row r="788" spans="1:16" x14ac:dyDescent="0.35">
      <c r="A788" s="1">
        <v>42427</v>
      </c>
      <c r="B788">
        <v>8</v>
      </c>
      <c r="C788">
        <v>7</v>
      </c>
      <c r="D788">
        <v>6.6</v>
      </c>
      <c r="E788">
        <v>25.8</v>
      </c>
      <c r="F788">
        <v>3</v>
      </c>
      <c r="G788">
        <v>0</v>
      </c>
      <c r="H788">
        <v>5</v>
      </c>
      <c r="I788">
        <v>2</v>
      </c>
      <c r="J788">
        <v>2016</v>
      </c>
      <c r="K788">
        <v>2</v>
      </c>
      <c r="L788" t="s">
        <v>13</v>
      </c>
      <c r="M788">
        <f>SUM(Pharma_Sales_Data[[#This Row],[M01AB]:[R06]])</f>
        <v>57.400000000000006</v>
      </c>
      <c r="N788" s="2">
        <f>Pharma_Sales_Data[[#This Row],[Total Drug Sales]]*150</f>
        <v>8610</v>
      </c>
      <c r="O788" s="2">
        <f>Pharma_Sales_Data[[#This Row],[Total Revenue]]*0.3</f>
        <v>2583</v>
      </c>
      <c r="P788" t="str">
        <f>IF(Pharma_Sales_Data[[#This Row],[Total Revenue]]&gt;20000,"High Value", IF(Pharma_Sales_Data[[#This Row],[Total Revenue]]&gt;=10000,"Medium Value","Low Value"))</f>
        <v>Low Value</v>
      </c>
    </row>
    <row r="789" spans="1:16" x14ac:dyDescent="0.35">
      <c r="A789" s="1">
        <v>42428</v>
      </c>
      <c r="B789">
        <v>8</v>
      </c>
      <c r="C789">
        <v>4.0330000000000004</v>
      </c>
      <c r="D789">
        <v>10.1</v>
      </c>
      <c r="E789">
        <v>66.5</v>
      </c>
      <c r="F789">
        <v>6</v>
      </c>
      <c r="G789">
        <v>0</v>
      </c>
      <c r="H789">
        <v>26</v>
      </c>
      <c r="I789">
        <v>5</v>
      </c>
      <c r="J789">
        <v>2016</v>
      </c>
      <c r="K789">
        <v>2</v>
      </c>
      <c r="L789" t="s">
        <v>14</v>
      </c>
      <c r="M789">
        <f>SUM(Pharma_Sales_Data[[#This Row],[M01AB]:[R06]])</f>
        <v>125.63300000000001</v>
      </c>
      <c r="N789" s="2">
        <f>Pharma_Sales_Data[[#This Row],[Total Drug Sales]]*150</f>
        <v>18844.95</v>
      </c>
      <c r="O789" s="2">
        <f>Pharma_Sales_Data[[#This Row],[Total Revenue]]*0.3</f>
        <v>5653.4849999999997</v>
      </c>
      <c r="P789" t="str">
        <f>IF(Pharma_Sales_Data[[#This Row],[Total Revenue]]&gt;20000,"High Value", IF(Pharma_Sales_Data[[#This Row],[Total Revenue]]&gt;=10000,"Medium Value","Low Value"))</f>
        <v>Medium Value</v>
      </c>
    </row>
    <row r="790" spans="1:16" x14ac:dyDescent="0.35">
      <c r="A790" s="1">
        <v>42429</v>
      </c>
      <c r="B790">
        <v>7</v>
      </c>
      <c r="C790">
        <v>7.66</v>
      </c>
      <c r="D790">
        <v>4</v>
      </c>
      <c r="E790">
        <v>46.2</v>
      </c>
      <c r="F790">
        <v>13</v>
      </c>
      <c r="G790">
        <v>0</v>
      </c>
      <c r="H790">
        <v>3</v>
      </c>
      <c r="I790">
        <v>1</v>
      </c>
      <c r="J790">
        <v>2016</v>
      </c>
      <c r="K790">
        <v>2</v>
      </c>
      <c r="L790" t="s">
        <v>15</v>
      </c>
      <c r="M790">
        <f>SUM(Pharma_Sales_Data[[#This Row],[M01AB]:[R06]])</f>
        <v>81.86</v>
      </c>
      <c r="N790" s="2">
        <f>Pharma_Sales_Data[[#This Row],[Total Drug Sales]]*150</f>
        <v>12279</v>
      </c>
      <c r="O790" s="2">
        <f>Pharma_Sales_Data[[#This Row],[Total Revenue]]*0.3</f>
        <v>3683.7</v>
      </c>
      <c r="P790" t="str">
        <f>IF(Pharma_Sales_Data[[#This Row],[Total Revenue]]&gt;20000,"High Value", IF(Pharma_Sales_Data[[#This Row],[Total Revenue]]&gt;=10000,"Medium Value","Low Value"))</f>
        <v>Medium Value</v>
      </c>
    </row>
    <row r="791" spans="1:16" x14ac:dyDescent="0.35">
      <c r="A791" s="1">
        <v>42430</v>
      </c>
      <c r="B791">
        <v>10</v>
      </c>
      <c r="C791">
        <v>4</v>
      </c>
      <c r="D791">
        <v>2.2000000000000002</v>
      </c>
      <c r="E791">
        <v>31</v>
      </c>
      <c r="F791">
        <v>11</v>
      </c>
      <c r="G791">
        <v>2</v>
      </c>
      <c r="H791">
        <v>0</v>
      </c>
      <c r="I791">
        <v>2</v>
      </c>
      <c r="J791">
        <v>2016</v>
      </c>
      <c r="K791">
        <v>3</v>
      </c>
      <c r="L791" t="s">
        <v>16</v>
      </c>
      <c r="M791">
        <f>SUM(Pharma_Sales_Data[[#This Row],[M01AB]:[R06]])</f>
        <v>62.2</v>
      </c>
      <c r="N791" s="2">
        <f>Pharma_Sales_Data[[#This Row],[Total Drug Sales]]*150</f>
        <v>9330</v>
      </c>
      <c r="O791" s="2">
        <f>Pharma_Sales_Data[[#This Row],[Total Revenue]]*0.3</f>
        <v>2799</v>
      </c>
      <c r="P791" t="str">
        <f>IF(Pharma_Sales_Data[[#This Row],[Total Revenue]]&gt;20000,"High Value", IF(Pharma_Sales_Data[[#This Row],[Total Revenue]]&gt;=10000,"Medium Value","Low Value"))</f>
        <v>Low Value</v>
      </c>
    </row>
    <row r="792" spans="1:16" x14ac:dyDescent="0.35">
      <c r="A792" s="1">
        <v>42431</v>
      </c>
      <c r="B792">
        <v>3.33</v>
      </c>
      <c r="C792">
        <v>10.396000000000001</v>
      </c>
      <c r="D792">
        <v>5.3</v>
      </c>
      <c r="E792">
        <v>21.3</v>
      </c>
      <c r="F792">
        <v>15</v>
      </c>
      <c r="G792">
        <v>2</v>
      </c>
      <c r="H792">
        <v>1</v>
      </c>
      <c r="I792">
        <v>0</v>
      </c>
      <c r="J792">
        <v>2016</v>
      </c>
      <c r="K792">
        <v>3</v>
      </c>
      <c r="L792" t="s">
        <v>17</v>
      </c>
      <c r="M792">
        <f>SUM(Pharma_Sales_Data[[#This Row],[M01AB]:[R06]])</f>
        <v>58.326000000000001</v>
      </c>
      <c r="N792" s="2">
        <f>Pharma_Sales_Data[[#This Row],[Total Drug Sales]]*150</f>
        <v>8748.9</v>
      </c>
      <c r="O792" s="2">
        <f>Pharma_Sales_Data[[#This Row],[Total Revenue]]*0.3</f>
        <v>2624.6699999999996</v>
      </c>
      <c r="P792" t="str">
        <f>IF(Pharma_Sales_Data[[#This Row],[Total Revenue]]&gt;20000,"High Value", IF(Pharma_Sales_Data[[#This Row],[Total Revenue]]&gt;=10000,"Medium Value","Low Value"))</f>
        <v>Low Value</v>
      </c>
    </row>
    <row r="793" spans="1:16" x14ac:dyDescent="0.35">
      <c r="A793" s="1">
        <v>42432</v>
      </c>
      <c r="B793">
        <v>2.83</v>
      </c>
      <c r="C793">
        <v>2</v>
      </c>
      <c r="D793">
        <v>5</v>
      </c>
      <c r="E793">
        <v>55.8</v>
      </c>
      <c r="F793">
        <v>2</v>
      </c>
      <c r="G793">
        <v>0</v>
      </c>
      <c r="H793">
        <v>9</v>
      </c>
      <c r="I793">
        <v>4</v>
      </c>
      <c r="J793">
        <v>2016</v>
      </c>
      <c r="K793">
        <v>3</v>
      </c>
      <c r="L793" t="s">
        <v>11</v>
      </c>
      <c r="M793">
        <f>SUM(Pharma_Sales_Data[[#This Row],[M01AB]:[R06]])</f>
        <v>80.63</v>
      </c>
      <c r="N793" s="2">
        <f>Pharma_Sales_Data[[#This Row],[Total Drug Sales]]*150</f>
        <v>12094.5</v>
      </c>
      <c r="O793" s="2">
        <f>Pharma_Sales_Data[[#This Row],[Total Revenue]]*0.3</f>
        <v>3628.35</v>
      </c>
      <c r="P793" t="str">
        <f>IF(Pharma_Sales_Data[[#This Row],[Total Revenue]]&gt;20000,"High Value", IF(Pharma_Sales_Data[[#This Row],[Total Revenue]]&gt;=10000,"Medium Value","Low Value"))</f>
        <v>Medium Value</v>
      </c>
    </row>
    <row r="794" spans="1:16" x14ac:dyDescent="0.35">
      <c r="A794" s="1">
        <v>42433</v>
      </c>
      <c r="B794">
        <v>5</v>
      </c>
      <c r="C794">
        <v>0.99</v>
      </c>
      <c r="D794">
        <v>4.4000000000000004</v>
      </c>
      <c r="E794">
        <v>26.6</v>
      </c>
      <c r="F794">
        <v>3</v>
      </c>
      <c r="G794">
        <v>0</v>
      </c>
      <c r="H794">
        <v>0</v>
      </c>
      <c r="I794">
        <v>0</v>
      </c>
      <c r="J794">
        <v>2016</v>
      </c>
      <c r="K794">
        <v>3</v>
      </c>
      <c r="L794" t="s">
        <v>12</v>
      </c>
      <c r="M794">
        <f>SUM(Pharma_Sales_Data[[#This Row],[M01AB]:[R06]])</f>
        <v>39.99</v>
      </c>
      <c r="N794" s="2">
        <f>Pharma_Sales_Data[[#This Row],[Total Drug Sales]]*150</f>
        <v>5998.5</v>
      </c>
      <c r="O794" s="2">
        <f>Pharma_Sales_Data[[#This Row],[Total Revenue]]*0.3</f>
        <v>1799.55</v>
      </c>
      <c r="P794" t="str">
        <f>IF(Pharma_Sales_Data[[#This Row],[Total Revenue]]&gt;20000,"High Value", IF(Pharma_Sales_Data[[#This Row],[Total Revenue]]&gt;=10000,"Medium Value","Low Value"))</f>
        <v>Low Value</v>
      </c>
    </row>
    <row r="795" spans="1:16" x14ac:dyDescent="0.35">
      <c r="A795" s="1">
        <v>42434</v>
      </c>
      <c r="B795">
        <v>5</v>
      </c>
      <c r="C795">
        <v>4.891</v>
      </c>
      <c r="D795">
        <v>8</v>
      </c>
      <c r="E795">
        <v>38</v>
      </c>
      <c r="F795">
        <v>9</v>
      </c>
      <c r="G795">
        <v>0</v>
      </c>
      <c r="H795">
        <v>10</v>
      </c>
      <c r="I795">
        <v>5</v>
      </c>
      <c r="J795">
        <v>2016</v>
      </c>
      <c r="K795">
        <v>3</v>
      </c>
      <c r="L795" t="s">
        <v>13</v>
      </c>
      <c r="M795">
        <f>SUM(Pharma_Sales_Data[[#This Row],[M01AB]:[R06]])</f>
        <v>79.890999999999991</v>
      </c>
      <c r="N795" s="2">
        <f>Pharma_Sales_Data[[#This Row],[Total Drug Sales]]*150</f>
        <v>11983.649999999998</v>
      </c>
      <c r="O795" s="2">
        <f>Pharma_Sales_Data[[#This Row],[Total Revenue]]*0.3</f>
        <v>3595.0949999999993</v>
      </c>
      <c r="P795" t="str">
        <f>IF(Pharma_Sales_Data[[#This Row],[Total Revenue]]&gt;20000,"High Value", IF(Pharma_Sales_Data[[#This Row],[Total Revenue]]&gt;=10000,"Medium Value","Low Value"))</f>
        <v>Medium Value</v>
      </c>
    </row>
    <row r="796" spans="1:16" x14ac:dyDescent="0.35">
      <c r="A796" s="1">
        <v>42435</v>
      </c>
      <c r="B796">
        <v>5</v>
      </c>
      <c r="C796">
        <v>8.1449999999999996</v>
      </c>
      <c r="D796">
        <v>4.9000000000000004</v>
      </c>
      <c r="E796">
        <v>79.900000000000006</v>
      </c>
      <c r="F796">
        <v>2</v>
      </c>
      <c r="G796">
        <v>0</v>
      </c>
      <c r="H796">
        <v>5</v>
      </c>
      <c r="I796">
        <v>7</v>
      </c>
      <c r="J796">
        <v>2016</v>
      </c>
      <c r="K796">
        <v>3</v>
      </c>
      <c r="L796" t="s">
        <v>14</v>
      </c>
      <c r="M796">
        <f>SUM(Pharma_Sales_Data[[#This Row],[M01AB]:[R06]])</f>
        <v>111.94500000000001</v>
      </c>
      <c r="N796" s="2">
        <f>Pharma_Sales_Data[[#This Row],[Total Drug Sales]]*150</f>
        <v>16791.75</v>
      </c>
      <c r="O796" s="2">
        <f>Pharma_Sales_Data[[#This Row],[Total Revenue]]*0.3</f>
        <v>5037.5249999999996</v>
      </c>
      <c r="P796" t="str">
        <f>IF(Pharma_Sales_Data[[#This Row],[Total Revenue]]&gt;20000,"High Value", IF(Pharma_Sales_Data[[#This Row],[Total Revenue]]&gt;=10000,"Medium Value","Low Value"))</f>
        <v>Medium Value</v>
      </c>
    </row>
    <row r="797" spans="1:16" x14ac:dyDescent="0.35">
      <c r="A797" s="1">
        <v>42436</v>
      </c>
      <c r="B797">
        <v>5.33</v>
      </c>
      <c r="C797">
        <v>7.34</v>
      </c>
      <c r="D797">
        <v>4</v>
      </c>
      <c r="E797">
        <v>43.5</v>
      </c>
      <c r="F797">
        <v>3</v>
      </c>
      <c r="G797">
        <v>1</v>
      </c>
      <c r="H797">
        <v>6</v>
      </c>
      <c r="I797">
        <v>1</v>
      </c>
      <c r="J797">
        <v>2016</v>
      </c>
      <c r="K797">
        <v>3</v>
      </c>
      <c r="L797" t="s">
        <v>15</v>
      </c>
      <c r="M797">
        <f>SUM(Pharma_Sales_Data[[#This Row],[M01AB]:[R06]])</f>
        <v>71.17</v>
      </c>
      <c r="N797" s="2">
        <f>Pharma_Sales_Data[[#This Row],[Total Drug Sales]]*150</f>
        <v>10675.5</v>
      </c>
      <c r="O797" s="2">
        <f>Pharma_Sales_Data[[#This Row],[Total Revenue]]*0.3</f>
        <v>3202.65</v>
      </c>
      <c r="P797" t="str">
        <f>IF(Pharma_Sales_Data[[#This Row],[Total Revenue]]&gt;20000,"High Value", IF(Pharma_Sales_Data[[#This Row],[Total Revenue]]&gt;=10000,"Medium Value","Low Value"))</f>
        <v>Medium Value</v>
      </c>
    </row>
    <row r="798" spans="1:16" x14ac:dyDescent="0.35">
      <c r="A798" s="1">
        <v>42437</v>
      </c>
      <c r="B798">
        <v>4</v>
      </c>
      <c r="C798">
        <v>6.66</v>
      </c>
      <c r="D798">
        <v>3</v>
      </c>
      <c r="E798">
        <v>44</v>
      </c>
      <c r="F798">
        <v>7</v>
      </c>
      <c r="G798">
        <v>0</v>
      </c>
      <c r="H798">
        <v>3</v>
      </c>
      <c r="I798">
        <v>3</v>
      </c>
      <c r="J798">
        <v>2016</v>
      </c>
      <c r="K798">
        <v>3</v>
      </c>
      <c r="L798" t="s">
        <v>16</v>
      </c>
      <c r="M798">
        <f>SUM(Pharma_Sales_Data[[#This Row],[M01AB]:[R06]])</f>
        <v>70.66</v>
      </c>
      <c r="N798" s="2">
        <f>Pharma_Sales_Data[[#This Row],[Total Drug Sales]]*150</f>
        <v>10599</v>
      </c>
      <c r="O798" s="2">
        <f>Pharma_Sales_Data[[#This Row],[Total Revenue]]*0.3</f>
        <v>3179.7</v>
      </c>
      <c r="P798" t="str">
        <f>IF(Pharma_Sales_Data[[#This Row],[Total Revenue]]&gt;20000,"High Value", IF(Pharma_Sales_Data[[#This Row],[Total Revenue]]&gt;=10000,"Medium Value","Low Value"))</f>
        <v>Medium Value</v>
      </c>
    </row>
    <row r="799" spans="1:16" x14ac:dyDescent="0.35">
      <c r="A799" s="1">
        <v>42438</v>
      </c>
      <c r="B799">
        <v>4.34</v>
      </c>
      <c r="C799">
        <v>5.67</v>
      </c>
      <c r="D799">
        <v>7</v>
      </c>
      <c r="E799">
        <v>21.8</v>
      </c>
      <c r="F799">
        <v>7</v>
      </c>
      <c r="G799">
        <v>1</v>
      </c>
      <c r="H799">
        <v>6</v>
      </c>
      <c r="I799">
        <v>4</v>
      </c>
      <c r="J799">
        <v>2016</v>
      </c>
      <c r="K799">
        <v>3</v>
      </c>
      <c r="L799" t="s">
        <v>17</v>
      </c>
      <c r="M799">
        <f>SUM(Pharma_Sales_Data[[#This Row],[M01AB]:[R06]])</f>
        <v>56.81</v>
      </c>
      <c r="N799" s="2">
        <f>Pharma_Sales_Data[[#This Row],[Total Drug Sales]]*150</f>
        <v>8521.5</v>
      </c>
      <c r="O799" s="2">
        <f>Pharma_Sales_Data[[#This Row],[Total Revenue]]*0.3</f>
        <v>2556.4499999999998</v>
      </c>
      <c r="P799" t="str">
        <f>IF(Pharma_Sales_Data[[#This Row],[Total Revenue]]&gt;20000,"High Value", IF(Pharma_Sales_Data[[#This Row],[Total Revenue]]&gt;=10000,"Medium Value","Low Value"))</f>
        <v>Low Value</v>
      </c>
    </row>
    <row r="800" spans="1:16" x14ac:dyDescent="0.35">
      <c r="A800" s="1">
        <v>42439</v>
      </c>
      <c r="B800">
        <v>6.33</v>
      </c>
      <c r="C800">
        <v>10.33</v>
      </c>
      <c r="D800">
        <v>2</v>
      </c>
      <c r="E800">
        <v>23.4</v>
      </c>
      <c r="F800">
        <v>8</v>
      </c>
      <c r="G800">
        <v>0</v>
      </c>
      <c r="H800">
        <v>2</v>
      </c>
      <c r="I800">
        <v>2</v>
      </c>
      <c r="J800">
        <v>2016</v>
      </c>
      <c r="K800">
        <v>3</v>
      </c>
      <c r="L800" t="s">
        <v>11</v>
      </c>
      <c r="M800">
        <f>SUM(Pharma_Sales_Data[[#This Row],[M01AB]:[R06]])</f>
        <v>54.06</v>
      </c>
      <c r="N800" s="2">
        <f>Pharma_Sales_Data[[#This Row],[Total Drug Sales]]*150</f>
        <v>8109</v>
      </c>
      <c r="O800" s="2">
        <f>Pharma_Sales_Data[[#This Row],[Total Revenue]]*0.3</f>
        <v>2432.6999999999998</v>
      </c>
      <c r="P800" t="str">
        <f>IF(Pharma_Sales_Data[[#This Row],[Total Revenue]]&gt;20000,"High Value", IF(Pharma_Sales_Data[[#This Row],[Total Revenue]]&gt;=10000,"Medium Value","Low Value"))</f>
        <v>Low Value</v>
      </c>
    </row>
    <row r="801" spans="1:16" x14ac:dyDescent="0.35">
      <c r="A801" s="1">
        <v>42440</v>
      </c>
      <c r="B801">
        <v>3.33</v>
      </c>
      <c r="C801">
        <v>4.3630000000000004</v>
      </c>
      <c r="D801">
        <v>6.2</v>
      </c>
      <c r="E801">
        <v>22</v>
      </c>
      <c r="F801">
        <v>8</v>
      </c>
      <c r="G801">
        <v>0</v>
      </c>
      <c r="H801">
        <v>18</v>
      </c>
      <c r="I801">
        <v>1</v>
      </c>
      <c r="J801">
        <v>2016</v>
      </c>
      <c r="K801">
        <v>3</v>
      </c>
      <c r="L801" t="s">
        <v>12</v>
      </c>
      <c r="M801">
        <f>SUM(Pharma_Sales_Data[[#This Row],[M01AB]:[R06]])</f>
        <v>62.893000000000001</v>
      </c>
      <c r="N801" s="2">
        <f>Pharma_Sales_Data[[#This Row],[Total Drug Sales]]*150</f>
        <v>9433.9500000000007</v>
      </c>
      <c r="O801" s="2">
        <f>Pharma_Sales_Data[[#This Row],[Total Revenue]]*0.3</f>
        <v>2830.1849999999999</v>
      </c>
      <c r="P801" t="str">
        <f>IF(Pharma_Sales_Data[[#This Row],[Total Revenue]]&gt;20000,"High Value", IF(Pharma_Sales_Data[[#This Row],[Total Revenue]]&gt;=10000,"Medium Value","Low Value"))</f>
        <v>Low Value</v>
      </c>
    </row>
    <row r="802" spans="1:16" x14ac:dyDescent="0.35">
      <c r="A802" s="1">
        <v>42441</v>
      </c>
      <c r="B802">
        <v>3</v>
      </c>
      <c r="C802">
        <v>6.3730000000000002</v>
      </c>
      <c r="D802">
        <v>1.4</v>
      </c>
      <c r="E802">
        <v>41.8</v>
      </c>
      <c r="F802">
        <v>4</v>
      </c>
      <c r="G802">
        <v>0</v>
      </c>
      <c r="H802">
        <v>23</v>
      </c>
      <c r="I802">
        <v>1</v>
      </c>
      <c r="J802">
        <v>2016</v>
      </c>
      <c r="K802">
        <v>3</v>
      </c>
      <c r="L802" t="s">
        <v>13</v>
      </c>
      <c r="M802">
        <f>SUM(Pharma_Sales_Data[[#This Row],[M01AB]:[R06]])</f>
        <v>80.573000000000008</v>
      </c>
      <c r="N802" s="2">
        <f>Pharma_Sales_Data[[#This Row],[Total Drug Sales]]*150</f>
        <v>12085.95</v>
      </c>
      <c r="O802" s="2">
        <f>Pharma_Sales_Data[[#This Row],[Total Revenue]]*0.3</f>
        <v>3625.7850000000003</v>
      </c>
      <c r="P802" t="str">
        <f>IF(Pharma_Sales_Data[[#This Row],[Total Revenue]]&gt;20000,"High Value", IF(Pharma_Sales_Data[[#This Row],[Total Revenue]]&gt;=10000,"Medium Value","Low Value"))</f>
        <v>Medium Value</v>
      </c>
    </row>
    <row r="803" spans="1:16" x14ac:dyDescent="0.35">
      <c r="A803" s="1">
        <v>42442</v>
      </c>
      <c r="B803">
        <v>2.5</v>
      </c>
      <c r="C803">
        <v>4.1340000000000003</v>
      </c>
      <c r="D803">
        <v>1.5</v>
      </c>
      <c r="E803">
        <v>59.2</v>
      </c>
      <c r="F803">
        <v>4</v>
      </c>
      <c r="G803">
        <v>0</v>
      </c>
      <c r="H803">
        <v>4</v>
      </c>
      <c r="I803">
        <v>0.34</v>
      </c>
      <c r="J803">
        <v>2016</v>
      </c>
      <c r="K803">
        <v>3</v>
      </c>
      <c r="L803" t="s">
        <v>14</v>
      </c>
      <c r="M803">
        <f>SUM(Pharma_Sales_Data[[#This Row],[M01AB]:[R06]])</f>
        <v>75.674000000000007</v>
      </c>
      <c r="N803" s="2">
        <f>Pharma_Sales_Data[[#This Row],[Total Drug Sales]]*150</f>
        <v>11351.1</v>
      </c>
      <c r="O803" s="2">
        <f>Pharma_Sales_Data[[#This Row],[Total Revenue]]*0.3</f>
        <v>3405.33</v>
      </c>
      <c r="P803" t="str">
        <f>IF(Pharma_Sales_Data[[#This Row],[Total Revenue]]&gt;20000,"High Value", IF(Pharma_Sales_Data[[#This Row],[Total Revenue]]&gt;=10000,"Medium Value","Low Value"))</f>
        <v>Medium Value</v>
      </c>
    </row>
    <row r="804" spans="1:16" x14ac:dyDescent="0.35">
      <c r="A804" s="1">
        <v>42443</v>
      </c>
      <c r="B804">
        <v>4.33</v>
      </c>
      <c r="C804">
        <v>3.32</v>
      </c>
      <c r="D804">
        <v>10</v>
      </c>
      <c r="E804">
        <v>35.9</v>
      </c>
      <c r="F804">
        <v>12</v>
      </c>
      <c r="G804">
        <v>0</v>
      </c>
      <c r="H804">
        <v>23</v>
      </c>
      <c r="I804">
        <v>1</v>
      </c>
      <c r="J804">
        <v>2016</v>
      </c>
      <c r="K804">
        <v>3</v>
      </c>
      <c r="L804" t="s">
        <v>15</v>
      </c>
      <c r="M804">
        <f>SUM(Pharma_Sales_Data[[#This Row],[M01AB]:[R06]])</f>
        <v>89.55</v>
      </c>
      <c r="N804" s="2">
        <f>Pharma_Sales_Data[[#This Row],[Total Drug Sales]]*150</f>
        <v>13432.5</v>
      </c>
      <c r="O804" s="2">
        <f>Pharma_Sales_Data[[#This Row],[Total Revenue]]*0.3</f>
        <v>4029.75</v>
      </c>
      <c r="P804" t="str">
        <f>IF(Pharma_Sales_Data[[#This Row],[Total Revenue]]&gt;20000,"High Value", IF(Pharma_Sales_Data[[#This Row],[Total Revenue]]&gt;=10000,"Medium Value","Low Value"))</f>
        <v>Medium Value</v>
      </c>
    </row>
    <row r="805" spans="1:16" x14ac:dyDescent="0.35">
      <c r="A805" s="1">
        <v>42444</v>
      </c>
      <c r="B805">
        <v>5.33</v>
      </c>
      <c r="C805">
        <v>3.32</v>
      </c>
      <c r="D805">
        <v>2</v>
      </c>
      <c r="E805">
        <v>24</v>
      </c>
      <c r="F805">
        <v>7</v>
      </c>
      <c r="G805">
        <v>0</v>
      </c>
      <c r="H805">
        <v>18</v>
      </c>
      <c r="I805">
        <v>3</v>
      </c>
      <c r="J805">
        <v>2016</v>
      </c>
      <c r="K805">
        <v>3</v>
      </c>
      <c r="L805" t="s">
        <v>16</v>
      </c>
      <c r="M805">
        <f>SUM(Pharma_Sales_Data[[#This Row],[M01AB]:[R06]])</f>
        <v>62.65</v>
      </c>
      <c r="N805" s="2">
        <f>Pharma_Sales_Data[[#This Row],[Total Drug Sales]]*150</f>
        <v>9397.5</v>
      </c>
      <c r="O805" s="2">
        <f>Pharma_Sales_Data[[#This Row],[Total Revenue]]*0.3</f>
        <v>2819.25</v>
      </c>
      <c r="P805" t="str">
        <f>IF(Pharma_Sales_Data[[#This Row],[Total Revenue]]&gt;20000,"High Value", IF(Pharma_Sales_Data[[#This Row],[Total Revenue]]&gt;=10000,"Medium Value","Low Value"))</f>
        <v>Low Value</v>
      </c>
    </row>
    <row r="806" spans="1:16" x14ac:dyDescent="0.35">
      <c r="A806" s="1">
        <v>42445</v>
      </c>
      <c r="B806">
        <v>5.33</v>
      </c>
      <c r="C806">
        <v>13.34</v>
      </c>
      <c r="D806">
        <v>5.7</v>
      </c>
      <c r="E806">
        <v>37.4</v>
      </c>
      <c r="F806">
        <v>16</v>
      </c>
      <c r="G806">
        <v>0</v>
      </c>
      <c r="H806">
        <v>4</v>
      </c>
      <c r="I806">
        <v>4</v>
      </c>
      <c r="J806">
        <v>2016</v>
      </c>
      <c r="K806">
        <v>3</v>
      </c>
      <c r="L806" t="s">
        <v>17</v>
      </c>
      <c r="M806">
        <f>SUM(Pharma_Sales_Data[[#This Row],[M01AB]:[R06]])</f>
        <v>85.77</v>
      </c>
      <c r="N806" s="2">
        <f>Pharma_Sales_Data[[#This Row],[Total Drug Sales]]*150</f>
        <v>12865.5</v>
      </c>
      <c r="O806" s="2">
        <f>Pharma_Sales_Data[[#This Row],[Total Revenue]]*0.3</f>
        <v>3859.6499999999996</v>
      </c>
      <c r="P806" t="str">
        <f>IF(Pharma_Sales_Data[[#This Row],[Total Revenue]]&gt;20000,"High Value", IF(Pharma_Sales_Data[[#This Row],[Total Revenue]]&gt;=10000,"Medium Value","Low Value"))</f>
        <v>Medium Value</v>
      </c>
    </row>
    <row r="807" spans="1:16" x14ac:dyDescent="0.35">
      <c r="A807" s="1">
        <v>42446</v>
      </c>
      <c r="B807">
        <v>5.66</v>
      </c>
      <c r="C807">
        <v>5.3959999999999999</v>
      </c>
      <c r="D807">
        <v>5</v>
      </c>
      <c r="E807">
        <v>60.2</v>
      </c>
      <c r="F807">
        <v>10</v>
      </c>
      <c r="G807">
        <v>0</v>
      </c>
      <c r="H807">
        <v>8</v>
      </c>
      <c r="I807">
        <v>5</v>
      </c>
      <c r="J807">
        <v>2016</v>
      </c>
      <c r="K807">
        <v>3</v>
      </c>
      <c r="L807" t="s">
        <v>11</v>
      </c>
      <c r="M807">
        <f>SUM(Pharma_Sales_Data[[#This Row],[M01AB]:[R06]])</f>
        <v>99.256</v>
      </c>
      <c r="N807" s="2">
        <f>Pharma_Sales_Data[[#This Row],[Total Drug Sales]]*150</f>
        <v>14888.4</v>
      </c>
      <c r="O807" s="2">
        <f>Pharma_Sales_Data[[#This Row],[Total Revenue]]*0.3</f>
        <v>4466.5199999999995</v>
      </c>
      <c r="P807" t="str">
        <f>IF(Pharma_Sales_Data[[#This Row],[Total Revenue]]&gt;20000,"High Value", IF(Pharma_Sales_Data[[#This Row],[Total Revenue]]&gt;=10000,"Medium Value","Low Value"))</f>
        <v>Medium Value</v>
      </c>
    </row>
    <row r="808" spans="1:16" x14ac:dyDescent="0.35">
      <c r="A808" s="1">
        <v>42447</v>
      </c>
      <c r="B808">
        <v>3.34</v>
      </c>
      <c r="C808">
        <v>5.3529999999999998</v>
      </c>
      <c r="D808">
        <v>5.2</v>
      </c>
      <c r="E808">
        <v>25.462</v>
      </c>
      <c r="F808">
        <v>15</v>
      </c>
      <c r="G808">
        <v>2</v>
      </c>
      <c r="H808">
        <v>8</v>
      </c>
      <c r="I808">
        <v>3</v>
      </c>
      <c r="J808">
        <v>2016</v>
      </c>
      <c r="K808">
        <v>3</v>
      </c>
      <c r="L808" t="s">
        <v>12</v>
      </c>
      <c r="M808">
        <f>SUM(Pharma_Sales_Data[[#This Row],[M01AB]:[R06]])</f>
        <v>67.355000000000004</v>
      </c>
      <c r="N808" s="2">
        <f>Pharma_Sales_Data[[#This Row],[Total Drug Sales]]*150</f>
        <v>10103.25</v>
      </c>
      <c r="O808" s="2">
        <f>Pharma_Sales_Data[[#This Row],[Total Revenue]]*0.3</f>
        <v>3030.9749999999999</v>
      </c>
      <c r="P808" t="str">
        <f>IF(Pharma_Sales_Data[[#This Row],[Total Revenue]]&gt;20000,"High Value", IF(Pharma_Sales_Data[[#This Row],[Total Revenue]]&gt;=10000,"Medium Value","Low Value"))</f>
        <v>Medium Value</v>
      </c>
    </row>
    <row r="809" spans="1:16" x14ac:dyDescent="0.35">
      <c r="A809" s="1">
        <v>42448</v>
      </c>
      <c r="B809">
        <v>10.66</v>
      </c>
      <c r="C809">
        <v>8.33</v>
      </c>
      <c r="D809">
        <v>2.8</v>
      </c>
      <c r="E809">
        <v>19.5</v>
      </c>
      <c r="F809">
        <v>6</v>
      </c>
      <c r="G809">
        <v>1</v>
      </c>
      <c r="H809">
        <v>5</v>
      </c>
      <c r="I809">
        <v>5</v>
      </c>
      <c r="J809">
        <v>2016</v>
      </c>
      <c r="K809">
        <v>3</v>
      </c>
      <c r="L809" t="s">
        <v>13</v>
      </c>
      <c r="M809">
        <f>SUM(Pharma_Sales_Data[[#This Row],[M01AB]:[R06]])</f>
        <v>58.290000000000006</v>
      </c>
      <c r="N809" s="2">
        <f>Pharma_Sales_Data[[#This Row],[Total Drug Sales]]*150</f>
        <v>8743.5000000000018</v>
      </c>
      <c r="O809" s="2">
        <f>Pharma_Sales_Data[[#This Row],[Total Revenue]]*0.3</f>
        <v>2623.0500000000006</v>
      </c>
      <c r="P809" t="str">
        <f>IF(Pharma_Sales_Data[[#This Row],[Total Revenue]]&gt;20000,"High Value", IF(Pharma_Sales_Data[[#This Row],[Total Revenue]]&gt;=10000,"Medium Value","Low Value"))</f>
        <v>Low Value</v>
      </c>
    </row>
    <row r="810" spans="1:16" x14ac:dyDescent="0.35">
      <c r="A810" s="1">
        <v>42449</v>
      </c>
      <c r="B810">
        <v>7.99</v>
      </c>
      <c r="C810">
        <v>9.6929999999999996</v>
      </c>
      <c r="D810">
        <v>2.2000000000000002</v>
      </c>
      <c r="E810">
        <v>42.2</v>
      </c>
      <c r="F810">
        <v>1</v>
      </c>
      <c r="G810">
        <v>0</v>
      </c>
      <c r="H810">
        <v>15</v>
      </c>
      <c r="I810">
        <v>5</v>
      </c>
      <c r="J810">
        <v>2016</v>
      </c>
      <c r="K810">
        <v>3</v>
      </c>
      <c r="L810" t="s">
        <v>14</v>
      </c>
      <c r="M810">
        <f>SUM(Pharma_Sales_Data[[#This Row],[M01AB]:[R06]])</f>
        <v>83.082999999999998</v>
      </c>
      <c r="N810" s="2">
        <f>Pharma_Sales_Data[[#This Row],[Total Drug Sales]]*150</f>
        <v>12462.449999999999</v>
      </c>
      <c r="O810" s="2">
        <f>Pharma_Sales_Data[[#This Row],[Total Revenue]]*0.3</f>
        <v>3738.7349999999997</v>
      </c>
      <c r="P810" t="str">
        <f>IF(Pharma_Sales_Data[[#This Row],[Total Revenue]]&gt;20000,"High Value", IF(Pharma_Sales_Data[[#This Row],[Total Revenue]]&gt;=10000,"Medium Value","Low Value"))</f>
        <v>Medium Value</v>
      </c>
    </row>
    <row r="811" spans="1:16" x14ac:dyDescent="0.35">
      <c r="A811" s="1">
        <v>42450</v>
      </c>
      <c r="B811">
        <v>5</v>
      </c>
      <c r="C811">
        <v>8.0559999999999992</v>
      </c>
      <c r="D811">
        <v>6</v>
      </c>
      <c r="E811">
        <v>45.7</v>
      </c>
      <c r="F811">
        <v>11</v>
      </c>
      <c r="G811">
        <v>0</v>
      </c>
      <c r="H811">
        <v>36</v>
      </c>
      <c r="I811">
        <v>7</v>
      </c>
      <c r="J811">
        <v>2016</v>
      </c>
      <c r="K811">
        <v>3</v>
      </c>
      <c r="L811" t="s">
        <v>15</v>
      </c>
      <c r="M811">
        <f>SUM(Pharma_Sales_Data[[#This Row],[M01AB]:[R06]])</f>
        <v>118.756</v>
      </c>
      <c r="N811" s="2">
        <f>Pharma_Sales_Data[[#This Row],[Total Drug Sales]]*150</f>
        <v>17813.400000000001</v>
      </c>
      <c r="O811" s="2">
        <f>Pharma_Sales_Data[[#This Row],[Total Revenue]]*0.3</f>
        <v>5344.02</v>
      </c>
      <c r="P811" t="str">
        <f>IF(Pharma_Sales_Data[[#This Row],[Total Revenue]]&gt;20000,"High Value", IF(Pharma_Sales_Data[[#This Row],[Total Revenue]]&gt;=10000,"Medium Value","Low Value"))</f>
        <v>Medium Value</v>
      </c>
    </row>
    <row r="812" spans="1:16" x14ac:dyDescent="0.35">
      <c r="A812" s="1">
        <v>42451</v>
      </c>
      <c r="B812">
        <v>2.33</v>
      </c>
      <c r="C812">
        <v>0</v>
      </c>
      <c r="D812">
        <v>5</v>
      </c>
      <c r="E812">
        <v>42.188000000000002</v>
      </c>
      <c r="F812">
        <v>12</v>
      </c>
      <c r="G812">
        <v>2</v>
      </c>
      <c r="H812">
        <v>4</v>
      </c>
      <c r="I812">
        <v>2</v>
      </c>
      <c r="J812">
        <v>2016</v>
      </c>
      <c r="K812">
        <v>3</v>
      </c>
      <c r="L812" t="s">
        <v>16</v>
      </c>
      <c r="M812">
        <f>SUM(Pharma_Sales_Data[[#This Row],[M01AB]:[R06]])</f>
        <v>69.518000000000001</v>
      </c>
      <c r="N812" s="2">
        <f>Pharma_Sales_Data[[#This Row],[Total Drug Sales]]*150</f>
        <v>10427.700000000001</v>
      </c>
      <c r="O812" s="2">
        <f>Pharma_Sales_Data[[#This Row],[Total Revenue]]*0.3</f>
        <v>3128.31</v>
      </c>
      <c r="P812" t="str">
        <f>IF(Pharma_Sales_Data[[#This Row],[Total Revenue]]&gt;20000,"High Value", IF(Pharma_Sales_Data[[#This Row],[Total Revenue]]&gt;=10000,"Medium Value","Low Value"))</f>
        <v>Medium Value</v>
      </c>
    </row>
    <row r="813" spans="1:16" x14ac:dyDescent="0.35">
      <c r="A813" s="1">
        <v>42452</v>
      </c>
      <c r="B813">
        <v>4</v>
      </c>
      <c r="C813">
        <v>3</v>
      </c>
      <c r="D813">
        <v>6</v>
      </c>
      <c r="E813">
        <v>24.25</v>
      </c>
      <c r="F813">
        <v>22</v>
      </c>
      <c r="G813">
        <v>1</v>
      </c>
      <c r="H813">
        <v>0</v>
      </c>
      <c r="I813">
        <v>3</v>
      </c>
      <c r="J813">
        <v>2016</v>
      </c>
      <c r="K813">
        <v>3</v>
      </c>
      <c r="L813" t="s">
        <v>17</v>
      </c>
      <c r="M813">
        <f>SUM(Pharma_Sales_Data[[#This Row],[M01AB]:[R06]])</f>
        <v>63.25</v>
      </c>
      <c r="N813" s="2">
        <f>Pharma_Sales_Data[[#This Row],[Total Drug Sales]]*150</f>
        <v>9487.5</v>
      </c>
      <c r="O813" s="2">
        <f>Pharma_Sales_Data[[#This Row],[Total Revenue]]*0.3</f>
        <v>2846.25</v>
      </c>
      <c r="P813" t="str">
        <f>IF(Pharma_Sales_Data[[#This Row],[Total Revenue]]&gt;20000,"High Value", IF(Pharma_Sales_Data[[#This Row],[Total Revenue]]&gt;=10000,"Medium Value","Low Value"))</f>
        <v>Low Value</v>
      </c>
    </row>
    <row r="814" spans="1:16" x14ac:dyDescent="0.35">
      <c r="A814" s="1">
        <v>42453</v>
      </c>
      <c r="B814">
        <v>6.84</v>
      </c>
      <c r="C814">
        <v>2</v>
      </c>
      <c r="D814">
        <v>3</v>
      </c>
      <c r="E814">
        <v>32</v>
      </c>
      <c r="F814">
        <v>4</v>
      </c>
      <c r="G814">
        <v>0</v>
      </c>
      <c r="H814">
        <v>8</v>
      </c>
      <c r="I814">
        <v>2</v>
      </c>
      <c r="J814">
        <v>2016</v>
      </c>
      <c r="K814">
        <v>3</v>
      </c>
      <c r="L814" t="s">
        <v>11</v>
      </c>
      <c r="M814">
        <f>SUM(Pharma_Sales_Data[[#This Row],[M01AB]:[R06]])</f>
        <v>57.84</v>
      </c>
      <c r="N814" s="2">
        <f>Pharma_Sales_Data[[#This Row],[Total Drug Sales]]*150</f>
        <v>8676</v>
      </c>
      <c r="O814" s="2">
        <f>Pharma_Sales_Data[[#This Row],[Total Revenue]]*0.3</f>
        <v>2602.7999999999997</v>
      </c>
      <c r="P814" t="str">
        <f>IF(Pharma_Sales_Data[[#This Row],[Total Revenue]]&gt;20000,"High Value", IF(Pharma_Sales_Data[[#This Row],[Total Revenue]]&gt;=10000,"Medium Value","Low Value"))</f>
        <v>Low Value</v>
      </c>
    </row>
    <row r="815" spans="1:16" x14ac:dyDescent="0.35">
      <c r="A815" s="1">
        <v>42454</v>
      </c>
      <c r="B815">
        <v>7</v>
      </c>
      <c r="C815">
        <v>7.35</v>
      </c>
      <c r="D815">
        <v>4.2</v>
      </c>
      <c r="E815">
        <v>42.8</v>
      </c>
      <c r="F815">
        <v>8</v>
      </c>
      <c r="G815">
        <v>0</v>
      </c>
      <c r="H815">
        <v>3</v>
      </c>
      <c r="I815">
        <v>3</v>
      </c>
      <c r="J815">
        <v>2016</v>
      </c>
      <c r="K815">
        <v>3</v>
      </c>
      <c r="L815" t="s">
        <v>12</v>
      </c>
      <c r="M815">
        <f>SUM(Pharma_Sales_Data[[#This Row],[M01AB]:[R06]])</f>
        <v>75.349999999999994</v>
      </c>
      <c r="N815" s="2">
        <f>Pharma_Sales_Data[[#This Row],[Total Drug Sales]]*150</f>
        <v>11302.5</v>
      </c>
      <c r="O815" s="2">
        <f>Pharma_Sales_Data[[#This Row],[Total Revenue]]*0.3</f>
        <v>3390.75</v>
      </c>
      <c r="P815" t="str">
        <f>IF(Pharma_Sales_Data[[#This Row],[Total Revenue]]&gt;20000,"High Value", IF(Pharma_Sales_Data[[#This Row],[Total Revenue]]&gt;=10000,"Medium Value","Low Value"))</f>
        <v>Medium Value</v>
      </c>
    </row>
    <row r="816" spans="1:16" x14ac:dyDescent="0.35">
      <c r="A816" s="1">
        <v>42455</v>
      </c>
      <c r="B816">
        <v>2.5</v>
      </c>
      <c r="C816">
        <v>0.66</v>
      </c>
      <c r="D816">
        <v>7.5</v>
      </c>
      <c r="E816">
        <v>33.25</v>
      </c>
      <c r="F816">
        <v>4</v>
      </c>
      <c r="G816">
        <v>0</v>
      </c>
      <c r="H816">
        <v>0</v>
      </c>
      <c r="I816">
        <v>5</v>
      </c>
      <c r="J816">
        <v>2016</v>
      </c>
      <c r="K816">
        <v>3</v>
      </c>
      <c r="L816" t="s">
        <v>13</v>
      </c>
      <c r="M816">
        <f>SUM(Pharma_Sales_Data[[#This Row],[M01AB]:[R06]])</f>
        <v>52.91</v>
      </c>
      <c r="N816" s="2">
        <f>Pharma_Sales_Data[[#This Row],[Total Drug Sales]]*150</f>
        <v>7936.4999999999991</v>
      </c>
      <c r="O816" s="2">
        <f>Pharma_Sales_Data[[#This Row],[Total Revenue]]*0.3</f>
        <v>2380.9499999999998</v>
      </c>
      <c r="P816" t="str">
        <f>IF(Pharma_Sales_Data[[#This Row],[Total Revenue]]&gt;20000,"High Value", IF(Pharma_Sales_Data[[#This Row],[Total Revenue]]&gt;=10000,"Medium Value","Low Value"))</f>
        <v>Low Value</v>
      </c>
    </row>
    <row r="817" spans="1:16" x14ac:dyDescent="0.35">
      <c r="A817" s="1">
        <v>42456</v>
      </c>
      <c r="B817">
        <v>7.83</v>
      </c>
      <c r="C817">
        <v>5.4489999999999998</v>
      </c>
      <c r="D817">
        <v>13.7</v>
      </c>
      <c r="E817">
        <v>63.3</v>
      </c>
      <c r="F817">
        <v>11</v>
      </c>
      <c r="G817">
        <v>1</v>
      </c>
      <c r="H817">
        <v>1</v>
      </c>
      <c r="I817">
        <v>4</v>
      </c>
      <c r="J817">
        <v>2016</v>
      </c>
      <c r="K817">
        <v>3</v>
      </c>
      <c r="L817" t="s">
        <v>14</v>
      </c>
      <c r="M817">
        <f>SUM(Pharma_Sales_Data[[#This Row],[M01AB]:[R06]])</f>
        <v>107.279</v>
      </c>
      <c r="N817" s="2">
        <f>Pharma_Sales_Data[[#This Row],[Total Drug Sales]]*150</f>
        <v>16091.849999999999</v>
      </c>
      <c r="O817" s="2">
        <f>Pharma_Sales_Data[[#This Row],[Total Revenue]]*0.3</f>
        <v>4827.5549999999994</v>
      </c>
      <c r="P817" t="str">
        <f>IF(Pharma_Sales_Data[[#This Row],[Total Revenue]]&gt;20000,"High Value", IF(Pharma_Sales_Data[[#This Row],[Total Revenue]]&gt;=10000,"Medium Value","Low Value"))</f>
        <v>Medium Value</v>
      </c>
    </row>
    <row r="818" spans="1:16" x14ac:dyDescent="0.35">
      <c r="A818" s="1">
        <v>42457</v>
      </c>
      <c r="B818">
        <v>3.34</v>
      </c>
      <c r="C818">
        <v>2.34</v>
      </c>
      <c r="D818">
        <v>1.7</v>
      </c>
      <c r="E818">
        <v>24.6</v>
      </c>
      <c r="F818">
        <v>20</v>
      </c>
      <c r="G818">
        <v>0</v>
      </c>
      <c r="H818">
        <v>4</v>
      </c>
      <c r="I818">
        <v>4.5</v>
      </c>
      <c r="J818">
        <v>2016</v>
      </c>
      <c r="K818">
        <v>3</v>
      </c>
      <c r="L818" t="s">
        <v>15</v>
      </c>
      <c r="M818">
        <f>SUM(Pharma_Sales_Data[[#This Row],[M01AB]:[R06]])</f>
        <v>60.480000000000004</v>
      </c>
      <c r="N818" s="2">
        <f>Pharma_Sales_Data[[#This Row],[Total Drug Sales]]*150</f>
        <v>9072</v>
      </c>
      <c r="O818" s="2">
        <f>Pharma_Sales_Data[[#This Row],[Total Revenue]]*0.3</f>
        <v>2721.6</v>
      </c>
      <c r="P818" t="str">
        <f>IF(Pharma_Sales_Data[[#This Row],[Total Revenue]]&gt;20000,"High Value", IF(Pharma_Sales_Data[[#This Row],[Total Revenue]]&gt;=10000,"Medium Value","Low Value"))</f>
        <v>Low Value</v>
      </c>
    </row>
    <row r="819" spans="1:16" x14ac:dyDescent="0.35">
      <c r="A819" s="1">
        <v>42458</v>
      </c>
      <c r="B819">
        <v>5.68</v>
      </c>
      <c r="C819">
        <v>1.33</v>
      </c>
      <c r="D819">
        <v>3.2</v>
      </c>
      <c r="E819">
        <v>36.200000000000003</v>
      </c>
      <c r="F819">
        <v>4</v>
      </c>
      <c r="G819">
        <v>0</v>
      </c>
      <c r="H819">
        <v>12</v>
      </c>
      <c r="I819">
        <v>1</v>
      </c>
      <c r="J819">
        <v>2016</v>
      </c>
      <c r="K819">
        <v>3</v>
      </c>
      <c r="L819" t="s">
        <v>16</v>
      </c>
      <c r="M819">
        <f>SUM(Pharma_Sales_Data[[#This Row],[M01AB]:[R06]])</f>
        <v>63.410000000000004</v>
      </c>
      <c r="N819" s="2">
        <f>Pharma_Sales_Data[[#This Row],[Total Drug Sales]]*150</f>
        <v>9511.5</v>
      </c>
      <c r="O819" s="2">
        <f>Pharma_Sales_Data[[#This Row],[Total Revenue]]*0.3</f>
        <v>2853.45</v>
      </c>
      <c r="P819" t="str">
        <f>IF(Pharma_Sales_Data[[#This Row],[Total Revenue]]&gt;20000,"High Value", IF(Pharma_Sales_Data[[#This Row],[Total Revenue]]&gt;=10000,"Medium Value","Low Value"))</f>
        <v>Low Value</v>
      </c>
    </row>
    <row r="820" spans="1:16" x14ac:dyDescent="0.35">
      <c r="A820" s="1">
        <v>42459</v>
      </c>
      <c r="B820">
        <v>7.16</v>
      </c>
      <c r="C820">
        <v>2.68</v>
      </c>
      <c r="D820">
        <v>7.4</v>
      </c>
      <c r="E820">
        <v>22.2</v>
      </c>
      <c r="F820">
        <v>3</v>
      </c>
      <c r="G820">
        <v>0</v>
      </c>
      <c r="H820">
        <v>12</v>
      </c>
      <c r="I820">
        <v>5</v>
      </c>
      <c r="J820">
        <v>2016</v>
      </c>
      <c r="K820">
        <v>3</v>
      </c>
      <c r="L820" t="s">
        <v>17</v>
      </c>
      <c r="M820">
        <f>SUM(Pharma_Sales_Data[[#This Row],[M01AB]:[R06]])</f>
        <v>59.44</v>
      </c>
      <c r="N820" s="2">
        <f>Pharma_Sales_Data[[#This Row],[Total Drug Sales]]*150</f>
        <v>8916</v>
      </c>
      <c r="O820" s="2">
        <f>Pharma_Sales_Data[[#This Row],[Total Revenue]]*0.3</f>
        <v>2674.7999999999997</v>
      </c>
      <c r="P820" t="str">
        <f>IF(Pharma_Sales_Data[[#This Row],[Total Revenue]]&gt;20000,"High Value", IF(Pharma_Sales_Data[[#This Row],[Total Revenue]]&gt;=10000,"Medium Value","Low Value"))</f>
        <v>Low Value</v>
      </c>
    </row>
    <row r="821" spans="1:16" x14ac:dyDescent="0.35">
      <c r="A821" s="1">
        <v>42460</v>
      </c>
      <c r="B821">
        <v>2.33</v>
      </c>
      <c r="C821">
        <v>8.68</v>
      </c>
      <c r="D821">
        <v>2.9</v>
      </c>
      <c r="E821">
        <v>31.25</v>
      </c>
      <c r="F821">
        <v>1</v>
      </c>
      <c r="G821">
        <v>0</v>
      </c>
      <c r="H821">
        <v>5</v>
      </c>
      <c r="I821">
        <v>5</v>
      </c>
      <c r="J821">
        <v>2016</v>
      </c>
      <c r="K821">
        <v>3</v>
      </c>
      <c r="L821" t="s">
        <v>11</v>
      </c>
      <c r="M821">
        <f>SUM(Pharma_Sales_Data[[#This Row],[M01AB]:[R06]])</f>
        <v>56.16</v>
      </c>
      <c r="N821" s="2">
        <f>Pharma_Sales_Data[[#This Row],[Total Drug Sales]]*150</f>
        <v>8424</v>
      </c>
      <c r="O821" s="2">
        <f>Pharma_Sales_Data[[#This Row],[Total Revenue]]*0.3</f>
        <v>2527.1999999999998</v>
      </c>
      <c r="P821" t="str">
        <f>IF(Pharma_Sales_Data[[#This Row],[Total Revenue]]&gt;20000,"High Value", IF(Pharma_Sales_Data[[#This Row],[Total Revenue]]&gt;=10000,"Medium Value","Low Value"))</f>
        <v>Low Value</v>
      </c>
    </row>
    <row r="822" spans="1:16" x14ac:dyDescent="0.35">
      <c r="A822" s="1">
        <v>42461</v>
      </c>
      <c r="B822">
        <v>6.33</v>
      </c>
      <c r="C822">
        <v>3.01</v>
      </c>
      <c r="D822">
        <v>2.7</v>
      </c>
      <c r="E822">
        <v>50.4</v>
      </c>
      <c r="F822">
        <v>4</v>
      </c>
      <c r="G822">
        <v>0</v>
      </c>
      <c r="H822">
        <v>16</v>
      </c>
      <c r="I822">
        <v>10.5</v>
      </c>
      <c r="J822">
        <v>2016</v>
      </c>
      <c r="K822">
        <v>4</v>
      </c>
      <c r="L822" t="s">
        <v>12</v>
      </c>
      <c r="M822">
        <f>SUM(Pharma_Sales_Data[[#This Row],[M01AB]:[R06]])</f>
        <v>92.94</v>
      </c>
      <c r="N822" s="2">
        <f>Pharma_Sales_Data[[#This Row],[Total Drug Sales]]*150</f>
        <v>13941</v>
      </c>
      <c r="O822" s="2">
        <f>Pharma_Sales_Data[[#This Row],[Total Revenue]]*0.3</f>
        <v>4182.3</v>
      </c>
      <c r="P822" t="str">
        <f>IF(Pharma_Sales_Data[[#This Row],[Total Revenue]]&gt;20000,"High Value", IF(Pharma_Sales_Data[[#This Row],[Total Revenue]]&gt;=10000,"Medium Value","Low Value"))</f>
        <v>Medium Value</v>
      </c>
    </row>
    <row r="823" spans="1:16" x14ac:dyDescent="0.35">
      <c r="A823" s="1">
        <v>42462</v>
      </c>
      <c r="B823">
        <v>3.67</v>
      </c>
      <c r="C823">
        <v>2</v>
      </c>
      <c r="D823">
        <v>7</v>
      </c>
      <c r="E823">
        <v>32.299999999999997</v>
      </c>
      <c r="F823">
        <v>4</v>
      </c>
      <c r="G823">
        <v>0</v>
      </c>
      <c r="H823">
        <v>19</v>
      </c>
      <c r="I823">
        <v>7.4</v>
      </c>
      <c r="J823">
        <v>2016</v>
      </c>
      <c r="K823">
        <v>4</v>
      </c>
      <c r="L823" t="s">
        <v>13</v>
      </c>
      <c r="M823">
        <f>SUM(Pharma_Sales_Data[[#This Row],[M01AB]:[R06]])</f>
        <v>75.37</v>
      </c>
      <c r="N823" s="2">
        <f>Pharma_Sales_Data[[#This Row],[Total Drug Sales]]*150</f>
        <v>11305.5</v>
      </c>
      <c r="O823" s="2">
        <f>Pharma_Sales_Data[[#This Row],[Total Revenue]]*0.3</f>
        <v>3391.65</v>
      </c>
      <c r="P823" t="str">
        <f>IF(Pharma_Sales_Data[[#This Row],[Total Revenue]]&gt;20000,"High Value", IF(Pharma_Sales_Data[[#This Row],[Total Revenue]]&gt;=10000,"Medium Value","Low Value"))</f>
        <v>Medium Value</v>
      </c>
    </row>
    <row r="824" spans="1:16" x14ac:dyDescent="0.35">
      <c r="A824" s="1">
        <v>42463</v>
      </c>
      <c r="B824">
        <v>9.67</v>
      </c>
      <c r="C824">
        <v>7.3959999999999999</v>
      </c>
      <c r="D824">
        <v>5.3</v>
      </c>
      <c r="E824">
        <v>73.5</v>
      </c>
      <c r="F824">
        <v>5</v>
      </c>
      <c r="G824">
        <v>0</v>
      </c>
      <c r="H824">
        <v>6</v>
      </c>
      <c r="I824">
        <v>11</v>
      </c>
      <c r="J824">
        <v>2016</v>
      </c>
      <c r="K824">
        <v>4</v>
      </c>
      <c r="L824" t="s">
        <v>14</v>
      </c>
      <c r="M824">
        <f>SUM(Pharma_Sales_Data[[#This Row],[M01AB]:[R06]])</f>
        <v>117.866</v>
      </c>
      <c r="N824" s="2">
        <f>Pharma_Sales_Data[[#This Row],[Total Drug Sales]]*150</f>
        <v>17679.900000000001</v>
      </c>
      <c r="O824" s="2">
        <f>Pharma_Sales_Data[[#This Row],[Total Revenue]]*0.3</f>
        <v>5303.97</v>
      </c>
      <c r="P824" t="str">
        <f>IF(Pharma_Sales_Data[[#This Row],[Total Revenue]]&gt;20000,"High Value", IF(Pharma_Sales_Data[[#This Row],[Total Revenue]]&gt;=10000,"Medium Value","Low Value"))</f>
        <v>Medium Value</v>
      </c>
    </row>
    <row r="825" spans="1:16" x14ac:dyDescent="0.35">
      <c r="A825" s="1">
        <v>42464</v>
      </c>
      <c r="B825">
        <v>7</v>
      </c>
      <c r="C825">
        <v>5.2309999999999999</v>
      </c>
      <c r="D825">
        <v>5</v>
      </c>
      <c r="E825">
        <v>21.6</v>
      </c>
      <c r="F825">
        <v>3</v>
      </c>
      <c r="G825">
        <v>1</v>
      </c>
      <c r="H825">
        <v>11</v>
      </c>
      <c r="I825">
        <v>2</v>
      </c>
      <c r="J825">
        <v>2016</v>
      </c>
      <c r="K825">
        <v>4</v>
      </c>
      <c r="L825" t="s">
        <v>15</v>
      </c>
      <c r="M825">
        <f>SUM(Pharma_Sales_Data[[#This Row],[M01AB]:[R06]])</f>
        <v>55.831000000000003</v>
      </c>
      <c r="N825" s="2">
        <f>Pharma_Sales_Data[[#This Row],[Total Drug Sales]]*150</f>
        <v>8374.65</v>
      </c>
      <c r="O825" s="2">
        <f>Pharma_Sales_Data[[#This Row],[Total Revenue]]*0.3</f>
        <v>2512.395</v>
      </c>
      <c r="P825" t="str">
        <f>IF(Pharma_Sales_Data[[#This Row],[Total Revenue]]&gt;20000,"High Value", IF(Pharma_Sales_Data[[#This Row],[Total Revenue]]&gt;=10000,"Medium Value","Low Value"))</f>
        <v>Low Value</v>
      </c>
    </row>
    <row r="826" spans="1:16" x14ac:dyDescent="0.35">
      <c r="A826" s="1">
        <v>42465</v>
      </c>
      <c r="B826">
        <v>6</v>
      </c>
      <c r="C826">
        <v>5.33</v>
      </c>
      <c r="D826">
        <v>4</v>
      </c>
      <c r="E826">
        <v>40.299999999999997</v>
      </c>
      <c r="F826">
        <v>5</v>
      </c>
      <c r="G826">
        <v>1</v>
      </c>
      <c r="H826">
        <v>11</v>
      </c>
      <c r="I826">
        <v>12</v>
      </c>
      <c r="J826">
        <v>2016</v>
      </c>
      <c r="K826">
        <v>4</v>
      </c>
      <c r="L826" t="s">
        <v>16</v>
      </c>
      <c r="M826">
        <f>SUM(Pharma_Sales_Data[[#This Row],[M01AB]:[R06]])</f>
        <v>84.63</v>
      </c>
      <c r="N826" s="2">
        <f>Pharma_Sales_Data[[#This Row],[Total Drug Sales]]*150</f>
        <v>12694.5</v>
      </c>
      <c r="O826" s="2">
        <f>Pharma_Sales_Data[[#This Row],[Total Revenue]]*0.3</f>
        <v>3808.35</v>
      </c>
      <c r="P826" t="str">
        <f>IF(Pharma_Sales_Data[[#This Row],[Total Revenue]]&gt;20000,"High Value", IF(Pharma_Sales_Data[[#This Row],[Total Revenue]]&gt;=10000,"Medium Value","Low Value"))</f>
        <v>Medium Value</v>
      </c>
    </row>
    <row r="827" spans="1:16" x14ac:dyDescent="0.35">
      <c r="A827" s="1">
        <v>42466</v>
      </c>
      <c r="B827">
        <v>6.66</v>
      </c>
      <c r="C827">
        <v>5.3630000000000004</v>
      </c>
      <c r="D827">
        <v>2</v>
      </c>
      <c r="E827">
        <v>15.25</v>
      </c>
      <c r="F827">
        <v>7</v>
      </c>
      <c r="G827">
        <v>0</v>
      </c>
      <c r="H827">
        <v>6</v>
      </c>
      <c r="I827">
        <v>3</v>
      </c>
      <c r="J827">
        <v>2016</v>
      </c>
      <c r="K827">
        <v>4</v>
      </c>
      <c r="L827" t="s">
        <v>17</v>
      </c>
      <c r="M827">
        <f>SUM(Pharma_Sales_Data[[#This Row],[M01AB]:[R06]])</f>
        <v>45.272999999999996</v>
      </c>
      <c r="N827" s="2">
        <f>Pharma_Sales_Data[[#This Row],[Total Drug Sales]]*150</f>
        <v>6790.95</v>
      </c>
      <c r="O827" s="2">
        <f>Pharma_Sales_Data[[#This Row],[Total Revenue]]*0.3</f>
        <v>2037.2849999999999</v>
      </c>
      <c r="P827" t="str">
        <f>IF(Pharma_Sales_Data[[#This Row],[Total Revenue]]&gt;20000,"High Value", IF(Pharma_Sales_Data[[#This Row],[Total Revenue]]&gt;=10000,"Medium Value","Low Value"))</f>
        <v>Low Value</v>
      </c>
    </row>
    <row r="828" spans="1:16" x14ac:dyDescent="0.35">
      <c r="A828" s="1">
        <v>42467</v>
      </c>
      <c r="B828">
        <v>6.33</v>
      </c>
      <c r="C828">
        <v>5.98</v>
      </c>
      <c r="D828">
        <v>4</v>
      </c>
      <c r="E828">
        <v>21</v>
      </c>
      <c r="F828">
        <v>7</v>
      </c>
      <c r="G828">
        <v>2</v>
      </c>
      <c r="H828">
        <v>4</v>
      </c>
      <c r="I828">
        <v>8.1999999999999993</v>
      </c>
      <c r="J828">
        <v>2016</v>
      </c>
      <c r="K828">
        <v>4</v>
      </c>
      <c r="L828" t="s">
        <v>11</v>
      </c>
      <c r="M828">
        <f>SUM(Pharma_Sales_Data[[#This Row],[M01AB]:[R06]])</f>
        <v>58.510000000000005</v>
      </c>
      <c r="N828" s="2">
        <f>Pharma_Sales_Data[[#This Row],[Total Drug Sales]]*150</f>
        <v>8776.5</v>
      </c>
      <c r="O828" s="2">
        <f>Pharma_Sales_Data[[#This Row],[Total Revenue]]*0.3</f>
        <v>2632.95</v>
      </c>
      <c r="P828" t="str">
        <f>IF(Pharma_Sales_Data[[#This Row],[Total Revenue]]&gt;20000,"High Value", IF(Pharma_Sales_Data[[#This Row],[Total Revenue]]&gt;=10000,"Medium Value","Low Value"))</f>
        <v>Low Value</v>
      </c>
    </row>
    <row r="829" spans="1:16" x14ac:dyDescent="0.35">
      <c r="A829" s="1">
        <v>42468</v>
      </c>
      <c r="B829">
        <v>7.67</v>
      </c>
      <c r="C829">
        <v>3.66</v>
      </c>
      <c r="D829">
        <v>5</v>
      </c>
      <c r="E829">
        <v>42.3</v>
      </c>
      <c r="F829">
        <v>2</v>
      </c>
      <c r="G829">
        <v>1</v>
      </c>
      <c r="H829">
        <v>3</v>
      </c>
      <c r="I829">
        <v>4.4000000000000004</v>
      </c>
      <c r="J829">
        <v>2016</v>
      </c>
      <c r="K829">
        <v>4</v>
      </c>
      <c r="L829" t="s">
        <v>12</v>
      </c>
      <c r="M829">
        <f>SUM(Pharma_Sales_Data[[#This Row],[M01AB]:[R06]])</f>
        <v>69.03</v>
      </c>
      <c r="N829" s="2">
        <f>Pharma_Sales_Data[[#This Row],[Total Drug Sales]]*150</f>
        <v>10354.5</v>
      </c>
      <c r="O829" s="2">
        <f>Pharma_Sales_Data[[#This Row],[Total Revenue]]*0.3</f>
        <v>3106.35</v>
      </c>
      <c r="P829" t="str">
        <f>IF(Pharma_Sales_Data[[#This Row],[Total Revenue]]&gt;20000,"High Value", IF(Pharma_Sales_Data[[#This Row],[Total Revenue]]&gt;=10000,"Medium Value","Low Value"))</f>
        <v>Medium Value</v>
      </c>
    </row>
    <row r="830" spans="1:16" x14ac:dyDescent="0.35">
      <c r="A830" s="1">
        <v>42469</v>
      </c>
      <c r="B830">
        <v>9</v>
      </c>
      <c r="C830">
        <v>9.01</v>
      </c>
      <c r="D830">
        <v>3.1</v>
      </c>
      <c r="E830">
        <v>38.799999999999997</v>
      </c>
      <c r="F830">
        <v>7</v>
      </c>
      <c r="G830">
        <v>0</v>
      </c>
      <c r="H830">
        <v>14</v>
      </c>
      <c r="I830">
        <v>3</v>
      </c>
      <c r="J830">
        <v>2016</v>
      </c>
      <c r="K830">
        <v>4</v>
      </c>
      <c r="L830" t="s">
        <v>13</v>
      </c>
      <c r="M830">
        <f>SUM(Pharma_Sales_Data[[#This Row],[M01AB]:[R06]])</f>
        <v>83.91</v>
      </c>
      <c r="N830" s="2">
        <f>Pharma_Sales_Data[[#This Row],[Total Drug Sales]]*150</f>
        <v>12586.5</v>
      </c>
      <c r="O830" s="2">
        <f>Pharma_Sales_Data[[#This Row],[Total Revenue]]*0.3</f>
        <v>3775.95</v>
      </c>
      <c r="P830" t="str">
        <f>IF(Pharma_Sales_Data[[#This Row],[Total Revenue]]&gt;20000,"High Value", IF(Pharma_Sales_Data[[#This Row],[Total Revenue]]&gt;=10000,"Medium Value","Low Value"))</f>
        <v>Medium Value</v>
      </c>
    </row>
    <row r="831" spans="1:16" x14ac:dyDescent="0.35">
      <c r="A831" s="1">
        <v>42470</v>
      </c>
      <c r="B831">
        <v>5</v>
      </c>
      <c r="C831">
        <v>6.67</v>
      </c>
      <c r="D831">
        <v>5.15</v>
      </c>
      <c r="E831">
        <v>21.4</v>
      </c>
      <c r="F831">
        <v>4</v>
      </c>
      <c r="G831">
        <v>1</v>
      </c>
      <c r="H831">
        <v>11</v>
      </c>
      <c r="I831">
        <v>8</v>
      </c>
      <c r="J831">
        <v>2016</v>
      </c>
      <c r="K831">
        <v>4</v>
      </c>
      <c r="L831" t="s">
        <v>14</v>
      </c>
      <c r="M831">
        <f>SUM(Pharma_Sales_Data[[#This Row],[M01AB]:[R06]])</f>
        <v>62.22</v>
      </c>
      <c r="N831" s="2">
        <f>Pharma_Sales_Data[[#This Row],[Total Drug Sales]]*150</f>
        <v>9333</v>
      </c>
      <c r="O831" s="2">
        <f>Pharma_Sales_Data[[#This Row],[Total Revenue]]*0.3</f>
        <v>2799.9</v>
      </c>
      <c r="P831" t="str">
        <f>IF(Pharma_Sales_Data[[#This Row],[Total Revenue]]&gt;20000,"High Value", IF(Pharma_Sales_Data[[#This Row],[Total Revenue]]&gt;=10000,"Medium Value","Low Value"))</f>
        <v>Low Value</v>
      </c>
    </row>
    <row r="832" spans="1:16" x14ac:dyDescent="0.35">
      <c r="A832" s="1">
        <v>42471</v>
      </c>
      <c r="B832">
        <v>0.33</v>
      </c>
      <c r="C832">
        <v>4.99</v>
      </c>
      <c r="D832">
        <v>3</v>
      </c>
      <c r="E832">
        <v>26</v>
      </c>
      <c r="F832">
        <v>11</v>
      </c>
      <c r="G832">
        <v>2</v>
      </c>
      <c r="H832">
        <v>17</v>
      </c>
      <c r="I832">
        <v>6</v>
      </c>
      <c r="J832">
        <v>2016</v>
      </c>
      <c r="K832">
        <v>4</v>
      </c>
      <c r="L832" t="s">
        <v>15</v>
      </c>
      <c r="M832">
        <f>SUM(Pharma_Sales_Data[[#This Row],[M01AB]:[R06]])</f>
        <v>70.319999999999993</v>
      </c>
      <c r="N832" s="2">
        <f>Pharma_Sales_Data[[#This Row],[Total Drug Sales]]*150</f>
        <v>10547.999999999998</v>
      </c>
      <c r="O832" s="2">
        <f>Pharma_Sales_Data[[#This Row],[Total Revenue]]*0.3</f>
        <v>3164.3999999999992</v>
      </c>
      <c r="P832" t="str">
        <f>IF(Pharma_Sales_Data[[#This Row],[Total Revenue]]&gt;20000,"High Value", IF(Pharma_Sales_Data[[#This Row],[Total Revenue]]&gt;=10000,"Medium Value","Low Value"))</f>
        <v>Medium Value</v>
      </c>
    </row>
    <row r="833" spans="1:16" x14ac:dyDescent="0.35">
      <c r="A833" s="1">
        <v>42472</v>
      </c>
      <c r="B833">
        <v>4.34</v>
      </c>
      <c r="C833">
        <v>4.6500000000000004</v>
      </c>
      <c r="D833">
        <v>6</v>
      </c>
      <c r="E833">
        <v>41.6</v>
      </c>
      <c r="F833">
        <v>19</v>
      </c>
      <c r="G833">
        <v>1</v>
      </c>
      <c r="H833">
        <v>2</v>
      </c>
      <c r="I833">
        <v>5</v>
      </c>
      <c r="J833">
        <v>2016</v>
      </c>
      <c r="K833">
        <v>4</v>
      </c>
      <c r="L833" t="s">
        <v>16</v>
      </c>
      <c r="M833">
        <f>SUM(Pharma_Sales_Data[[#This Row],[M01AB]:[R06]])</f>
        <v>83.59</v>
      </c>
      <c r="N833" s="2">
        <f>Pharma_Sales_Data[[#This Row],[Total Drug Sales]]*150</f>
        <v>12538.5</v>
      </c>
      <c r="O833" s="2">
        <f>Pharma_Sales_Data[[#This Row],[Total Revenue]]*0.3</f>
        <v>3761.5499999999997</v>
      </c>
      <c r="P833" t="str">
        <f>IF(Pharma_Sales_Data[[#This Row],[Total Revenue]]&gt;20000,"High Value", IF(Pharma_Sales_Data[[#This Row],[Total Revenue]]&gt;=10000,"Medium Value","Low Value"))</f>
        <v>Medium Value</v>
      </c>
    </row>
    <row r="834" spans="1:16" x14ac:dyDescent="0.35">
      <c r="A834" s="1">
        <v>42473</v>
      </c>
      <c r="B834">
        <v>6.33</v>
      </c>
      <c r="C834">
        <v>3.0659999999999998</v>
      </c>
      <c r="D834">
        <v>3</v>
      </c>
      <c r="E834">
        <v>34</v>
      </c>
      <c r="F834">
        <v>22.333333329999999</v>
      </c>
      <c r="G834">
        <v>0</v>
      </c>
      <c r="H834">
        <v>2</v>
      </c>
      <c r="I834">
        <v>3</v>
      </c>
      <c r="J834">
        <v>2016</v>
      </c>
      <c r="K834">
        <v>4</v>
      </c>
      <c r="L834" t="s">
        <v>17</v>
      </c>
      <c r="M834">
        <f>SUM(Pharma_Sales_Data[[#This Row],[M01AB]:[R06]])</f>
        <v>73.729333330000003</v>
      </c>
      <c r="N834" s="2">
        <f>Pharma_Sales_Data[[#This Row],[Total Drug Sales]]*150</f>
        <v>11059.399999500001</v>
      </c>
      <c r="O834" s="2">
        <f>Pharma_Sales_Data[[#This Row],[Total Revenue]]*0.3</f>
        <v>3317.8199998500004</v>
      </c>
      <c r="P834" t="str">
        <f>IF(Pharma_Sales_Data[[#This Row],[Total Revenue]]&gt;20000,"High Value", IF(Pharma_Sales_Data[[#This Row],[Total Revenue]]&gt;=10000,"Medium Value","Low Value"))</f>
        <v>Medium Value</v>
      </c>
    </row>
    <row r="835" spans="1:16" x14ac:dyDescent="0.35">
      <c r="A835" s="1">
        <v>42474</v>
      </c>
      <c r="B835">
        <v>2.66</v>
      </c>
      <c r="C835">
        <v>2.3199999999999998</v>
      </c>
      <c r="D835">
        <v>8.5</v>
      </c>
      <c r="E835">
        <v>44.225000000000001</v>
      </c>
      <c r="F835">
        <v>9</v>
      </c>
      <c r="G835">
        <v>0</v>
      </c>
      <c r="H835">
        <v>4</v>
      </c>
      <c r="I835">
        <v>6</v>
      </c>
      <c r="J835">
        <v>2016</v>
      </c>
      <c r="K835">
        <v>4</v>
      </c>
      <c r="L835" t="s">
        <v>11</v>
      </c>
      <c r="M835">
        <f>SUM(Pharma_Sales_Data[[#This Row],[M01AB]:[R06]])</f>
        <v>76.704999999999998</v>
      </c>
      <c r="N835" s="2">
        <f>Pharma_Sales_Data[[#This Row],[Total Drug Sales]]*150</f>
        <v>11505.75</v>
      </c>
      <c r="O835" s="2">
        <f>Pharma_Sales_Data[[#This Row],[Total Revenue]]*0.3</f>
        <v>3451.7249999999999</v>
      </c>
      <c r="P835" t="str">
        <f>IF(Pharma_Sales_Data[[#This Row],[Total Revenue]]&gt;20000,"High Value", IF(Pharma_Sales_Data[[#This Row],[Total Revenue]]&gt;=10000,"Medium Value","Low Value"))</f>
        <v>Medium Value</v>
      </c>
    </row>
    <row r="836" spans="1:16" x14ac:dyDescent="0.35">
      <c r="A836" s="1">
        <v>42475</v>
      </c>
      <c r="B836">
        <v>4.33</v>
      </c>
      <c r="C836">
        <v>3.056</v>
      </c>
      <c r="D836">
        <v>2.7</v>
      </c>
      <c r="E836">
        <v>23.6</v>
      </c>
      <c r="F836">
        <v>6</v>
      </c>
      <c r="G836">
        <v>0</v>
      </c>
      <c r="H836">
        <v>10</v>
      </c>
      <c r="I836">
        <v>4.2</v>
      </c>
      <c r="J836">
        <v>2016</v>
      </c>
      <c r="K836">
        <v>4</v>
      </c>
      <c r="L836" t="s">
        <v>12</v>
      </c>
      <c r="M836">
        <f>SUM(Pharma_Sales_Data[[#This Row],[M01AB]:[R06]])</f>
        <v>53.886000000000003</v>
      </c>
      <c r="N836" s="2">
        <f>Pharma_Sales_Data[[#This Row],[Total Drug Sales]]*150</f>
        <v>8082.9000000000005</v>
      </c>
      <c r="O836" s="2">
        <f>Pharma_Sales_Data[[#This Row],[Total Revenue]]*0.3</f>
        <v>2424.87</v>
      </c>
      <c r="P836" t="str">
        <f>IF(Pharma_Sales_Data[[#This Row],[Total Revenue]]&gt;20000,"High Value", IF(Pharma_Sales_Data[[#This Row],[Total Revenue]]&gt;=10000,"Medium Value","Low Value"))</f>
        <v>Low Value</v>
      </c>
    </row>
    <row r="837" spans="1:16" x14ac:dyDescent="0.35">
      <c r="A837" s="1">
        <v>42476</v>
      </c>
      <c r="B837">
        <v>5.34</v>
      </c>
      <c r="C837">
        <v>6.66</v>
      </c>
      <c r="D837">
        <v>5.3</v>
      </c>
      <c r="E837">
        <v>33</v>
      </c>
      <c r="F837">
        <v>11</v>
      </c>
      <c r="G837">
        <v>0</v>
      </c>
      <c r="H837">
        <v>8</v>
      </c>
      <c r="I837">
        <v>8.5</v>
      </c>
      <c r="J837">
        <v>2016</v>
      </c>
      <c r="K837">
        <v>4</v>
      </c>
      <c r="L837" t="s">
        <v>13</v>
      </c>
      <c r="M837">
        <f>SUM(Pharma_Sales_Data[[#This Row],[M01AB]:[R06]])</f>
        <v>77.8</v>
      </c>
      <c r="N837" s="2">
        <f>Pharma_Sales_Data[[#This Row],[Total Drug Sales]]*150</f>
        <v>11670</v>
      </c>
      <c r="O837" s="2">
        <f>Pharma_Sales_Data[[#This Row],[Total Revenue]]*0.3</f>
        <v>3501</v>
      </c>
      <c r="P837" t="str">
        <f>IF(Pharma_Sales_Data[[#This Row],[Total Revenue]]&gt;20000,"High Value", IF(Pharma_Sales_Data[[#This Row],[Total Revenue]]&gt;=10000,"Medium Value","Low Value"))</f>
        <v>Medium Value</v>
      </c>
    </row>
    <row r="838" spans="1:16" x14ac:dyDescent="0.35">
      <c r="A838" s="1">
        <v>42477</v>
      </c>
      <c r="B838">
        <v>4.33</v>
      </c>
      <c r="C838">
        <v>8.1750000000000007</v>
      </c>
      <c r="D838">
        <v>3</v>
      </c>
      <c r="E838">
        <v>52.8</v>
      </c>
      <c r="F838">
        <v>2</v>
      </c>
      <c r="G838">
        <v>0</v>
      </c>
      <c r="H838">
        <v>7</v>
      </c>
      <c r="I838">
        <v>7.2</v>
      </c>
      <c r="J838">
        <v>2016</v>
      </c>
      <c r="K838">
        <v>4</v>
      </c>
      <c r="L838" t="s">
        <v>14</v>
      </c>
      <c r="M838">
        <f>SUM(Pharma_Sales_Data[[#This Row],[M01AB]:[R06]])</f>
        <v>84.504999999999995</v>
      </c>
      <c r="N838" s="2">
        <f>Pharma_Sales_Data[[#This Row],[Total Drug Sales]]*150</f>
        <v>12675.75</v>
      </c>
      <c r="O838" s="2">
        <f>Pharma_Sales_Data[[#This Row],[Total Revenue]]*0.3</f>
        <v>3802.7249999999999</v>
      </c>
      <c r="P838" t="str">
        <f>IF(Pharma_Sales_Data[[#This Row],[Total Revenue]]&gt;20000,"High Value", IF(Pharma_Sales_Data[[#This Row],[Total Revenue]]&gt;=10000,"Medium Value","Low Value"))</f>
        <v>Medium Value</v>
      </c>
    </row>
    <row r="839" spans="1:16" x14ac:dyDescent="0.35">
      <c r="A839" s="1">
        <v>42478</v>
      </c>
      <c r="B839">
        <v>3.66</v>
      </c>
      <c r="C839">
        <v>2</v>
      </c>
      <c r="D839">
        <v>5</v>
      </c>
      <c r="E839">
        <v>22.1</v>
      </c>
      <c r="F839">
        <v>15</v>
      </c>
      <c r="G839">
        <v>3</v>
      </c>
      <c r="H839">
        <v>7</v>
      </c>
      <c r="I839">
        <v>7</v>
      </c>
      <c r="J839">
        <v>2016</v>
      </c>
      <c r="K839">
        <v>4</v>
      </c>
      <c r="L839" t="s">
        <v>15</v>
      </c>
      <c r="M839">
        <f>SUM(Pharma_Sales_Data[[#This Row],[M01AB]:[R06]])</f>
        <v>64.760000000000005</v>
      </c>
      <c r="N839" s="2">
        <f>Pharma_Sales_Data[[#This Row],[Total Drug Sales]]*150</f>
        <v>9714</v>
      </c>
      <c r="O839" s="2">
        <f>Pharma_Sales_Data[[#This Row],[Total Revenue]]*0.3</f>
        <v>2914.2</v>
      </c>
      <c r="P839" t="str">
        <f>IF(Pharma_Sales_Data[[#This Row],[Total Revenue]]&gt;20000,"High Value", IF(Pharma_Sales_Data[[#This Row],[Total Revenue]]&gt;=10000,"Medium Value","Low Value"))</f>
        <v>Low Value</v>
      </c>
    </row>
    <row r="840" spans="1:16" x14ac:dyDescent="0.35">
      <c r="A840" s="1">
        <v>42479</v>
      </c>
      <c r="B840">
        <v>3</v>
      </c>
      <c r="C840">
        <v>1.34</v>
      </c>
      <c r="D840">
        <v>8.3000000000000007</v>
      </c>
      <c r="E840">
        <v>24.3</v>
      </c>
      <c r="F840">
        <v>7</v>
      </c>
      <c r="G840">
        <v>0</v>
      </c>
      <c r="H840">
        <v>6</v>
      </c>
      <c r="I840">
        <v>4</v>
      </c>
      <c r="J840">
        <v>2016</v>
      </c>
      <c r="K840">
        <v>4</v>
      </c>
      <c r="L840" t="s">
        <v>16</v>
      </c>
      <c r="M840">
        <f>SUM(Pharma_Sales_Data[[#This Row],[M01AB]:[R06]])</f>
        <v>53.94</v>
      </c>
      <c r="N840" s="2">
        <f>Pharma_Sales_Data[[#This Row],[Total Drug Sales]]*150</f>
        <v>8091</v>
      </c>
      <c r="O840" s="2">
        <f>Pharma_Sales_Data[[#This Row],[Total Revenue]]*0.3</f>
        <v>2427.2999999999997</v>
      </c>
      <c r="P840" t="str">
        <f>IF(Pharma_Sales_Data[[#This Row],[Total Revenue]]&gt;20000,"High Value", IF(Pharma_Sales_Data[[#This Row],[Total Revenue]]&gt;=10000,"Medium Value","Low Value"))</f>
        <v>Low Value</v>
      </c>
    </row>
    <row r="841" spans="1:16" x14ac:dyDescent="0.35">
      <c r="A841" s="1">
        <v>42480</v>
      </c>
      <c r="B841">
        <v>2.66</v>
      </c>
      <c r="C841">
        <v>3.33</v>
      </c>
      <c r="D841">
        <v>2.4</v>
      </c>
      <c r="E841">
        <v>17.100000000000001</v>
      </c>
      <c r="F841">
        <v>11</v>
      </c>
      <c r="G841">
        <v>5</v>
      </c>
      <c r="H841">
        <v>15</v>
      </c>
      <c r="I841">
        <v>3</v>
      </c>
      <c r="J841">
        <v>2016</v>
      </c>
      <c r="K841">
        <v>4</v>
      </c>
      <c r="L841" t="s">
        <v>17</v>
      </c>
      <c r="M841">
        <f>SUM(Pharma_Sales_Data[[#This Row],[M01AB]:[R06]])</f>
        <v>59.49</v>
      </c>
      <c r="N841" s="2">
        <f>Pharma_Sales_Data[[#This Row],[Total Drug Sales]]*150</f>
        <v>8923.5</v>
      </c>
      <c r="O841" s="2">
        <f>Pharma_Sales_Data[[#This Row],[Total Revenue]]*0.3</f>
        <v>2677.0499999999997</v>
      </c>
      <c r="P841" t="str">
        <f>IF(Pharma_Sales_Data[[#This Row],[Total Revenue]]&gt;20000,"High Value", IF(Pharma_Sales_Data[[#This Row],[Total Revenue]]&gt;=10000,"Medium Value","Low Value"))</f>
        <v>Low Value</v>
      </c>
    </row>
    <row r="842" spans="1:16" x14ac:dyDescent="0.35">
      <c r="A842" s="1">
        <v>42481</v>
      </c>
      <c r="B842">
        <v>3</v>
      </c>
      <c r="C842">
        <v>3.464</v>
      </c>
      <c r="D842">
        <v>3</v>
      </c>
      <c r="E842">
        <v>21.6</v>
      </c>
      <c r="F842">
        <v>6</v>
      </c>
      <c r="G842">
        <v>0</v>
      </c>
      <c r="H842">
        <v>0</v>
      </c>
      <c r="I842">
        <v>2.2999999999999998</v>
      </c>
      <c r="J842">
        <v>2016</v>
      </c>
      <c r="K842">
        <v>4</v>
      </c>
      <c r="L842" t="s">
        <v>11</v>
      </c>
      <c r="M842">
        <f>SUM(Pharma_Sales_Data[[#This Row],[M01AB]:[R06]])</f>
        <v>39.363999999999997</v>
      </c>
      <c r="N842" s="2">
        <f>Pharma_Sales_Data[[#This Row],[Total Drug Sales]]*150</f>
        <v>5904.5999999999995</v>
      </c>
      <c r="O842" s="2">
        <f>Pharma_Sales_Data[[#This Row],[Total Revenue]]*0.3</f>
        <v>1771.3799999999999</v>
      </c>
      <c r="P842" t="str">
        <f>IF(Pharma_Sales_Data[[#This Row],[Total Revenue]]&gt;20000,"High Value", IF(Pharma_Sales_Data[[#This Row],[Total Revenue]]&gt;=10000,"Medium Value","Low Value"))</f>
        <v>Low Value</v>
      </c>
    </row>
    <row r="843" spans="1:16" x14ac:dyDescent="0.35">
      <c r="A843" s="1">
        <v>42482</v>
      </c>
      <c r="B843">
        <v>6</v>
      </c>
      <c r="C843">
        <v>5.67</v>
      </c>
      <c r="D843">
        <v>4</v>
      </c>
      <c r="E843">
        <v>21.9</v>
      </c>
      <c r="F843">
        <v>4</v>
      </c>
      <c r="G843">
        <v>0</v>
      </c>
      <c r="H843">
        <v>6</v>
      </c>
      <c r="I843">
        <v>1</v>
      </c>
      <c r="J843">
        <v>2016</v>
      </c>
      <c r="K843">
        <v>4</v>
      </c>
      <c r="L843" t="s">
        <v>12</v>
      </c>
      <c r="M843">
        <f>SUM(Pharma_Sales_Data[[#This Row],[M01AB]:[R06]])</f>
        <v>48.57</v>
      </c>
      <c r="N843" s="2">
        <f>Pharma_Sales_Data[[#This Row],[Total Drug Sales]]*150</f>
        <v>7285.5</v>
      </c>
      <c r="O843" s="2">
        <f>Pharma_Sales_Data[[#This Row],[Total Revenue]]*0.3</f>
        <v>2185.65</v>
      </c>
      <c r="P843" t="str">
        <f>IF(Pharma_Sales_Data[[#This Row],[Total Revenue]]&gt;20000,"High Value", IF(Pharma_Sales_Data[[#This Row],[Total Revenue]]&gt;=10000,"Medium Value","Low Value"))</f>
        <v>Low Value</v>
      </c>
    </row>
    <row r="844" spans="1:16" x14ac:dyDescent="0.35">
      <c r="A844" s="1">
        <v>42483</v>
      </c>
      <c r="B844">
        <v>13.66</v>
      </c>
      <c r="C844">
        <v>3.69</v>
      </c>
      <c r="D844">
        <v>8</v>
      </c>
      <c r="E844">
        <v>33.200000000000003</v>
      </c>
      <c r="F844">
        <v>8</v>
      </c>
      <c r="G844">
        <v>0</v>
      </c>
      <c r="H844">
        <v>0</v>
      </c>
      <c r="I844">
        <v>4.5</v>
      </c>
      <c r="J844">
        <v>2016</v>
      </c>
      <c r="K844">
        <v>4</v>
      </c>
      <c r="L844" t="s">
        <v>13</v>
      </c>
      <c r="M844">
        <f>SUM(Pharma_Sales_Data[[#This Row],[M01AB]:[R06]])</f>
        <v>71.050000000000011</v>
      </c>
      <c r="N844" s="2">
        <f>Pharma_Sales_Data[[#This Row],[Total Drug Sales]]*150</f>
        <v>10657.500000000002</v>
      </c>
      <c r="O844" s="2">
        <f>Pharma_Sales_Data[[#This Row],[Total Revenue]]*0.3</f>
        <v>3197.2500000000005</v>
      </c>
      <c r="P844" t="str">
        <f>IF(Pharma_Sales_Data[[#This Row],[Total Revenue]]&gt;20000,"High Value", IF(Pharma_Sales_Data[[#This Row],[Total Revenue]]&gt;=10000,"Medium Value","Low Value"))</f>
        <v>Medium Value</v>
      </c>
    </row>
    <row r="845" spans="1:16" x14ac:dyDescent="0.35">
      <c r="A845" s="1">
        <v>42484</v>
      </c>
      <c r="B845">
        <v>1</v>
      </c>
      <c r="C845">
        <v>6.66</v>
      </c>
      <c r="D845">
        <v>5.5</v>
      </c>
      <c r="E845">
        <v>36.950000000000003</v>
      </c>
      <c r="F845">
        <v>3</v>
      </c>
      <c r="G845">
        <v>0</v>
      </c>
      <c r="H845">
        <v>6</v>
      </c>
      <c r="I845">
        <v>5</v>
      </c>
      <c r="J845">
        <v>2016</v>
      </c>
      <c r="K845">
        <v>4</v>
      </c>
      <c r="L845" t="s">
        <v>14</v>
      </c>
      <c r="M845">
        <f>SUM(Pharma_Sales_Data[[#This Row],[M01AB]:[R06]])</f>
        <v>64.11</v>
      </c>
      <c r="N845" s="2">
        <f>Pharma_Sales_Data[[#This Row],[Total Drug Sales]]*150</f>
        <v>9616.5</v>
      </c>
      <c r="O845" s="2">
        <f>Pharma_Sales_Data[[#This Row],[Total Revenue]]*0.3</f>
        <v>2884.95</v>
      </c>
      <c r="P845" t="str">
        <f>IF(Pharma_Sales_Data[[#This Row],[Total Revenue]]&gt;20000,"High Value", IF(Pharma_Sales_Data[[#This Row],[Total Revenue]]&gt;=10000,"Medium Value","Low Value"))</f>
        <v>Low Value</v>
      </c>
    </row>
    <row r="846" spans="1:16" x14ac:dyDescent="0.35">
      <c r="A846" s="1">
        <v>42485</v>
      </c>
      <c r="B846">
        <v>6.67</v>
      </c>
      <c r="C846">
        <v>1.66</v>
      </c>
      <c r="D846">
        <v>7.25</v>
      </c>
      <c r="E846">
        <v>21.7</v>
      </c>
      <c r="F846">
        <v>20</v>
      </c>
      <c r="G846">
        <v>1</v>
      </c>
      <c r="H846">
        <v>3</v>
      </c>
      <c r="I846">
        <v>2.5</v>
      </c>
      <c r="J846">
        <v>2016</v>
      </c>
      <c r="K846">
        <v>4</v>
      </c>
      <c r="L846" t="s">
        <v>15</v>
      </c>
      <c r="M846">
        <f>SUM(Pharma_Sales_Data[[#This Row],[M01AB]:[R06]])</f>
        <v>63.78</v>
      </c>
      <c r="N846" s="2">
        <f>Pharma_Sales_Data[[#This Row],[Total Drug Sales]]*150</f>
        <v>9567</v>
      </c>
      <c r="O846" s="2">
        <f>Pharma_Sales_Data[[#This Row],[Total Revenue]]*0.3</f>
        <v>2870.1</v>
      </c>
      <c r="P846" t="str">
        <f>IF(Pharma_Sales_Data[[#This Row],[Total Revenue]]&gt;20000,"High Value", IF(Pharma_Sales_Data[[#This Row],[Total Revenue]]&gt;=10000,"Medium Value","Low Value"))</f>
        <v>Low Value</v>
      </c>
    </row>
    <row r="847" spans="1:16" x14ac:dyDescent="0.35">
      <c r="A847" s="1">
        <v>42486</v>
      </c>
      <c r="B847">
        <v>5.33</v>
      </c>
      <c r="C847">
        <v>4.99</v>
      </c>
      <c r="D847">
        <v>7</v>
      </c>
      <c r="E847">
        <v>27.2</v>
      </c>
      <c r="F847">
        <v>19</v>
      </c>
      <c r="G847">
        <v>0</v>
      </c>
      <c r="H847">
        <v>7</v>
      </c>
      <c r="I847">
        <v>2</v>
      </c>
      <c r="J847">
        <v>2016</v>
      </c>
      <c r="K847">
        <v>4</v>
      </c>
      <c r="L847" t="s">
        <v>16</v>
      </c>
      <c r="M847">
        <f>SUM(Pharma_Sales_Data[[#This Row],[M01AB]:[R06]])</f>
        <v>72.52</v>
      </c>
      <c r="N847" s="2">
        <f>Pharma_Sales_Data[[#This Row],[Total Drug Sales]]*150</f>
        <v>10878</v>
      </c>
      <c r="O847" s="2">
        <f>Pharma_Sales_Data[[#This Row],[Total Revenue]]*0.3</f>
        <v>3263.4</v>
      </c>
      <c r="P847" t="str">
        <f>IF(Pharma_Sales_Data[[#This Row],[Total Revenue]]&gt;20000,"High Value", IF(Pharma_Sales_Data[[#This Row],[Total Revenue]]&gt;=10000,"Medium Value","Low Value"))</f>
        <v>Medium Value</v>
      </c>
    </row>
    <row r="848" spans="1:16" x14ac:dyDescent="0.35">
      <c r="A848" s="1">
        <v>42487</v>
      </c>
      <c r="B848">
        <v>5.66</v>
      </c>
      <c r="C848">
        <v>7.4950000000000001</v>
      </c>
      <c r="D848">
        <v>7</v>
      </c>
      <c r="E848">
        <v>47.4</v>
      </c>
      <c r="F848">
        <v>27</v>
      </c>
      <c r="G848">
        <v>0</v>
      </c>
      <c r="H848">
        <v>1</v>
      </c>
      <c r="I848">
        <v>2</v>
      </c>
      <c r="J848">
        <v>2016</v>
      </c>
      <c r="K848">
        <v>4</v>
      </c>
      <c r="L848" t="s">
        <v>17</v>
      </c>
      <c r="M848">
        <f>SUM(Pharma_Sales_Data[[#This Row],[M01AB]:[R06]])</f>
        <v>97.555000000000007</v>
      </c>
      <c r="N848" s="2">
        <f>Pharma_Sales_Data[[#This Row],[Total Drug Sales]]*150</f>
        <v>14633.250000000002</v>
      </c>
      <c r="O848" s="2">
        <f>Pharma_Sales_Data[[#This Row],[Total Revenue]]*0.3</f>
        <v>4389.9750000000004</v>
      </c>
      <c r="P848" t="str">
        <f>IF(Pharma_Sales_Data[[#This Row],[Total Revenue]]&gt;20000,"High Value", IF(Pharma_Sales_Data[[#This Row],[Total Revenue]]&gt;=10000,"Medium Value","Low Value"))</f>
        <v>Medium Value</v>
      </c>
    </row>
    <row r="849" spans="1:16" x14ac:dyDescent="0.35">
      <c r="A849" s="1">
        <v>42488</v>
      </c>
      <c r="B849">
        <v>4.66</v>
      </c>
      <c r="C849">
        <v>6.34</v>
      </c>
      <c r="D849">
        <v>6</v>
      </c>
      <c r="E849">
        <v>28</v>
      </c>
      <c r="F849">
        <v>17.666666670000001</v>
      </c>
      <c r="G849">
        <v>0</v>
      </c>
      <c r="H849">
        <v>12</v>
      </c>
      <c r="I849">
        <v>12</v>
      </c>
      <c r="J849">
        <v>2016</v>
      </c>
      <c r="K849">
        <v>4</v>
      </c>
      <c r="L849" t="s">
        <v>11</v>
      </c>
      <c r="M849">
        <f>SUM(Pharma_Sales_Data[[#This Row],[M01AB]:[R06]])</f>
        <v>86.666666669999998</v>
      </c>
      <c r="N849" s="2">
        <f>Pharma_Sales_Data[[#This Row],[Total Drug Sales]]*150</f>
        <v>13000.0000005</v>
      </c>
      <c r="O849" s="2">
        <f>Pharma_Sales_Data[[#This Row],[Total Revenue]]*0.3</f>
        <v>3900.0000001499998</v>
      </c>
      <c r="P849" t="str">
        <f>IF(Pharma_Sales_Data[[#This Row],[Total Revenue]]&gt;20000,"High Value", IF(Pharma_Sales_Data[[#This Row],[Total Revenue]]&gt;=10000,"Medium Value","Low Value"))</f>
        <v>Medium Value</v>
      </c>
    </row>
    <row r="850" spans="1:16" x14ac:dyDescent="0.35">
      <c r="A850" s="1">
        <v>42489</v>
      </c>
      <c r="B850">
        <v>6.66</v>
      </c>
      <c r="C850">
        <v>3</v>
      </c>
      <c r="D850">
        <v>2.5</v>
      </c>
      <c r="E850">
        <v>37</v>
      </c>
      <c r="F850">
        <v>15</v>
      </c>
      <c r="G850">
        <v>0</v>
      </c>
      <c r="H850">
        <v>1</v>
      </c>
      <c r="I850">
        <v>3.2</v>
      </c>
      <c r="J850">
        <v>2016</v>
      </c>
      <c r="K850">
        <v>4</v>
      </c>
      <c r="L850" t="s">
        <v>12</v>
      </c>
      <c r="M850">
        <f>SUM(Pharma_Sales_Data[[#This Row],[M01AB]:[R06]])</f>
        <v>68.36</v>
      </c>
      <c r="N850" s="2">
        <f>Pharma_Sales_Data[[#This Row],[Total Drug Sales]]*150</f>
        <v>10254</v>
      </c>
      <c r="O850" s="2">
        <f>Pharma_Sales_Data[[#This Row],[Total Revenue]]*0.3</f>
        <v>3076.2</v>
      </c>
      <c r="P850" t="str">
        <f>IF(Pharma_Sales_Data[[#This Row],[Total Revenue]]&gt;20000,"High Value", IF(Pharma_Sales_Data[[#This Row],[Total Revenue]]&gt;=10000,"Medium Value","Low Value"))</f>
        <v>Medium Value</v>
      </c>
    </row>
    <row r="851" spans="1:16" x14ac:dyDescent="0.35">
      <c r="A851" s="1">
        <v>42490</v>
      </c>
      <c r="B851">
        <v>9.66</v>
      </c>
      <c r="C851">
        <v>10.32</v>
      </c>
      <c r="D851">
        <v>7</v>
      </c>
      <c r="E851">
        <v>47.811999999999998</v>
      </c>
      <c r="F851">
        <v>11</v>
      </c>
      <c r="G851">
        <v>0</v>
      </c>
      <c r="H851">
        <v>1</v>
      </c>
      <c r="I851">
        <v>4.5</v>
      </c>
      <c r="J851">
        <v>2016</v>
      </c>
      <c r="K851">
        <v>4</v>
      </c>
      <c r="L851" t="s">
        <v>13</v>
      </c>
      <c r="M851">
        <f>SUM(Pharma_Sales_Data[[#This Row],[M01AB]:[R06]])</f>
        <v>91.292000000000002</v>
      </c>
      <c r="N851" s="2">
        <f>Pharma_Sales_Data[[#This Row],[Total Drug Sales]]*150</f>
        <v>13693.800000000001</v>
      </c>
      <c r="O851" s="2">
        <f>Pharma_Sales_Data[[#This Row],[Total Revenue]]*0.3</f>
        <v>4108.1400000000003</v>
      </c>
      <c r="P851" t="str">
        <f>IF(Pharma_Sales_Data[[#This Row],[Total Revenue]]&gt;20000,"High Value", IF(Pharma_Sales_Data[[#This Row],[Total Revenue]]&gt;=10000,"Medium Value","Low Value"))</f>
        <v>Medium Value</v>
      </c>
    </row>
    <row r="852" spans="1:16" x14ac:dyDescent="0.35">
      <c r="A852" s="1">
        <v>42491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2016</v>
      </c>
      <c r="K852">
        <v>5</v>
      </c>
      <c r="L852" t="s">
        <v>14</v>
      </c>
      <c r="M852">
        <f>SUM(Pharma_Sales_Data[[#This Row],[M01AB]:[R06]])</f>
        <v>0</v>
      </c>
      <c r="N852" s="2">
        <f>Pharma_Sales_Data[[#This Row],[Total Drug Sales]]*150</f>
        <v>0</v>
      </c>
      <c r="O852" s="2">
        <f>Pharma_Sales_Data[[#This Row],[Total Revenue]]*0.3</f>
        <v>0</v>
      </c>
      <c r="P852" t="str">
        <f>IF(Pharma_Sales_Data[[#This Row],[Total Revenue]]&gt;20000,"High Value", IF(Pharma_Sales_Data[[#This Row],[Total Revenue]]&gt;=10000,"Medium Value","Low Value"))</f>
        <v>Low Value</v>
      </c>
    </row>
    <row r="853" spans="1:16" x14ac:dyDescent="0.35">
      <c r="A853" s="1">
        <v>42492</v>
      </c>
      <c r="B853">
        <v>4</v>
      </c>
      <c r="C853">
        <v>1.02</v>
      </c>
      <c r="D853">
        <v>1</v>
      </c>
      <c r="E853">
        <v>39.200000000000003</v>
      </c>
      <c r="F853">
        <v>7</v>
      </c>
      <c r="G853">
        <v>0</v>
      </c>
      <c r="H853">
        <v>5</v>
      </c>
      <c r="I853">
        <v>2</v>
      </c>
      <c r="J853">
        <v>2016</v>
      </c>
      <c r="K853">
        <v>5</v>
      </c>
      <c r="L853" t="s">
        <v>15</v>
      </c>
      <c r="M853">
        <f>SUM(Pharma_Sales_Data[[#This Row],[M01AB]:[R06]])</f>
        <v>59.22</v>
      </c>
      <c r="N853" s="2">
        <f>Pharma_Sales_Data[[#This Row],[Total Drug Sales]]*150</f>
        <v>8883</v>
      </c>
      <c r="O853" s="2">
        <f>Pharma_Sales_Data[[#This Row],[Total Revenue]]*0.3</f>
        <v>2664.9</v>
      </c>
      <c r="P853" t="str">
        <f>IF(Pharma_Sales_Data[[#This Row],[Total Revenue]]&gt;20000,"High Value", IF(Pharma_Sales_Data[[#This Row],[Total Revenue]]&gt;=10000,"Medium Value","Low Value"))</f>
        <v>Low Value</v>
      </c>
    </row>
    <row r="854" spans="1:16" x14ac:dyDescent="0.35">
      <c r="A854" s="1">
        <v>42493</v>
      </c>
      <c r="B854">
        <v>6.33</v>
      </c>
      <c r="C854">
        <v>5.99</v>
      </c>
      <c r="D854">
        <v>3</v>
      </c>
      <c r="E854">
        <v>23.9</v>
      </c>
      <c r="F854">
        <v>3</v>
      </c>
      <c r="G854">
        <v>0</v>
      </c>
      <c r="H854">
        <v>0</v>
      </c>
      <c r="I854">
        <v>2</v>
      </c>
      <c r="J854">
        <v>2016</v>
      </c>
      <c r="K854">
        <v>5</v>
      </c>
      <c r="L854" t="s">
        <v>16</v>
      </c>
      <c r="M854">
        <f>SUM(Pharma_Sales_Data[[#This Row],[M01AB]:[R06]])</f>
        <v>44.22</v>
      </c>
      <c r="N854" s="2">
        <f>Pharma_Sales_Data[[#This Row],[Total Drug Sales]]*150</f>
        <v>6633</v>
      </c>
      <c r="O854" s="2">
        <f>Pharma_Sales_Data[[#This Row],[Total Revenue]]*0.3</f>
        <v>1989.8999999999999</v>
      </c>
      <c r="P854" t="str">
        <f>IF(Pharma_Sales_Data[[#This Row],[Total Revenue]]&gt;20000,"High Value", IF(Pharma_Sales_Data[[#This Row],[Total Revenue]]&gt;=10000,"Medium Value","Low Value"))</f>
        <v>Low Value</v>
      </c>
    </row>
    <row r="855" spans="1:16" x14ac:dyDescent="0.35">
      <c r="A855" s="1">
        <v>42494</v>
      </c>
      <c r="B855">
        <v>7.34</v>
      </c>
      <c r="C855">
        <v>3</v>
      </c>
      <c r="D855">
        <v>5</v>
      </c>
      <c r="E855">
        <v>32.200000000000003</v>
      </c>
      <c r="F855">
        <v>4</v>
      </c>
      <c r="G855">
        <v>0</v>
      </c>
      <c r="H855">
        <v>1</v>
      </c>
      <c r="I855">
        <v>2</v>
      </c>
      <c r="J855">
        <v>2016</v>
      </c>
      <c r="K855">
        <v>5</v>
      </c>
      <c r="L855" t="s">
        <v>17</v>
      </c>
      <c r="M855">
        <f>SUM(Pharma_Sales_Data[[#This Row],[M01AB]:[R06]])</f>
        <v>54.540000000000006</v>
      </c>
      <c r="N855" s="2">
        <f>Pharma_Sales_Data[[#This Row],[Total Drug Sales]]*150</f>
        <v>8181.0000000000009</v>
      </c>
      <c r="O855" s="2">
        <f>Pharma_Sales_Data[[#This Row],[Total Revenue]]*0.3</f>
        <v>2454.3000000000002</v>
      </c>
      <c r="P855" t="str">
        <f>IF(Pharma_Sales_Data[[#This Row],[Total Revenue]]&gt;20000,"High Value", IF(Pharma_Sales_Data[[#This Row],[Total Revenue]]&gt;=10000,"Medium Value","Low Value"))</f>
        <v>Low Value</v>
      </c>
    </row>
    <row r="856" spans="1:16" x14ac:dyDescent="0.35">
      <c r="A856" s="1">
        <v>42495</v>
      </c>
      <c r="B856">
        <v>4.66</v>
      </c>
      <c r="C856">
        <v>3</v>
      </c>
      <c r="D856">
        <v>6</v>
      </c>
      <c r="E856">
        <v>41</v>
      </c>
      <c r="F856">
        <v>16</v>
      </c>
      <c r="G856">
        <v>3</v>
      </c>
      <c r="H856">
        <v>1</v>
      </c>
      <c r="I856">
        <v>2</v>
      </c>
      <c r="J856">
        <v>2016</v>
      </c>
      <c r="K856">
        <v>5</v>
      </c>
      <c r="L856" t="s">
        <v>11</v>
      </c>
      <c r="M856">
        <f>SUM(Pharma_Sales_Data[[#This Row],[M01AB]:[R06]])</f>
        <v>76.66</v>
      </c>
      <c r="N856" s="2">
        <f>Pharma_Sales_Data[[#This Row],[Total Drug Sales]]*150</f>
        <v>11499</v>
      </c>
      <c r="O856" s="2">
        <f>Pharma_Sales_Data[[#This Row],[Total Revenue]]*0.3</f>
        <v>3449.7</v>
      </c>
      <c r="P856" t="str">
        <f>IF(Pharma_Sales_Data[[#This Row],[Total Revenue]]&gt;20000,"High Value", IF(Pharma_Sales_Data[[#This Row],[Total Revenue]]&gt;=10000,"Medium Value","Low Value"))</f>
        <v>Medium Value</v>
      </c>
    </row>
    <row r="857" spans="1:16" x14ac:dyDescent="0.35">
      <c r="A857" s="1">
        <v>42496</v>
      </c>
      <c r="B857">
        <v>4</v>
      </c>
      <c r="C857">
        <v>2.99</v>
      </c>
      <c r="D857">
        <v>1</v>
      </c>
      <c r="E857">
        <v>33.6</v>
      </c>
      <c r="F857">
        <v>7</v>
      </c>
      <c r="G857">
        <v>0</v>
      </c>
      <c r="H857">
        <v>1</v>
      </c>
      <c r="I857">
        <v>3</v>
      </c>
      <c r="J857">
        <v>2016</v>
      </c>
      <c r="K857">
        <v>5</v>
      </c>
      <c r="L857" t="s">
        <v>12</v>
      </c>
      <c r="M857">
        <f>SUM(Pharma_Sales_Data[[#This Row],[M01AB]:[R06]])</f>
        <v>52.59</v>
      </c>
      <c r="N857" s="2">
        <f>Pharma_Sales_Data[[#This Row],[Total Drug Sales]]*150</f>
        <v>7888.5000000000009</v>
      </c>
      <c r="O857" s="2">
        <f>Pharma_Sales_Data[[#This Row],[Total Revenue]]*0.3</f>
        <v>2366.5500000000002</v>
      </c>
      <c r="P857" t="str">
        <f>IF(Pharma_Sales_Data[[#This Row],[Total Revenue]]&gt;20000,"High Value", IF(Pharma_Sales_Data[[#This Row],[Total Revenue]]&gt;=10000,"Medium Value","Low Value"))</f>
        <v>Low Value</v>
      </c>
    </row>
    <row r="858" spans="1:16" x14ac:dyDescent="0.35">
      <c r="A858" s="1">
        <v>42497</v>
      </c>
      <c r="B858">
        <v>3.99</v>
      </c>
      <c r="C858">
        <v>8.34</v>
      </c>
      <c r="D858">
        <v>4</v>
      </c>
      <c r="E858">
        <v>47.2</v>
      </c>
      <c r="F858">
        <v>5</v>
      </c>
      <c r="G858">
        <v>1</v>
      </c>
      <c r="H858">
        <v>0</v>
      </c>
      <c r="I858">
        <v>10</v>
      </c>
      <c r="J858">
        <v>2016</v>
      </c>
      <c r="K858">
        <v>5</v>
      </c>
      <c r="L858" t="s">
        <v>13</v>
      </c>
      <c r="M858">
        <f>SUM(Pharma_Sales_Data[[#This Row],[M01AB]:[R06]])</f>
        <v>79.53</v>
      </c>
      <c r="N858" s="2">
        <f>Pharma_Sales_Data[[#This Row],[Total Drug Sales]]*150</f>
        <v>11929.5</v>
      </c>
      <c r="O858" s="2">
        <f>Pharma_Sales_Data[[#This Row],[Total Revenue]]*0.3</f>
        <v>3578.85</v>
      </c>
      <c r="P858" t="str">
        <f>IF(Pharma_Sales_Data[[#This Row],[Total Revenue]]&gt;20000,"High Value", IF(Pharma_Sales_Data[[#This Row],[Total Revenue]]&gt;=10000,"Medium Value","Low Value"))</f>
        <v>Medium Value</v>
      </c>
    </row>
    <row r="859" spans="1:16" x14ac:dyDescent="0.35">
      <c r="A859" s="1">
        <v>42498</v>
      </c>
      <c r="B859">
        <v>5</v>
      </c>
      <c r="C859">
        <v>10.66</v>
      </c>
      <c r="D859">
        <v>1</v>
      </c>
      <c r="E859">
        <v>40.4</v>
      </c>
      <c r="F859">
        <v>12</v>
      </c>
      <c r="G859">
        <v>0</v>
      </c>
      <c r="H859">
        <v>1</v>
      </c>
      <c r="I859">
        <v>11</v>
      </c>
      <c r="J859">
        <v>2016</v>
      </c>
      <c r="K859">
        <v>5</v>
      </c>
      <c r="L859" t="s">
        <v>14</v>
      </c>
      <c r="M859">
        <f>SUM(Pharma_Sales_Data[[#This Row],[M01AB]:[R06]])</f>
        <v>81.06</v>
      </c>
      <c r="N859" s="2">
        <f>Pharma_Sales_Data[[#This Row],[Total Drug Sales]]*150</f>
        <v>12159</v>
      </c>
      <c r="O859" s="2">
        <f>Pharma_Sales_Data[[#This Row],[Total Revenue]]*0.3</f>
        <v>3647.7</v>
      </c>
      <c r="P859" t="str">
        <f>IF(Pharma_Sales_Data[[#This Row],[Total Revenue]]&gt;20000,"High Value", IF(Pharma_Sales_Data[[#This Row],[Total Revenue]]&gt;=10000,"Medium Value","Low Value"))</f>
        <v>Medium Value</v>
      </c>
    </row>
    <row r="860" spans="1:16" x14ac:dyDescent="0.35">
      <c r="A860" s="1">
        <v>42499</v>
      </c>
      <c r="B860">
        <v>5.67</v>
      </c>
      <c r="C860">
        <v>6.3630000000000004</v>
      </c>
      <c r="D860">
        <v>5</v>
      </c>
      <c r="E860">
        <v>29.2</v>
      </c>
      <c r="F860">
        <v>3</v>
      </c>
      <c r="G860">
        <v>0</v>
      </c>
      <c r="H860">
        <v>2</v>
      </c>
      <c r="I860">
        <v>5</v>
      </c>
      <c r="J860">
        <v>2016</v>
      </c>
      <c r="K860">
        <v>5</v>
      </c>
      <c r="L860" t="s">
        <v>15</v>
      </c>
      <c r="M860">
        <f>SUM(Pharma_Sales_Data[[#This Row],[M01AB]:[R06]])</f>
        <v>56.233000000000004</v>
      </c>
      <c r="N860" s="2">
        <f>Pharma_Sales_Data[[#This Row],[Total Drug Sales]]*150</f>
        <v>8434.9500000000007</v>
      </c>
      <c r="O860" s="2">
        <f>Pharma_Sales_Data[[#This Row],[Total Revenue]]*0.3</f>
        <v>2530.4850000000001</v>
      </c>
      <c r="P860" t="str">
        <f>IF(Pharma_Sales_Data[[#This Row],[Total Revenue]]&gt;20000,"High Value", IF(Pharma_Sales_Data[[#This Row],[Total Revenue]]&gt;=10000,"Medium Value","Low Value"))</f>
        <v>Low Value</v>
      </c>
    </row>
    <row r="861" spans="1:16" x14ac:dyDescent="0.35">
      <c r="A861" s="1">
        <v>42500</v>
      </c>
      <c r="B861">
        <v>7.33</v>
      </c>
      <c r="C861">
        <v>3.67</v>
      </c>
      <c r="D861">
        <v>7</v>
      </c>
      <c r="E861">
        <v>28.25</v>
      </c>
      <c r="F861">
        <v>4</v>
      </c>
      <c r="G861">
        <v>0</v>
      </c>
      <c r="H861">
        <v>2</v>
      </c>
      <c r="I861">
        <v>3.5</v>
      </c>
      <c r="J861">
        <v>2016</v>
      </c>
      <c r="K861">
        <v>5</v>
      </c>
      <c r="L861" t="s">
        <v>16</v>
      </c>
      <c r="M861">
        <f>SUM(Pharma_Sales_Data[[#This Row],[M01AB]:[R06]])</f>
        <v>55.75</v>
      </c>
      <c r="N861" s="2">
        <f>Pharma_Sales_Data[[#This Row],[Total Drug Sales]]*150</f>
        <v>8362.5</v>
      </c>
      <c r="O861" s="2">
        <f>Pharma_Sales_Data[[#This Row],[Total Revenue]]*0.3</f>
        <v>2508.75</v>
      </c>
      <c r="P861" t="str">
        <f>IF(Pharma_Sales_Data[[#This Row],[Total Revenue]]&gt;20000,"High Value", IF(Pharma_Sales_Data[[#This Row],[Total Revenue]]&gt;=10000,"Medium Value","Low Value"))</f>
        <v>Low Value</v>
      </c>
    </row>
    <row r="862" spans="1:16" x14ac:dyDescent="0.35">
      <c r="A862" s="1">
        <v>42501</v>
      </c>
      <c r="B862">
        <v>5.33</v>
      </c>
      <c r="C862">
        <v>4.66</v>
      </c>
      <c r="D862">
        <v>4</v>
      </c>
      <c r="E862">
        <v>23</v>
      </c>
      <c r="F862">
        <v>13</v>
      </c>
      <c r="G862">
        <v>0</v>
      </c>
      <c r="H862">
        <v>3</v>
      </c>
      <c r="I862">
        <v>2</v>
      </c>
      <c r="J862">
        <v>2016</v>
      </c>
      <c r="K862">
        <v>5</v>
      </c>
      <c r="L862" t="s">
        <v>17</v>
      </c>
      <c r="M862">
        <f>SUM(Pharma_Sales_Data[[#This Row],[M01AB]:[R06]])</f>
        <v>54.99</v>
      </c>
      <c r="N862" s="2">
        <f>Pharma_Sales_Data[[#This Row],[Total Drug Sales]]*150</f>
        <v>8248.5</v>
      </c>
      <c r="O862" s="2">
        <f>Pharma_Sales_Data[[#This Row],[Total Revenue]]*0.3</f>
        <v>2474.5499999999997</v>
      </c>
      <c r="P862" t="str">
        <f>IF(Pharma_Sales_Data[[#This Row],[Total Revenue]]&gt;20000,"High Value", IF(Pharma_Sales_Data[[#This Row],[Total Revenue]]&gt;=10000,"Medium Value","Low Value"))</f>
        <v>Low Value</v>
      </c>
    </row>
    <row r="863" spans="1:16" x14ac:dyDescent="0.35">
      <c r="A863" s="1">
        <v>42502</v>
      </c>
      <c r="B863">
        <v>3.01</v>
      </c>
      <c r="C863">
        <v>1.7589999999999999</v>
      </c>
      <c r="D863">
        <v>8</v>
      </c>
      <c r="E863">
        <v>28.1</v>
      </c>
      <c r="F863">
        <v>8</v>
      </c>
      <c r="G863">
        <v>1</v>
      </c>
      <c r="H863">
        <v>2</v>
      </c>
      <c r="I863">
        <v>0</v>
      </c>
      <c r="J863">
        <v>2016</v>
      </c>
      <c r="K863">
        <v>5</v>
      </c>
      <c r="L863" t="s">
        <v>11</v>
      </c>
      <c r="M863">
        <f>SUM(Pharma_Sales_Data[[#This Row],[M01AB]:[R06]])</f>
        <v>51.869</v>
      </c>
      <c r="N863" s="2">
        <f>Pharma_Sales_Data[[#This Row],[Total Drug Sales]]*150</f>
        <v>7780.35</v>
      </c>
      <c r="O863" s="2">
        <f>Pharma_Sales_Data[[#This Row],[Total Revenue]]*0.3</f>
        <v>2334.105</v>
      </c>
      <c r="P863" t="str">
        <f>IF(Pharma_Sales_Data[[#This Row],[Total Revenue]]&gt;20000,"High Value", IF(Pharma_Sales_Data[[#This Row],[Total Revenue]]&gt;=10000,"Medium Value","Low Value"))</f>
        <v>Low Value</v>
      </c>
    </row>
    <row r="864" spans="1:16" x14ac:dyDescent="0.35">
      <c r="A864" s="1">
        <v>42503</v>
      </c>
      <c r="B864">
        <v>2.33</v>
      </c>
      <c r="C864">
        <v>2.33</v>
      </c>
      <c r="D864">
        <v>3</v>
      </c>
      <c r="E864">
        <v>37</v>
      </c>
      <c r="F864">
        <v>9</v>
      </c>
      <c r="G864">
        <v>0</v>
      </c>
      <c r="H864">
        <v>0</v>
      </c>
      <c r="I864">
        <v>5</v>
      </c>
      <c r="J864">
        <v>2016</v>
      </c>
      <c r="K864">
        <v>5</v>
      </c>
      <c r="L864" t="s">
        <v>12</v>
      </c>
      <c r="M864">
        <f>SUM(Pharma_Sales_Data[[#This Row],[M01AB]:[R06]])</f>
        <v>58.66</v>
      </c>
      <c r="N864" s="2">
        <f>Pharma_Sales_Data[[#This Row],[Total Drug Sales]]*150</f>
        <v>8799</v>
      </c>
      <c r="O864" s="2">
        <f>Pharma_Sales_Data[[#This Row],[Total Revenue]]*0.3</f>
        <v>2639.7</v>
      </c>
      <c r="P864" t="str">
        <f>IF(Pharma_Sales_Data[[#This Row],[Total Revenue]]&gt;20000,"High Value", IF(Pharma_Sales_Data[[#This Row],[Total Revenue]]&gt;=10000,"Medium Value","Low Value"))</f>
        <v>Low Value</v>
      </c>
    </row>
    <row r="865" spans="1:16" x14ac:dyDescent="0.35">
      <c r="A865" s="1">
        <v>42504</v>
      </c>
      <c r="B865">
        <v>5.34</v>
      </c>
      <c r="C865">
        <v>4.67</v>
      </c>
      <c r="D865">
        <v>5.55</v>
      </c>
      <c r="E865">
        <v>31.25</v>
      </c>
      <c r="F865">
        <v>13</v>
      </c>
      <c r="G865">
        <v>0</v>
      </c>
      <c r="H865">
        <v>21</v>
      </c>
      <c r="I865">
        <v>1</v>
      </c>
      <c r="J865">
        <v>2016</v>
      </c>
      <c r="K865">
        <v>5</v>
      </c>
      <c r="L865" t="s">
        <v>13</v>
      </c>
      <c r="M865">
        <f>SUM(Pharma_Sales_Data[[#This Row],[M01AB]:[R06]])</f>
        <v>81.81</v>
      </c>
      <c r="N865" s="2">
        <f>Pharma_Sales_Data[[#This Row],[Total Drug Sales]]*150</f>
        <v>12271.5</v>
      </c>
      <c r="O865" s="2">
        <f>Pharma_Sales_Data[[#This Row],[Total Revenue]]*0.3</f>
        <v>3681.45</v>
      </c>
      <c r="P865" t="str">
        <f>IF(Pharma_Sales_Data[[#This Row],[Total Revenue]]&gt;20000,"High Value", IF(Pharma_Sales_Data[[#This Row],[Total Revenue]]&gt;=10000,"Medium Value","Low Value"))</f>
        <v>Medium Value</v>
      </c>
    </row>
    <row r="866" spans="1:16" x14ac:dyDescent="0.35">
      <c r="A866" s="1">
        <v>42505</v>
      </c>
      <c r="B866">
        <v>5.33</v>
      </c>
      <c r="C866">
        <v>8.1880000000000006</v>
      </c>
      <c r="D866">
        <v>1.2</v>
      </c>
      <c r="E866">
        <v>44.1</v>
      </c>
      <c r="F866">
        <v>6</v>
      </c>
      <c r="G866">
        <v>0</v>
      </c>
      <c r="H866">
        <v>5</v>
      </c>
      <c r="I866">
        <v>4</v>
      </c>
      <c r="J866">
        <v>2016</v>
      </c>
      <c r="K866">
        <v>5</v>
      </c>
      <c r="L866" t="s">
        <v>14</v>
      </c>
      <c r="M866">
        <f>SUM(Pharma_Sales_Data[[#This Row],[M01AB]:[R06]])</f>
        <v>73.817999999999998</v>
      </c>
      <c r="N866" s="2">
        <f>Pharma_Sales_Data[[#This Row],[Total Drug Sales]]*150</f>
        <v>11072.699999999999</v>
      </c>
      <c r="O866" s="2">
        <f>Pharma_Sales_Data[[#This Row],[Total Revenue]]*0.3</f>
        <v>3321.8099999999995</v>
      </c>
      <c r="P866" t="str">
        <f>IF(Pharma_Sales_Data[[#This Row],[Total Revenue]]&gt;20000,"High Value", IF(Pharma_Sales_Data[[#This Row],[Total Revenue]]&gt;=10000,"Medium Value","Low Value"))</f>
        <v>Medium Value</v>
      </c>
    </row>
    <row r="867" spans="1:16" x14ac:dyDescent="0.35">
      <c r="A867" s="1">
        <v>42506</v>
      </c>
      <c r="B867">
        <v>5</v>
      </c>
      <c r="C867">
        <v>3.66</v>
      </c>
      <c r="D867">
        <v>2</v>
      </c>
      <c r="E867">
        <v>24</v>
      </c>
      <c r="F867">
        <v>17</v>
      </c>
      <c r="G867">
        <v>0</v>
      </c>
      <c r="H867">
        <v>2</v>
      </c>
      <c r="I867">
        <v>3</v>
      </c>
      <c r="J867">
        <v>2016</v>
      </c>
      <c r="K867">
        <v>5</v>
      </c>
      <c r="L867" t="s">
        <v>15</v>
      </c>
      <c r="M867">
        <f>SUM(Pharma_Sales_Data[[#This Row],[M01AB]:[R06]])</f>
        <v>56.66</v>
      </c>
      <c r="N867" s="2">
        <f>Pharma_Sales_Data[[#This Row],[Total Drug Sales]]*150</f>
        <v>8499</v>
      </c>
      <c r="O867" s="2">
        <f>Pharma_Sales_Data[[#This Row],[Total Revenue]]*0.3</f>
        <v>2549.6999999999998</v>
      </c>
      <c r="P867" t="str">
        <f>IF(Pharma_Sales_Data[[#This Row],[Total Revenue]]&gt;20000,"High Value", IF(Pharma_Sales_Data[[#This Row],[Total Revenue]]&gt;=10000,"Medium Value","Low Value"))</f>
        <v>Low Value</v>
      </c>
    </row>
    <row r="868" spans="1:16" x14ac:dyDescent="0.35">
      <c r="A868" s="1">
        <v>42507</v>
      </c>
      <c r="B868">
        <v>4</v>
      </c>
      <c r="C868">
        <v>2.33</v>
      </c>
      <c r="D868">
        <v>7.1</v>
      </c>
      <c r="E868">
        <v>38.4</v>
      </c>
      <c r="F868">
        <v>4</v>
      </c>
      <c r="G868">
        <v>0</v>
      </c>
      <c r="H868">
        <v>1</v>
      </c>
      <c r="I868">
        <v>3.2</v>
      </c>
      <c r="J868">
        <v>2016</v>
      </c>
      <c r="K868">
        <v>5</v>
      </c>
      <c r="L868" t="s">
        <v>16</v>
      </c>
      <c r="M868">
        <f>SUM(Pharma_Sales_Data[[#This Row],[M01AB]:[R06]])</f>
        <v>60.03</v>
      </c>
      <c r="N868" s="2">
        <f>Pharma_Sales_Data[[#This Row],[Total Drug Sales]]*150</f>
        <v>9004.5</v>
      </c>
      <c r="O868" s="2">
        <f>Pharma_Sales_Data[[#This Row],[Total Revenue]]*0.3</f>
        <v>2701.35</v>
      </c>
      <c r="P868" t="str">
        <f>IF(Pharma_Sales_Data[[#This Row],[Total Revenue]]&gt;20000,"High Value", IF(Pharma_Sales_Data[[#This Row],[Total Revenue]]&gt;=10000,"Medium Value","Low Value"))</f>
        <v>Low Value</v>
      </c>
    </row>
    <row r="869" spans="1:16" x14ac:dyDescent="0.35">
      <c r="A869" s="1">
        <v>42508</v>
      </c>
      <c r="B869">
        <v>4</v>
      </c>
      <c r="C869">
        <v>5.33</v>
      </c>
      <c r="D869">
        <v>5.25</v>
      </c>
      <c r="E869">
        <v>35</v>
      </c>
      <c r="F869">
        <v>7</v>
      </c>
      <c r="G869">
        <v>0</v>
      </c>
      <c r="H869">
        <v>1</v>
      </c>
      <c r="I869">
        <v>5</v>
      </c>
      <c r="J869">
        <v>2016</v>
      </c>
      <c r="K869">
        <v>5</v>
      </c>
      <c r="L869" t="s">
        <v>17</v>
      </c>
      <c r="M869">
        <f>SUM(Pharma_Sales_Data[[#This Row],[M01AB]:[R06]])</f>
        <v>62.58</v>
      </c>
      <c r="N869" s="2">
        <f>Pharma_Sales_Data[[#This Row],[Total Drug Sales]]*150</f>
        <v>9387</v>
      </c>
      <c r="O869" s="2">
        <f>Pharma_Sales_Data[[#This Row],[Total Revenue]]*0.3</f>
        <v>2816.1</v>
      </c>
      <c r="P869" t="str">
        <f>IF(Pharma_Sales_Data[[#This Row],[Total Revenue]]&gt;20000,"High Value", IF(Pharma_Sales_Data[[#This Row],[Total Revenue]]&gt;=10000,"Medium Value","Low Value"))</f>
        <v>Low Value</v>
      </c>
    </row>
    <row r="870" spans="1:16" x14ac:dyDescent="0.35">
      <c r="A870" s="1">
        <v>42509</v>
      </c>
      <c r="B870">
        <v>6.34</v>
      </c>
      <c r="C870">
        <v>5.66</v>
      </c>
      <c r="D870">
        <v>2</v>
      </c>
      <c r="E870">
        <v>30.5</v>
      </c>
      <c r="F870">
        <v>10</v>
      </c>
      <c r="G870">
        <v>0</v>
      </c>
      <c r="H870">
        <v>16</v>
      </c>
      <c r="I870">
        <v>3</v>
      </c>
      <c r="J870">
        <v>2016</v>
      </c>
      <c r="K870">
        <v>5</v>
      </c>
      <c r="L870" t="s">
        <v>11</v>
      </c>
      <c r="M870">
        <f>SUM(Pharma_Sales_Data[[#This Row],[M01AB]:[R06]])</f>
        <v>73.5</v>
      </c>
      <c r="N870" s="2">
        <f>Pharma_Sales_Data[[#This Row],[Total Drug Sales]]*150</f>
        <v>11025</v>
      </c>
      <c r="O870" s="2">
        <f>Pharma_Sales_Data[[#This Row],[Total Revenue]]*0.3</f>
        <v>3307.5</v>
      </c>
      <c r="P870" t="str">
        <f>IF(Pharma_Sales_Data[[#This Row],[Total Revenue]]&gt;20000,"High Value", IF(Pharma_Sales_Data[[#This Row],[Total Revenue]]&gt;=10000,"Medium Value","Low Value"))</f>
        <v>Medium Value</v>
      </c>
    </row>
    <row r="871" spans="1:16" x14ac:dyDescent="0.35">
      <c r="A871" s="1">
        <v>42510</v>
      </c>
      <c r="B871">
        <v>3</v>
      </c>
      <c r="C871">
        <v>1.1319999999999999</v>
      </c>
      <c r="D871">
        <v>3</v>
      </c>
      <c r="E871">
        <v>14</v>
      </c>
      <c r="F871">
        <v>14</v>
      </c>
      <c r="G871">
        <v>2</v>
      </c>
      <c r="H871">
        <v>9</v>
      </c>
      <c r="I871">
        <v>5</v>
      </c>
      <c r="J871">
        <v>2016</v>
      </c>
      <c r="K871">
        <v>5</v>
      </c>
      <c r="L871" t="s">
        <v>12</v>
      </c>
      <c r="M871">
        <f>SUM(Pharma_Sales_Data[[#This Row],[M01AB]:[R06]])</f>
        <v>51.131999999999998</v>
      </c>
      <c r="N871" s="2">
        <f>Pharma_Sales_Data[[#This Row],[Total Drug Sales]]*150</f>
        <v>7669.7999999999993</v>
      </c>
      <c r="O871" s="2">
        <f>Pharma_Sales_Data[[#This Row],[Total Revenue]]*0.3</f>
        <v>2300.9399999999996</v>
      </c>
      <c r="P871" t="str">
        <f>IF(Pharma_Sales_Data[[#This Row],[Total Revenue]]&gt;20000,"High Value", IF(Pharma_Sales_Data[[#This Row],[Total Revenue]]&gt;=10000,"Medium Value","Low Value"))</f>
        <v>Low Value</v>
      </c>
    </row>
    <row r="872" spans="1:16" x14ac:dyDescent="0.35">
      <c r="A872" s="1">
        <v>42511</v>
      </c>
      <c r="B872">
        <v>2</v>
      </c>
      <c r="C872">
        <v>5.34</v>
      </c>
      <c r="D872">
        <v>5.2</v>
      </c>
      <c r="E872">
        <v>42.5</v>
      </c>
      <c r="F872">
        <v>3</v>
      </c>
      <c r="G872">
        <v>0</v>
      </c>
      <c r="H872">
        <v>17</v>
      </c>
      <c r="I872">
        <v>5</v>
      </c>
      <c r="J872">
        <v>2016</v>
      </c>
      <c r="K872">
        <v>5</v>
      </c>
      <c r="L872" t="s">
        <v>13</v>
      </c>
      <c r="M872">
        <f>SUM(Pharma_Sales_Data[[#This Row],[M01AB]:[R06]])</f>
        <v>80.039999999999992</v>
      </c>
      <c r="N872" s="2">
        <f>Pharma_Sales_Data[[#This Row],[Total Drug Sales]]*150</f>
        <v>12005.999999999998</v>
      </c>
      <c r="O872" s="2">
        <f>Pharma_Sales_Data[[#This Row],[Total Revenue]]*0.3</f>
        <v>3601.7999999999993</v>
      </c>
      <c r="P872" t="str">
        <f>IF(Pharma_Sales_Data[[#This Row],[Total Revenue]]&gt;20000,"High Value", IF(Pharma_Sales_Data[[#This Row],[Total Revenue]]&gt;=10000,"Medium Value","Low Value"))</f>
        <v>Medium Value</v>
      </c>
    </row>
    <row r="873" spans="1:16" x14ac:dyDescent="0.35">
      <c r="A873" s="1">
        <v>42512</v>
      </c>
      <c r="B873">
        <v>4.34</v>
      </c>
      <c r="C873">
        <v>4.51</v>
      </c>
      <c r="D873">
        <v>9.0500000000000007</v>
      </c>
      <c r="E873">
        <v>55.6</v>
      </c>
      <c r="F873">
        <v>6</v>
      </c>
      <c r="G873">
        <v>1</v>
      </c>
      <c r="H873">
        <v>0</v>
      </c>
      <c r="I873">
        <v>10</v>
      </c>
      <c r="J873">
        <v>2016</v>
      </c>
      <c r="K873">
        <v>5</v>
      </c>
      <c r="L873" t="s">
        <v>14</v>
      </c>
      <c r="M873">
        <f>SUM(Pharma_Sales_Data[[#This Row],[M01AB]:[R06]])</f>
        <v>90.5</v>
      </c>
      <c r="N873" s="2">
        <f>Pharma_Sales_Data[[#This Row],[Total Drug Sales]]*150</f>
        <v>13575</v>
      </c>
      <c r="O873" s="2">
        <f>Pharma_Sales_Data[[#This Row],[Total Revenue]]*0.3</f>
        <v>4072.5</v>
      </c>
      <c r="P873" t="str">
        <f>IF(Pharma_Sales_Data[[#This Row],[Total Revenue]]&gt;20000,"High Value", IF(Pharma_Sales_Data[[#This Row],[Total Revenue]]&gt;=10000,"Medium Value","Low Value"))</f>
        <v>Medium Value</v>
      </c>
    </row>
    <row r="874" spans="1:16" x14ac:dyDescent="0.35">
      <c r="A874" s="1">
        <v>42513</v>
      </c>
      <c r="B874">
        <v>5</v>
      </c>
      <c r="C874">
        <v>2.363</v>
      </c>
      <c r="D874">
        <v>5</v>
      </c>
      <c r="E874">
        <v>54.7</v>
      </c>
      <c r="F874">
        <v>19</v>
      </c>
      <c r="G874">
        <v>0</v>
      </c>
      <c r="H874">
        <v>7</v>
      </c>
      <c r="I874">
        <v>4</v>
      </c>
      <c r="J874">
        <v>2016</v>
      </c>
      <c r="K874">
        <v>5</v>
      </c>
      <c r="L874" t="s">
        <v>15</v>
      </c>
      <c r="M874">
        <f>SUM(Pharma_Sales_Data[[#This Row],[M01AB]:[R06]])</f>
        <v>97.063000000000002</v>
      </c>
      <c r="N874" s="2">
        <f>Pharma_Sales_Data[[#This Row],[Total Drug Sales]]*150</f>
        <v>14559.45</v>
      </c>
      <c r="O874" s="2">
        <f>Pharma_Sales_Data[[#This Row],[Total Revenue]]*0.3</f>
        <v>4367.835</v>
      </c>
      <c r="P874" t="str">
        <f>IF(Pharma_Sales_Data[[#This Row],[Total Revenue]]&gt;20000,"High Value", IF(Pharma_Sales_Data[[#This Row],[Total Revenue]]&gt;=10000,"Medium Value","Low Value"))</f>
        <v>Medium Value</v>
      </c>
    </row>
    <row r="875" spans="1:16" x14ac:dyDescent="0.35">
      <c r="A875" s="1">
        <v>42514</v>
      </c>
      <c r="B875">
        <v>12</v>
      </c>
      <c r="C875">
        <v>3.1669999999999998</v>
      </c>
      <c r="D875">
        <v>4</v>
      </c>
      <c r="E875">
        <v>32</v>
      </c>
      <c r="F875">
        <v>3</v>
      </c>
      <c r="G875">
        <v>0</v>
      </c>
      <c r="H875">
        <v>3</v>
      </c>
      <c r="I875">
        <v>2</v>
      </c>
      <c r="J875">
        <v>2016</v>
      </c>
      <c r="K875">
        <v>5</v>
      </c>
      <c r="L875" t="s">
        <v>16</v>
      </c>
      <c r="M875">
        <f>SUM(Pharma_Sales_Data[[#This Row],[M01AB]:[R06]])</f>
        <v>59.167000000000002</v>
      </c>
      <c r="N875" s="2">
        <f>Pharma_Sales_Data[[#This Row],[Total Drug Sales]]*150</f>
        <v>8875.0500000000011</v>
      </c>
      <c r="O875" s="2">
        <f>Pharma_Sales_Data[[#This Row],[Total Revenue]]*0.3</f>
        <v>2662.5150000000003</v>
      </c>
      <c r="P875" t="str">
        <f>IF(Pharma_Sales_Data[[#This Row],[Total Revenue]]&gt;20000,"High Value", IF(Pharma_Sales_Data[[#This Row],[Total Revenue]]&gt;=10000,"Medium Value","Low Value"))</f>
        <v>Low Value</v>
      </c>
    </row>
    <row r="876" spans="1:16" x14ac:dyDescent="0.35">
      <c r="A876" s="1">
        <v>42515</v>
      </c>
      <c r="B876">
        <v>8.34</v>
      </c>
      <c r="C876">
        <v>1.67</v>
      </c>
      <c r="D876">
        <v>6</v>
      </c>
      <c r="E876">
        <v>25.05</v>
      </c>
      <c r="F876">
        <v>16</v>
      </c>
      <c r="G876">
        <v>1</v>
      </c>
      <c r="H876">
        <v>0</v>
      </c>
      <c r="I876">
        <v>1.2</v>
      </c>
      <c r="J876">
        <v>2016</v>
      </c>
      <c r="K876">
        <v>5</v>
      </c>
      <c r="L876" t="s">
        <v>17</v>
      </c>
      <c r="M876">
        <f>SUM(Pharma_Sales_Data[[#This Row],[M01AB]:[R06]])</f>
        <v>59.260000000000005</v>
      </c>
      <c r="N876" s="2">
        <f>Pharma_Sales_Data[[#This Row],[Total Drug Sales]]*150</f>
        <v>8889</v>
      </c>
      <c r="O876" s="2">
        <f>Pharma_Sales_Data[[#This Row],[Total Revenue]]*0.3</f>
        <v>2666.7</v>
      </c>
      <c r="P876" t="str">
        <f>IF(Pharma_Sales_Data[[#This Row],[Total Revenue]]&gt;20000,"High Value", IF(Pharma_Sales_Data[[#This Row],[Total Revenue]]&gt;=10000,"Medium Value","Low Value"))</f>
        <v>Low Value</v>
      </c>
    </row>
    <row r="877" spans="1:16" x14ac:dyDescent="0.35">
      <c r="A877" s="1">
        <v>42516</v>
      </c>
      <c r="B877">
        <v>4.67</v>
      </c>
      <c r="C877">
        <v>5.33</v>
      </c>
      <c r="D877">
        <v>5.35</v>
      </c>
      <c r="E877">
        <v>24.8</v>
      </c>
      <c r="F877">
        <v>20</v>
      </c>
      <c r="G877">
        <v>1</v>
      </c>
      <c r="H877">
        <v>0</v>
      </c>
      <c r="I877">
        <v>9</v>
      </c>
      <c r="J877">
        <v>2016</v>
      </c>
      <c r="K877">
        <v>5</v>
      </c>
      <c r="L877" t="s">
        <v>11</v>
      </c>
      <c r="M877">
        <f>SUM(Pharma_Sales_Data[[#This Row],[M01AB]:[R06]])</f>
        <v>70.150000000000006</v>
      </c>
      <c r="N877" s="2">
        <f>Pharma_Sales_Data[[#This Row],[Total Drug Sales]]*150</f>
        <v>10522.5</v>
      </c>
      <c r="O877" s="2">
        <f>Pharma_Sales_Data[[#This Row],[Total Revenue]]*0.3</f>
        <v>3156.75</v>
      </c>
      <c r="P877" t="str">
        <f>IF(Pharma_Sales_Data[[#This Row],[Total Revenue]]&gt;20000,"High Value", IF(Pharma_Sales_Data[[#This Row],[Total Revenue]]&gt;=10000,"Medium Value","Low Value"))</f>
        <v>Medium Value</v>
      </c>
    </row>
    <row r="878" spans="1:16" x14ac:dyDescent="0.35">
      <c r="A878" s="1">
        <v>42517</v>
      </c>
      <c r="B878">
        <v>8.67</v>
      </c>
      <c r="C878">
        <v>2.6829999999999998</v>
      </c>
      <c r="D878">
        <v>5.25</v>
      </c>
      <c r="E878">
        <v>17</v>
      </c>
      <c r="F878">
        <v>14</v>
      </c>
      <c r="G878">
        <v>7</v>
      </c>
      <c r="H878">
        <v>2</v>
      </c>
      <c r="I878">
        <v>6</v>
      </c>
      <c r="J878">
        <v>2016</v>
      </c>
      <c r="K878">
        <v>5</v>
      </c>
      <c r="L878" t="s">
        <v>12</v>
      </c>
      <c r="M878">
        <f>SUM(Pharma_Sales_Data[[#This Row],[M01AB]:[R06]])</f>
        <v>62.603000000000002</v>
      </c>
      <c r="N878" s="2">
        <f>Pharma_Sales_Data[[#This Row],[Total Drug Sales]]*150</f>
        <v>9390.4500000000007</v>
      </c>
      <c r="O878" s="2">
        <f>Pharma_Sales_Data[[#This Row],[Total Revenue]]*0.3</f>
        <v>2817.1350000000002</v>
      </c>
      <c r="P878" t="str">
        <f>IF(Pharma_Sales_Data[[#This Row],[Total Revenue]]&gt;20000,"High Value", IF(Pharma_Sales_Data[[#This Row],[Total Revenue]]&gt;=10000,"Medium Value","Low Value"))</f>
        <v>Low Value</v>
      </c>
    </row>
    <row r="879" spans="1:16" x14ac:dyDescent="0.35">
      <c r="A879" s="1">
        <v>42518</v>
      </c>
      <c r="B879">
        <v>12.33</v>
      </c>
      <c r="C879">
        <v>0.36299999999999999</v>
      </c>
      <c r="D879">
        <v>3</v>
      </c>
      <c r="E879">
        <v>43</v>
      </c>
      <c r="F879">
        <v>4</v>
      </c>
      <c r="G879">
        <v>0</v>
      </c>
      <c r="H879">
        <v>4</v>
      </c>
      <c r="I879">
        <v>9</v>
      </c>
      <c r="J879">
        <v>2016</v>
      </c>
      <c r="K879">
        <v>5</v>
      </c>
      <c r="L879" t="s">
        <v>13</v>
      </c>
      <c r="M879">
        <f>SUM(Pharma_Sales_Data[[#This Row],[M01AB]:[R06]])</f>
        <v>75.692999999999998</v>
      </c>
      <c r="N879" s="2">
        <f>Pharma_Sales_Data[[#This Row],[Total Drug Sales]]*150</f>
        <v>11353.949999999999</v>
      </c>
      <c r="O879" s="2">
        <f>Pharma_Sales_Data[[#This Row],[Total Revenue]]*0.3</f>
        <v>3406.1849999999995</v>
      </c>
      <c r="P879" t="str">
        <f>IF(Pharma_Sales_Data[[#This Row],[Total Revenue]]&gt;20000,"High Value", IF(Pharma_Sales_Data[[#This Row],[Total Revenue]]&gt;=10000,"Medium Value","Low Value"))</f>
        <v>Medium Value</v>
      </c>
    </row>
    <row r="880" spans="1:16" x14ac:dyDescent="0.35">
      <c r="A880" s="1">
        <v>42519</v>
      </c>
      <c r="B880">
        <v>8.67</v>
      </c>
      <c r="C880">
        <v>4.33</v>
      </c>
      <c r="D880">
        <v>6</v>
      </c>
      <c r="E880">
        <v>31.8</v>
      </c>
      <c r="F880">
        <v>2</v>
      </c>
      <c r="G880">
        <v>1</v>
      </c>
      <c r="H880">
        <v>5</v>
      </c>
      <c r="I880">
        <v>9.1999999999999993</v>
      </c>
      <c r="J880">
        <v>2016</v>
      </c>
      <c r="K880">
        <v>5</v>
      </c>
      <c r="L880" t="s">
        <v>14</v>
      </c>
      <c r="M880">
        <f>SUM(Pharma_Sales_Data[[#This Row],[M01AB]:[R06]])</f>
        <v>68</v>
      </c>
      <c r="N880" s="2">
        <f>Pharma_Sales_Data[[#This Row],[Total Drug Sales]]*150</f>
        <v>10200</v>
      </c>
      <c r="O880" s="2">
        <f>Pharma_Sales_Data[[#This Row],[Total Revenue]]*0.3</f>
        <v>3060</v>
      </c>
      <c r="P880" t="str">
        <f>IF(Pharma_Sales_Data[[#This Row],[Total Revenue]]&gt;20000,"High Value", IF(Pharma_Sales_Data[[#This Row],[Total Revenue]]&gt;=10000,"Medium Value","Low Value"))</f>
        <v>Medium Value</v>
      </c>
    </row>
    <row r="881" spans="1:16" x14ac:dyDescent="0.35">
      <c r="A881" s="1">
        <v>42520</v>
      </c>
      <c r="B881">
        <v>3.34</v>
      </c>
      <c r="C881">
        <v>3.0230000000000001</v>
      </c>
      <c r="D881">
        <v>4.0999999999999996</v>
      </c>
      <c r="E881">
        <v>29.4</v>
      </c>
      <c r="F881">
        <v>3</v>
      </c>
      <c r="G881">
        <v>0</v>
      </c>
      <c r="H881">
        <v>7</v>
      </c>
      <c r="I881">
        <v>8</v>
      </c>
      <c r="J881">
        <v>2016</v>
      </c>
      <c r="K881">
        <v>5</v>
      </c>
      <c r="L881" t="s">
        <v>15</v>
      </c>
      <c r="M881">
        <f>SUM(Pharma_Sales_Data[[#This Row],[M01AB]:[R06]])</f>
        <v>57.863</v>
      </c>
      <c r="N881" s="2">
        <f>Pharma_Sales_Data[[#This Row],[Total Drug Sales]]*150</f>
        <v>8679.4500000000007</v>
      </c>
      <c r="O881" s="2">
        <f>Pharma_Sales_Data[[#This Row],[Total Revenue]]*0.3</f>
        <v>2603.835</v>
      </c>
      <c r="P881" t="str">
        <f>IF(Pharma_Sales_Data[[#This Row],[Total Revenue]]&gt;20000,"High Value", IF(Pharma_Sales_Data[[#This Row],[Total Revenue]]&gt;=10000,"Medium Value","Low Value"))</f>
        <v>Low Value</v>
      </c>
    </row>
    <row r="882" spans="1:16" x14ac:dyDescent="0.35">
      <c r="A882" s="1">
        <v>42521</v>
      </c>
      <c r="B882">
        <v>6</v>
      </c>
      <c r="C882">
        <v>3.33</v>
      </c>
      <c r="D882">
        <v>3.5</v>
      </c>
      <c r="E882">
        <v>21</v>
      </c>
      <c r="F882">
        <v>3</v>
      </c>
      <c r="G882">
        <v>0</v>
      </c>
      <c r="H882">
        <v>13</v>
      </c>
      <c r="I882">
        <v>2</v>
      </c>
      <c r="J882">
        <v>2016</v>
      </c>
      <c r="K882">
        <v>5</v>
      </c>
      <c r="L882" t="s">
        <v>16</v>
      </c>
      <c r="M882">
        <f>SUM(Pharma_Sales_Data[[#This Row],[M01AB]:[R06]])</f>
        <v>51.83</v>
      </c>
      <c r="N882" s="2">
        <f>Pharma_Sales_Data[[#This Row],[Total Drug Sales]]*150</f>
        <v>7774.5</v>
      </c>
      <c r="O882" s="2">
        <f>Pharma_Sales_Data[[#This Row],[Total Revenue]]*0.3</f>
        <v>2332.35</v>
      </c>
      <c r="P882" t="str">
        <f>IF(Pharma_Sales_Data[[#This Row],[Total Revenue]]&gt;20000,"High Value", IF(Pharma_Sales_Data[[#This Row],[Total Revenue]]&gt;=10000,"Medium Value","Low Value"))</f>
        <v>Low Value</v>
      </c>
    </row>
    <row r="883" spans="1:16" x14ac:dyDescent="0.35">
      <c r="A883" s="1">
        <v>42522</v>
      </c>
      <c r="B883">
        <v>9</v>
      </c>
      <c r="C883">
        <v>1.1000000000000001</v>
      </c>
      <c r="D883">
        <v>2</v>
      </c>
      <c r="E883">
        <v>20</v>
      </c>
      <c r="F883">
        <v>11</v>
      </c>
      <c r="G883">
        <v>0</v>
      </c>
      <c r="H883">
        <v>7</v>
      </c>
      <c r="I883">
        <v>5</v>
      </c>
      <c r="J883">
        <v>2016</v>
      </c>
      <c r="K883">
        <v>6</v>
      </c>
      <c r="L883" t="s">
        <v>17</v>
      </c>
      <c r="M883">
        <f>SUM(Pharma_Sales_Data[[#This Row],[M01AB]:[R06]])</f>
        <v>55.1</v>
      </c>
      <c r="N883" s="2">
        <f>Pharma_Sales_Data[[#This Row],[Total Drug Sales]]*150</f>
        <v>8265</v>
      </c>
      <c r="O883" s="2">
        <f>Pharma_Sales_Data[[#This Row],[Total Revenue]]*0.3</f>
        <v>2479.5</v>
      </c>
      <c r="P883" t="str">
        <f>IF(Pharma_Sales_Data[[#This Row],[Total Revenue]]&gt;20000,"High Value", IF(Pharma_Sales_Data[[#This Row],[Total Revenue]]&gt;=10000,"Medium Value","Low Value"))</f>
        <v>Low Value</v>
      </c>
    </row>
    <row r="884" spans="1:16" x14ac:dyDescent="0.35">
      <c r="A884" s="1">
        <v>42523</v>
      </c>
      <c r="B884">
        <v>2.33</v>
      </c>
      <c r="C884">
        <v>6</v>
      </c>
      <c r="D884">
        <v>1.05</v>
      </c>
      <c r="E884">
        <v>21.25</v>
      </c>
      <c r="F884">
        <v>18</v>
      </c>
      <c r="G884">
        <v>3</v>
      </c>
      <c r="H884">
        <v>4</v>
      </c>
      <c r="I884">
        <v>1</v>
      </c>
      <c r="J884">
        <v>2016</v>
      </c>
      <c r="K884">
        <v>6</v>
      </c>
      <c r="L884" t="s">
        <v>11</v>
      </c>
      <c r="M884">
        <f>SUM(Pharma_Sales_Data[[#This Row],[M01AB]:[R06]])</f>
        <v>56.63</v>
      </c>
      <c r="N884" s="2">
        <f>Pharma_Sales_Data[[#This Row],[Total Drug Sales]]*150</f>
        <v>8494.5</v>
      </c>
      <c r="O884" s="2">
        <f>Pharma_Sales_Data[[#This Row],[Total Revenue]]*0.3</f>
        <v>2548.35</v>
      </c>
      <c r="P884" t="str">
        <f>IF(Pharma_Sales_Data[[#This Row],[Total Revenue]]&gt;20000,"High Value", IF(Pharma_Sales_Data[[#This Row],[Total Revenue]]&gt;=10000,"Medium Value","Low Value"))</f>
        <v>Low Value</v>
      </c>
    </row>
    <row r="885" spans="1:16" x14ac:dyDescent="0.35">
      <c r="A885" s="1">
        <v>42524</v>
      </c>
      <c r="B885">
        <v>7.33</v>
      </c>
      <c r="C885">
        <v>3</v>
      </c>
      <c r="D885">
        <v>4</v>
      </c>
      <c r="E885">
        <v>18</v>
      </c>
      <c r="F885">
        <v>8</v>
      </c>
      <c r="G885">
        <v>0</v>
      </c>
      <c r="H885">
        <v>1</v>
      </c>
      <c r="I885">
        <v>7</v>
      </c>
      <c r="J885">
        <v>2016</v>
      </c>
      <c r="K885">
        <v>6</v>
      </c>
      <c r="L885" t="s">
        <v>12</v>
      </c>
      <c r="M885">
        <f>SUM(Pharma_Sales_Data[[#This Row],[M01AB]:[R06]])</f>
        <v>48.33</v>
      </c>
      <c r="N885" s="2">
        <f>Pharma_Sales_Data[[#This Row],[Total Drug Sales]]*150</f>
        <v>7249.5</v>
      </c>
      <c r="O885" s="2">
        <f>Pharma_Sales_Data[[#This Row],[Total Revenue]]*0.3</f>
        <v>2174.85</v>
      </c>
      <c r="P885" t="str">
        <f>IF(Pharma_Sales_Data[[#This Row],[Total Revenue]]&gt;20000,"High Value", IF(Pharma_Sales_Data[[#This Row],[Total Revenue]]&gt;=10000,"Medium Value","Low Value"))</f>
        <v>Low Value</v>
      </c>
    </row>
    <row r="886" spans="1:16" x14ac:dyDescent="0.35">
      <c r="A886" s="1">
        <v>42525</v>
      </c>
      <c r="B886">
        <v>3.33</v>
      </c>
      <c r="C886">
        <v>3.34</v>
      </c>
      <c r="D886">
        <v>3.3</v>
      </c>
      <c r="E886">
        <v>21</v>
      </c>
      <c r="F886">
        <v>2</v>
      </c>
      <c r="G886">
        <v>0</v>
      </c>
      <c r="H886">
        <v>0</v>
      </c>
      <c r="I886">
        <v>4</v>
      </c>
      <c r="J886">
        <v>2016</v>
      </c>
      <c r="K886">
        <v>6</v>
      </c>
      <c r="L886" t="s">
        <v>13</v>
      </c>
      <c r="M886">
        <f>SUM(Pharma_Sales_Data[[#This Row],[M01AB]:[R06]])</f>
        <v>36.97</v>
      </c>
      <c r="N886" s="2">
        <f>Pharma_Sales_Data[[#This Row],[Total Drug Sales]]*150</f>
        <v>5545.5</v>
      </c>
      <c r="O886" s="2">
        <f>Pharma_Sales_Data[[#This Row],[Total Revenue]]*0.3</f>
        <v>1663.6499999999999</v>
      </c>
      <c r="P886" t="str">
        <f>IF(Pharma_Sales_Data[[#This Row],[Total Revenue]]&gt;20000,"High Value", IF(Pharma_Sales_Data[[#This Row],[Total Revenue]]&gt;=10000,"Medium Value","Low Value"))</f>
        <v>Low Value</v>
      </c>
    </row>
    <row r="887" spans="1:16" x14ac:dyDescent="0.35">
      <c r="A887" s="1">
        <v>42526</v>
      </c>
      <c r="B887">
        <v>10.34</v>
      </c>
      <c r="C887">
        <v>3.0659999999999998</v>
      </c>
      <c r="D887">
        <v>4.3</v>
      </c>
      <c r="E887">
        <v>23.4</v>
      </c>
      <c r="F887">
        <v>5</v>
      </c>
      <c r="G887">
        <v>0</v>
      </c>
      <c r="H887">
        <v>3</v>
      </c>
      <c r="I887">
        <v>4</v>
      </c>
      <c r="J887">
        <v>2016</v>
      </c>
      <c r="K887">
        <v>6</v>
      </c>
      <c r="L887" t="s">
        <v>14</v>
      </c>
      <c r="M887">
        <f>SUM(Pharma_Sales_Data[[#This Row],[M01AB]:[R06]])</f>
        <v>53.105999999999995</v>
      </c>
      <c r="N887" s="2">
        <f>Pharma_Sales_Data[[#This Row],[Total Drug Sales]]*150</f>
        <v>7965.9</v>
      </c>
      <c r="O887" s="2">
        <f>Pharma_Sales_Data[[#This Row],[Total Revenue]]*0.3</f>
        <v>2389.77</v>
      </c>
      <c r="P887" t="str">
        <f>IF(Pharma_Sales_Data[[#This Row],[Total Revenue]]&gt;20000,"High Value", IF(Pharma_Sales_Data[[#This Row],[Total Revenue]]&gt;=10000,"Medium Value","Low Value"))</f>
        <v>Low Value</v>
      </c>
    </row>
    <row r="888" spans="1:16" x14ac:dyDescent="0.35">
      <c r="A888" s="1">
        <v>42527</v>
      </c>
      <c r="B888">
        <v>5.33</v>
      </c>
      <c r="C888">
        <v>2.802</v>
      </c>
      <c r="D888">
        <v>4</v>
      </c>
      <c r="E888">
        <v>26.2</v>
      </c>
      <c r="F888">
        <v>5</v>
      </c>
      <c r="G888">
        <v>0</v>
      </c>
      <c r="H888">
        <v>6</v>
      </c>
      <c r="I888">
        <v>6</v>
      </c>
      <c r="J888">
        <v>2016</v>
      </c>
      <c r="K888">
        <v>6</v>
      </c>
      <c r="L888" t="s">
        <v>15</v>
      </c>
      <c r="M888">
        <f>SUM(Pharma_Sales_Data[[#This Row],[M01AB]:[R06]])</f>
        <v>55.332000000000001</v>
      </c>
      <c r="N888" s="2">
        <f>Pharma_Sales_Data[[#This Row],[Total Drug Sales]]*150</f>
        <v>8299.7999999999993</v>
      </c>
      <c r="O888" s="2">
        <f>Pharma_Sales_Data[[#This Row],[Total Revenue]]*0.3</f>
        <v>2489.9399999999996</v>
      </c>
      <c r="P888" t="str">
        <f>IF(Pharma_Sales_Data[[#This Row],[Total Revenue]]&gt;20000,"High Value", IF(Pharma_Sales_Data[[#This Row],[Total Revenue]]&gt;=10000,"Medium Value","Low Value"))</f>
        <v>Low Value</v>
      </c>
    </row>
    <row r="889" spans="1:16" x14ac:dyDescent="0.35">
      <c r="A889" s="1">
        <v>42528</v>
      </c>
      <c r="B889">
        <v>6</v>
      </c>
      <c r="C889">
        <v>3.363</v>
      </c>
      <c r="D889">
        <v>4.0999999999999996</v>
      </c>
      <c r="E889">
        <v>28.5</v>
      </c>
      <c r="F889">
        <v>13</v>
      </c>
      <c r="G889">
        <v>0</v>
      </c>
      <c r="H889">
        <v>10</v>
      </c>
      <c r="I889">
        <v>3</v>
      </c>
      <c r="J889">
        <v>2016</v>
      </c>
      <c r="K889">
        <v>6</v>
      </c>
      <c r="L889" t="s">
        <v>16</v>
      </c>
      <c r="M889">
        <f>SUM(Pharma_Sales_Data[[#This Row],[M01AB]:[R06]])</f>
        <v>67.962999999999994</v>
      </c>
      <c r="N889" s="2">
        <f>Pharma_Sales_Data[[#This Row],[Total Drug Sales]]*150</f>
        <v>10194.449999999999</v>
      </c>
      <c r="O889" s="2">
        <f>Pharma_Sales_Data[[#This Row],[Total Revenue]]*0.3</f>
        <v>3058.3349999999996</v>
      </c>
      <c r="P889" t="str">
        <f>IF(Pharma_Sales_Data[[#This Row],[Total Revenue]]&gt;20000,"High Value", IF(Pharma_Sales_Data[[#This Row],[Total Revenue]]&gt;=10000,"Medium Value","Low Value"))</f>
        <v>Medium Value</v>
      </c>
    </row>
    <row r="890" spans="1:16" x14ac:dyDescent="0.35">
      <c r="A890" s="1">
        <v>42529</v>
      </c>
      <c r="B890">
        <v>8.66</v>
      </c>
      <c r="C890">
        <v>1.33</v>
      </c>
      <c r="D890">
        <v>5.5</v>
      </c>
      <c r="E890">
        <v>45.061999999999998</v>
      </c>
      <c r="F890">
        <v>10</v>
      </c>
      <c r="G890">
        <v>0</v>
      </c>
      <c r="H890">
        <v>5</v>
      </c>
      <c r="I890">
        <v>6</v>
      </c>
      <c r="J890">
        <v>2016</v>
      </c>
      <c r="K890">
        <v>6</v>
      </c>
      <c r="L890" t="s">
        <v>17</v>
      </c>
      <c r="M890">
        <f>SUM(Pharma_Sales_Data[[#This Row],[M01AB]:[R06]])</f>
        <v>81.551999999999992</v>
      </c>
      <c r="N890" s="2">
        <f>Pharma_Sales_Data[[#This Row],[Total Drug Sales]]*150</f>
        <v>12232.8</v>
      </c>
      <c r="O890" s="2">
        <f>Pharma_Sales_Data[[#This Row],[Total Revenue]]*0.3</f>
        <v>3669.8399999999997</v>
      </c>
      <c r="P890" t="str">
        <f>IF(Pharma_Sales_Data[[#This Row],[Total Revenue]]&gt;20000,"High Value", IF(Pharma_Sales_Data[[#This Row],[Total Revenue]]&gt;=10000,"Medium Value","Low Value"))</f>
        <v>Medium Value</v>
      </c>
    </row>
    <row r="891" spans="1:16" x14ac:dyDescent="0.35">
      <c r="A891" s="1">
        <v>42530</v>
      </c>
      <c r="B891">
        <v>8.67</v>
      </c>
      <c r="C891">
        <v>4.33</v>
      </c>
      <c r="D891">
        <v>2</v>
      </c>
      <c r="E891">
        <v>20.6</v>
      </c>
      <c r="F891">
        <v>7</v>
      </c>
      <c r="G891">
        <v>0</v>
      </c>
      <c r="H891">
        <v>1</v>
      </c>
      <c r="I891">
        <v>4.2</v>
      </c>
      <c r="J891">
        <v>2016</v>
      </c>
      <c r="K891">
        <v>6</v>
      </c>
      <c r="L891" t="s">
        <v>11</v>
      </c>
      <c r="M891">
        <f>SUM(Pharma_Sales_Data[[#This Row],[M01AB]:[R06]])</f>
        <v>47.800000000000004</v>
      </c>
      <c r="N891" s="2">
        <f>Pharma_Sales_Data[[#This Row],[Total Drug Sales]]*150</f>
        <v>7170.0000000000009</v>
      </c>
      <c r="O891" s="2">
        <f>Pharma_Sales_Data[[#This Row],[Total Revenue]]*0.3</f>
        <v>2151</v>
      </c>
      <c r="P891" t="str">
        <f>IF(Pharma_Sales_Data[[#This Row],[Total Revenue]]&gt;20000,"High Value", IF(Pharma_Sales_Data[[#This Row],[Total Revenue]]&gt;=10000,"Medium Value","Low Value"))</f>
        <v>Low Value</v>
      </c>
    </row>
    <row r="892" spans="1:16" x14ac:dyDescent="0.35">
      <c r="A892" s="1">
        <v>42531</v>
      </c>
      <c r="B892">
        <v>8.33</v>
      </c>
      <c r="C892">
        <v>4</v>
      </c>
      <c r="D892">
        <v>4</v>
      </c>
      <c r="E892">
        <v>26</v>
      </c>
      <c r="F892">
        <v>11</v>
      </c>
      <c r="G892">
        <v>2</v>
      </c>
      <c r="H892">
        <v>0</v>
      </c>
      <c r="I892">
        <v>5</v>
      </c>
      <c r="J892">
        <v>2016</v>
      </c>
      <c r="K892">
        <v>6</v>
      </c>
      <c r="L892" t="s">
        <v>12</v>
      </c>
      <c r="M892">
        <f>SUM(Pharma_Sales_Data[[#This Row],[M01AB]:[R06]])</f>
        <v>60.33</v>
      </c>
      <c r="N892" s="2">
        <f>Pharma_Sales_Data[[#This Row],[Total Drug Sales]]*150</f>
        <v>9049.5</v>
      </c>
      <c r="O892" s="2">
        <f>Pharma_Sales_Data[[#This Row],[Total Revenue]]*0.3</f>
        <v>2714.85</v>
      </c>
      <c r="P892" t="str">
        <f>IF(Pharma_Sales_Data[[#This Row],[Total Revenue]]&gt;20000,"High Value", IF(Pharma_Sales_Data[[#This Row],[Total Revenue]]&gt;=10000,"Medium Value","Low Value"))</f>
        <v>Low Value</v>
      </c>
    </row>
    <row r="893" spans="1:16" x14ac:dyDescent="0.35">
      <c r="A893" s="1">
        <v>42532</v>
      </c>
      <c r="B893">
        <v>10.66</v>
      </c>
      <c r="C893">
        <v>2.8250000000000002</v>
      </c>
      <c r="D893">
        <v>2</v>
      </c>
      <c r="E893">
        <v>35.6</v>
      </c>
      <c r="F893">
        <v>4</v>
      </c>
      <c r="G893">
        <v>1</v>
      </c>
      <c r="H893">
        <v>10</v>
      </c>
      <c r="I893">
        <v>8</v>
      </c>
      <c r="J893">
        <v>2016</v>
      </c>
      <c r="K893">
        <v>6</v>
      </c>
      <c r="L893" t="s">
        <v>13</v>
      </c>
      <c r="M893">
        <f>SUM(Pharma_Sales_Data[[#This Row],[M01AB]:[R06]])</f>
        <v>74.085000000000008</v>
      </c>
      <c r="N893" s="2">
        <f>Pharma_Sales_Data[[#This Row],[Total Drug Sales]]*150</f>
        <v>11112.750000000002</v>
      </c>
      <c r="O893" s="2">
        <f>Pharma_Sales_Data[[#This Row],[Total Revenue]]*0.3</f>
        <v>3333.8250000000003</v>
      </c>
      <c r="P893" t="str">
        <f>IF(Pharma_Sales_Data[[#This Row],[Total Revenue]]&gt;20000,"High Value", IF(Pharma_Sales_Data[[#This Row],[Total Revenue]]&gt;=10000,"Medium Value","Low Value"))</f>
        <v>Medium Value</v>
      </c>
    </row>
    <row r="894" spans="1:16" x14ac:dyDescent="0.35">
      <c r="A894" s="1">
        <v>42533</v>
      </c>
      <c r="B894">
        <v>8.34</v>
      </c>
      <c r="C894">
        <v>7.3529999999999998</v>
      </c>
      <c r="D894">
        <v>3.4</v>
      </c>
      <c r="E894">
        <v>47</v>
      </c>
      <c r="F894">
        <v>8</v>
      </c>
      <c r="G894">
        <v>0</v>
      </c>
      <c r="H894">
        <v>4</v>
      </c>
      <c r="I894">
        <v>6</v>
      </c>
      <c r="J894">
        <v>2016</v>
      </c>
      <c r="K894">
        <v>6</v>
      </c>
      <c r="L894" t="s">
        <v>14</v>
      </c>
      <c r="M894">
        <f>SUM(Pharma_Sales_Data[[#This Row],[M01AB]:[R06]])</f>
        <v>84.093000000000004</v>
      </c>
      <c r="N894" s="2">
        <f>Pharma_Sales_Data[[#This Row],[Total Drug Sales]]*150</f>
        <v>12613.95</v>
      </c>
      <c r="O894" s="2">
        <f>Pharma_Sales_Data[[#This Row],[Total Revenue]]*0.3</f>
        <v>3784.1849999999999</v>
      </c>
      <c r="P894" t="str">
        <f>IF(Pharma_Sales_Data[[#This Row],[Total Revenue]]&gt;20000,"High Value", IF(Pharma_Sales_Data[[#This Row],[Total Revenue]]&gt;=10000,"Medium Value","Low Value"))</f>
        <v>Medium Value</v>
      </c>
    </row>
    <row r="895" spans="1:16" x14ac:dyDescent="0.35">
      <c r="A895" s="1">
        <v>42534</v>
      </c>
      <c r="B895">
        <v>5.66</v>
      </c>
      <c r="C895">
        <v>4.7359999999999998</v>
      </c>
      <c r="D895">
        <v>1</v>
      </c>
      <c r="E895">
        <v>15</v>
      </c>
      <c r="F895">
        <v>7</v>
      </c>
      <c r="G895">
        <v>0</v>
      </c>
      <c r="H895">
        <v>1</v>
      </c>
      <c r="I895">
        <v>2</v>
      </c>
      <c r="J895">
        <v>2016</v>
      </c>
      <c r="K895">
        <v>6</v>
      </c>
      <c r="L895" t="s">
        <v>15</v>
      </c>
      <c r="M895">
        <f>SUM(Pharma_Sales_Data[[#This Row],[M01AB]:[R06]])</f>
        <v>36.396000000000001</v>
      </c>
      <c r="N895" s="2">
        <f>Pharma_Sales_Data[[#This Row],[Total Drug Sales]]*150</f>
        <v>5459.4000000000005</v>
      </c>
      <c r="O895" s="2">
        <f>Pharma_Sales_Data[[#This Row],[Total Revenue]]*0.3</f>
        <v>1637.8200000000002</v>
      </c>
      <c r="P895" t="str">
        <f>IF(Pharma_Sales_Data[[#This Row],[Total Revenue]]&gt;20000,"High Value", IF(Pharma_Sales_Data[[#This Row],[Total Revenue]]&gt;=10000,"Medium Value","Low Value"))</f>
        <v>Low Value</v>
      </c>
    </row>
    <row r="896" spans="1:16" x14ac:dyDescent="0.35">
      <c r="A896" s="1">
        <v>42535</v>
      </c>
      <c r="B896">
        <v>2.33</v>
      </c>
      <c r="C896">
        <v>6</v>
      </c>
      <c r="D896">
        <v>6.1</v>
      </c>
      <c r="E896">
        <v>17.399999999999999</v>
      </c>
      <c r="F896">
        <v>17</v>
      </c>
      <c r="G896">
        <v>1</v>
      </c>
      <c r="H896">
        <v>2</v>
      </c>
      <c r="I896">
        <v>3</v>
      </c>
      <c r="J896">
        <v>2016</v>
      </c>
      <c r="K896">
        <v>6</v>
      </c>
      <c r="L896" t="s">
        <v>16</v>
      </c>
      <c r="M896">
        <f>SUM(Pharma_Sales_Data[[#This Row],[M01AB]:[R06]])</f>
        <v>54.83</v>
      </c>
      <c r="N896" s="2">
        <f>Pharma_Sales_Data[[#This Row],[Total Drug Sales]]*150</f>
        <v>8224.5</v>
      </c>
      <c r="O896" s="2">
        <f>Pharma_Sales_Data[[#This Row],[Total Revenue]]*0.3</f>
        <v>2467.35</v>
      </c>
      <c r="P896" t="str">
        <f>IF(Pharma_Sales_Data[[#This Row],[Total Revenue]]&gt;20000,"High Value", IF(Pharma_Sales_Data[[#This Row],[Total Revenue]]&gt;=10000,"Medium Value","Low Value"))</f>
        <v>Low Value</v>
      </c>
    </row>
    <row r="897" spans="1:16" x14ac:dyDescent="0.35">
      <c r="A897" s="1">
        <v>42536</v>
      </c>
      <c r="B897">
        <v>5</v>
      </c>
      <c r="C897">
        <v>5.4950000000000001</v>
      </c>
      <c r="D897">
        <v>7</v>
      </c>
      <c r="E897">
        <v>35</v>
      </c>
      <c r="F897">
        <v>22</v>
      </c>
      <c r="G897">
        <v>1</v>
      </c>
      <c r="H897">
        <v>1</v>
      </c>
      <c r="I897">
        <v>6</v>
      </c>
      <c r="J897">
        <v>2016</v>
      </c>
      <c r="K897">
        <v>6</v>
      </c>
      <c r="L897" t="s">
        <v>17</v>
      </c>
      <c r="M897">
        <f>SUM(Pharma_Sales_Data[[#This Row],[M01AB]:[R06]])</f>
        <v>82.495000000000005</v>
      </c>
      <c r="N897" s="2">
        <f>Pharma_Sales_Data[[#This Row],[Total Drug Sales]]*150</f>
        <v>12374.25</v>
      </c>
      <c r="O897" s="2">
        <f>Pharma_Sales_Data[[#This Row],[Total Revenue]]*0.3</f>
        <v>3712.2749999999996</v>
      </c>
      <c r="P897" t="str">
        <f>IF(Pharma_Sales_Data[[#This Row],[Total Revenue]]&gt;20000,"High Value", IF(Pharma_Sales_Data[[#This Row],[Total Revenue]]&gt;=10000,"Medium Value","Low Value"))</f>
        <v>Medium Value</v>
      </c>
    </row>
    <row r="898" spans="1:16" x14ac:dyDescent="0.35">
      <c r="A898" s="1">
        <v>42537</v>
      </c>
      <c r="B898">
        <v>4</v>
      </c>
      <c r="C898">
        <v>0.33</v>
      </c>
      <c r="D898">
        <v>1</v>
      </c>
      <c r="E898">
        <v>20.5</v>
      </c>
      <c r="F898">
        <v>4</v>
      </c>
      <c r="G898">
        <v>0</v>
      </c>
      <c r="H898">
        <v>22</v>
      </c>
      <c r="I898">
        <v>3</v>
      </c>
      <c r="J898">
        <v>2016</v>
      </c>
      <c r="K898">
        <v>6</v>
      </c>
      <c r="L898" t="s">
        <v>11</v>
      </c>
      <c r="M898">
        <f>SUM(Pharma_Sales_Data[[#This Row],[M01AB]:[R06]])</f>
        <v>54.83</v>
      </c>
      <c r="N898" s="2">
        <f>Pharma_Sales_Data[[#This Row],[Total Drug Sales]]*150</f>
        <v>8224.5</v>
      </c>
      <c r="O898" s="2">
        <f>Pharma_Sales_Data[[#This Row],[Total Revenue]]*0.3</f>
        <v>2467.35</v>
      </c>
      <c r="P898" t="str">
        <f>IF(Pharma_Sales_Data[[#This Row],[Total Revenue]]&gt;20000,"High Value", IF(Pharma_Sales_Data[[#This Row],[Total Revenue]]&gt;=10000,"Medium Value","Low Value"))</f>
        <v>Low Value</v>
      </c>
    </row>
    <row r="899" spans="1:16" x14ac:dyDescent="0.35">
      <c r="A899" s="1">
        <v>42538</v>
      </c>
      <c r="B899">
        <v>3.34</v>
      </c>
      <c r="C899">
        <v>3.67</v>
      </c>
      <c r="D899">
        <v>3.65</v>
      </c>
      <c r="E899">
        <v>20</v>
      </c>
      <c r="F899">
        <v>8</v>
      </c>
      <c r="G899">
        <v>0</v>
      </c>
      <c r="H899">
        <v>4</v>
      </c>
      <c r="I899">
        <v>4</v>
      </c>
      <c r="J899">
        <v>2016</v>
      </c>
      <c r="K899">
        <v>6</v>
      </c>
      <c r="L899" t="s">
        <v>12</v>
      </c>
      <c r="M899">
        <f>SUM(Pharma_Sales_Data[[#This Row],[M01AB]:[R06]])</f>
        <v>46.66</v>
      </c>
      <c r="N899" s="2">
        <f>Pharma_Sales_Data[[#This Row],[Total Drug Sales]]*150</f>
        <v>6998.9999999999991</v>
      </c>
      <c r="O899" s="2">
        <f>Pharma_Sales_Data[[#This Row],[Total Revenue]]*0.3</f>
        <v>2099.6999999999998</v>
      </c>
      <c r="P899" t="str">
        <f>IF(Pharma_Sales_Data[[#This Row],[Total Revenue]]&gt;20000,"High Value", IF(Pharma_Sales_Data[[#This Row],[Total Revenue]]&gt;=10000,"Medium Value","Low Value"))</f>
        <v>Low Value</v>
      </c>
    </row>
    <row r="900" spans="1:16" x14ac:dyDescent="0.35">
      <c r="A900" s="1">
        <v>42539</v>
      </c>
      <c r="B900">
        <v>2</v>
      </c>
      <c r="C900">
        <v>4.33</v>
      </c>
      <c r="D900">
        <v>6.5</v>
      </c>
      <c r="E900">
        <v>37.5</v>
      </c>
      <c r="F900">
        <v>1</v>
      </c>
      <c r="G900">
        <v>0</v>
      </c>
      <c r="H900">
        <v>5</v>
      </c>
      <c r="I900">
        <v>4</v>
      </c>
      <c r="J900">
        <v>2016</v>
      </c>
      <c r="K900">
        <v>6</v>
      </c>
      <c r="L900" t="s">
        <v>13</v>
      </c>
      <c r="M900">
        <f>SUM(Pharma_Sales_Data[[#This Row],[M01AB]:[R06]])</f>
        <v>60.33</v>
      </c>
      <c r="N900" s="2">
        <f>Pharma_Sales_Data[[#This Row],[Total Drug Sales]]*150</f>
        <v>9049.5</v>
      </c>
      <c r="O900" s="2">
        <f>Pharma_Sales_Data[[#This Row],[Total Revenue]]*0.3</f>
        <v>2714.85</v>
      </c>
      <c r="P900" t="str">
        <f>IF(Pharma_Sales_Data[[#This Row],[Total Revenue]]&gt;20000,"High Value", IF(Pharma_Sales_Data[[#This Row],[Total Revenue]]&gt;=10000,"Medium Value","Low Value"))</f>
        <v>Low Value</v>
      </c>
    </row>
    <row r="901" spans="1:16" x14ac:dyDescent="0.35">
      <c r="A901" s="1">
        <v>42540</v>
      </c>
      <c r="B901">
        <v>6.34</v>
      </c>
      <c r="C901">
        <v>6.01</v>
      </c>
      <c r="D901">
        <v>3</v>
      </c>
      <c r="E901">
        <v>40</v>
      </c>
      <c r="F901">
        <v>1</v>
      </c>
      <c r="G901">
        <v>0</v>
      </c>
      <c r="H901">
        <v>7</v>
      </c>
      <c r="I901">
        <v>15</v>
      </c>
      <c r="J901">
        <v>2016</v>
      </c>
      <c r="K901">
        <v>6</v>
      </c>
      <c r="L901" t="s">
        <v>14</v>
      </c>
      <c r="M901">
        <f>SUM(Pharma_Sales_Data[[#This Row],[M01AB]:[R06]])</f>
        <v>78.349999999999994</v>
      </c>
      <c r="N901" s="2">
        <f>Pharma_Sales_Data[[#This Row],[Total Drug Sales]]*150</f>
        <v>11752.5</v>
      </c>
      <c r="O901" s="2">
        <f>Pharma_Sales_Data[[#This Row],[Total Revenue]]*0.3</f>
        <v>3525.75</v>
      </c>
      <c r="P901" t="str">
        <f>IF(Pharma_Sales_Data[[#This Row],[Total Revenue]]&gt;20000,"High Value", IF(Pharma_Sales_Data[[#This Row],[Total Revenue]]&gt;=10000,"Medium Value","Low Value"))</f>
        <v>Medium Value</v>
      </c>
    </row>
    <row r="902" spans="1:16" x14ac:dyDescent="0.35">
      <c r="A902" s="1">
        <v>42541</v>
      </c>
      <c r="B902">
        <v>7.34</v>
      </c>
      <c r="C902">
        <v>3.34</v>
      </c>
      <c r="D902">
        <v>6</v>
      </c>
      <c r="E902">
        <v>22.388000000000002</v>
      </c>
      <c r="F902">
        <v>5</v>
      </c>
      <c r="G902">
        <v>0</v>
      </c>
      <c r="H902">
        <v>8</v>
      </c>
      <c r="I902">
        <v>6</v>
      </c>
      <c r="J902">
        <v>2016</v>
      </c>
      <c r="K902">
        <v>6</v>
      </c>
      <c r="L902" t="s">
        <v>15</v>
      </c>
      <c r="M902">
        <f>SUM(Pharma_Sales_Data[[#This Row],[M01AB]:[R06]])</f>
        <v>58.067999999999998</v>
      </c>
      <c r="N902" s="2">
        <f>Pharma_Sales_Data[[#This Row],[Total Drug Sales]]*150</f>
        <v>8710.1999999999989</v>
      </c>
      <c r="O902" s="2">
        <f>Pharma_Sales_Data[[#This Row],[Total Revenue]]*0.3</f>
        <v>2613.0599999999995</v>
      </c>
      <c r="P902" t="str">
        <f>IF(Pharma_Sales_Data[[#This Row],[Total Revenue]]&gt;20000,"High Value", IF(Pharma_Sales_Data[[#This Row],[Total Revenue]]&gt;=10000,"Medium Value","Low Value"))</f>
        <v>Low Value</v>
      </c>
    </row>
    <row r="903" spans="1:16" x14ac:dyDescent="0.35">
      <c r="A903" s="1">
        <v>42542</v>
      </c>
      <c r="B903">
        <v>7.33</v>
      </c>
      <c r="C903">
        <v>4.66</v>
      </c>
      <c r="D903">
        <v>9</v>
      </c>
      <c r="E903">
        <v>23</v>
      </c>
      <c r="F903">
        <v>15</v>
      </c>
      <c r="G903">
        <v>0</v>
      </c>
      <c r="H903">
        <v>7</v>
      </c>
      <c r="I903">
        <v>5.6</v>
      </c>
      <c r="J903">
        <v>2016</v>
      </c>
      <c r="K903">
        <v>6</v>
      </c>
      <c r="L903" t="s">
        <v>16</v>
      </c>
      <c r="M903">
        <f>SUM(Pharma_Sales_Data[[#This Row],[M01AB]:[R06]])</f>
        <v>71.59</v>
      </c>
      <c r="N903" s="2">
        <f>Pharma_Sales_Data[[#This Row],[Total Drug Sales]]*150</f>
        <v>10738.5</v>
      </c>
      <c r="O903" s="2">
        <f>Pharma_Sales_Data[[#This Row],[Total Revenue]]*0.3</f>
        <v>3221.5499999999997</v>
      </c>
      <c r="P903" t="str">
        <f>IF(Pharma_Sales_Data[[#This Row],[Total Revenue]]&gt;20000,"High Value", IF(Pharma_Sales_Data[[#This Row],[Total Revenue]]&gt;=10000,"Medium Value","Low Value"))</f>
        <v>Medium Value</v>
      </c>
    </row>
    <row r="904" spans="1:16" x14ac:dyDescent="0.35">
      <c r="A904" s="1">
        <v>42543</v>
      </c>
      <c r="B904">
        <v>2</v>
      </c>
      <c r="C904">
        <v>6.0670000000000002</v>
      </c>
      <c r="D904">
        <v>2.2999999999999998</v>
      </c>
      <c r="E904">
        <v>42</v>
      </c>
      <c r="F904">
        <v>6</v>
      </c>
      <c r="G904">
        <v>0</v>
      </c>
      <c r="H904">
        <v>2</v>
      </c>
      <c r="I904">
        <v>2</v>
      </c>
      <c r="J904">
        <v>2016</v>
      </c>
      <c r="K904">
        <v>6</v>
      </c>
      <c r="L904" t="s">
        <v>17</v>
      </c>
      <c r="M904">
        <f>SUM(Pharma_Sales_Data[[#This Row],[M01AB]:[R06]])</f>
        <v>62.367000000000004</v>
      </c>
      <c r="N904" s="2">
        <f>Pharma_Sales_Data[[#This Row],[Total Drug Sales]]*150</f>
        <v>9355.0500000000011</v>
      </c>
      <c r="O904" s="2">
        <f>Pharma_Sales_Data[[#This Row],[Total Revenue]]*0.3</f>
        <v>2806.5150000000003</v>
      </c>
      <c r="P904" t="str">
        <f>IF(Pharma_Sales_Data[[#This Row],[Total Revenue]]&gt;20000,"High Value", IF(Pharma_Sales_Data[[#This Row],[Total Revenue]]&gt;=10000,"Medium Value","Low Value"))</f>
        <v>Low Value</v>
      </c>
    </row>
    <row r="905" spans="1:16" x14ac:dyDescent="0.35">
      <c r="A905" s="1">
        <v>42544</v>
      </c>
      <c r="B905">
        <v>3</v>
      </c>
      <c r="C905">
        <v>0.33</v>
      </c>
      <c r="D905">
        <v>2.2999999999999998</v>
      </c>
      <c r="E905">
        <v>19</v>
      </c>
      <c r="F905">
        <v>5</v>
      </c>
      <c r="G905">
        <v>0</v>
      </c>
      <c r="H905">
        <v>1</v>
      </c>
      <c r="I905">
        <v>3</v>
      </c>
      <c r="J905">
        <v>2016</v>
      </c>
      <c r="K905">
        <v>6</v>
      </c>
      <c r="L905" t="s">
        <v>11</v>
      </c>
      <c r="M905">
        <f>SUM(Pharma_Sales_Data[[#This Row],[M01AB]:[R06]])</f>
        <v>33.629999999999995</v>
      </c>
      <c r="N905" s="2">
        <f>Pharma_Sales_Data[[#This Row],[Total Drug Sales]]*150</f>
        <v>5044.4999999999991</v>
      </c>
      <c r="O905" s="2">
        <f>Pharma_Sales_Data[[#This Row],[Total Revenue]]*0.3</f>
        <v>1513.3499999999997</v>
      </c>
      <c r="P905" t="str">
        <f>IF(Pharma_Sales_Data[[#This Row],[Total Revenue]]&gt;20000,"High Value", IF(Pharma_Sales_Data[[#This Row],[Total Revenue]]&gt;=10000,"Medium Value","Low Value"))</f>
        <v>Low Value</v>
      </c>
    </row>
    <row r="906" spans="1:16" x14ac:dyDescent="0.35">
      <c r="A906" s="1">
        <v>42545</v>
      </c>
      <c r="B906">
        <v>6</v>
      </c>
      <c r="C906">
        <v>2.34</v>
      </c>
      <c r="D906">
        <v>3.05</v>
      </c>
      <c r="E906">
        <v>19</v>
      </c>
      <c r="F906">
        <v>15</v>
      </c>
      <c r="G906">
        <v>0</v>
      </c>
      <c r="H906">
        <v>1</v>
      </c>
      <c r="I906">
        <v>2</v>
      </c>
      <c r="J906">
        <v>2016</v>
      </c>
      <c r="K906">
        <v>6</v>
      </c>
      <c r="L906" t="s">
        <v>12</v>
      </c>
      <c r="M906">
        <f>SUM(Pharma_Sales_Data[[#This Row],[M01AB]:[R06]])</f>
        <v>48.39</v>
      </c>
      <c r="N906" s="2">
        <f>Pharma_Sales_Data[[#This Row],[Total Drug Sales]]*150</f>
        <v>7258.5</v>
      </c>
      <c r="O906" s="2">
        <f>Pharma_Sales_Data[[#This Row],[Total Revenue]]*0.3</f>
        <v>2177.5499999999997</v>
      </c>
      <c r="P906" t="str">
        <f>IF(Pharma_Sales_Data[[#This Row],[Total Revenue]]&gt;20000,"High Value", IF(Pharma_Sales_Data[[#This Row],[Total Revenue]]&gt;=10000,"Medium Value","Low Value"))</f>
        <v>Low Value</v>
      </c>
    </row>
    <row r="907" spans="1:16" x14ac:dyDescent="0.35">
      <c r="A907" s="1">
        <v>42546</v>
      </c>
      <c r="B907">
        <v>5.68</v>
      </c>
      <c r="C907">
        <v>4.99</v>
      </c>
      <c r="D907">
        <v>8</v>
      </c>
      <c r="E907">
        <v>20.25</v>
      </c>
      <c r="F907">
        <v>5</v>
      </c>
      <c r="G907">
        <v>0</v>
      </c>
      <c r="H907">
        <v>1</v>
      </c>
      <c r="I907">
        <v>4</v>
      </c>
      <c r="J907">
        <v>2016</v>
      </c>
      <c r="K907">
        <v>6</v>
      </c>
      <c r="L907" t="s">
        <v>13</v>
      </c>
      <c r="M907">
        <f>SUM(Pharma_Sales_Data[[#This Row],[M01AB]:[R06]])</f>
        <v>48.92</v>
      </c>
      <c r="N907" s="2">
        <f>Pharma_Sales_Data[[#This Row],[Total Drug Sales]]*150</f>
        <v>7338</v>
      </c>
      <c r="O907" s="2">
        <f>Pharma_Sales_Data[[#This Row],[Total Revenue]]*0.3</f>
        <v>2201.4</v>
      </c>
      <c r="P907" t="str">
        <f>IF(Pharma_Sales_Data[[#This Row],[Total Revenue]]&gt;20000,"High Value", IF(Pharma_Sales_Data[[#This Row],[Total Revenue]]&gt;=10000,"Medium Value","Low Value"))</f>
        <v>Low Value</v>
      </c>
    </row>
    <row r="908" spans="1:16" x14ac:dyDescent="0.35">
      <c r="A908" s="1">
        <v>42547</v>
      </c>
      <c r="B908">
        <v>3</v>
      </c>
      <c r="C908">
        <v>3.8450000000000002</v>
      </c>
      <c r="D908">
        <v>2</v>
      </c>
      <c r="E908">
        <v>17.399999999999999</v>
      </c>
      <c r="F908">
        <v>20</v>
      </c>
      <c r="G908">
        <v>0</v>
      </c>
      <c r="H908">
        <v>2</v>
      </c>
      <c r="I908">
        <v>3</v>
      </c>
      <c r="J908">
        <v>2016</v>
      </c>
      <c r="K908">
        <v>6</v>
      </c>
      <c r="L908" t="s">
        <v>14</v>
      </c>
      <c r="M908">
        <f>SUM(Pharma_Sales_Data[[#This Row],[M01AB]:[R06]])</f>
        <v>51.244999999999997</v>
      </c>
      <c r="N908" s="2">
        <f>Pharma_Sales_Data[[#This Row],[Total Drug Sales]]*150</f>
        <v>7686.75</v>
      </c>
      <c r="O908" s="2">
        <f>Pharma_Sales_Data[[#This Row],[Total Revenue]]*0.3</f>
        <v>2306.0250000000001</v>
      </c>
      <c r="P908" t="str">
        <f>IF(Pharma_Sales_Data[[#This Row],[Total Revenue]]&gt;20000,"High Value", IF(Pharma_Sales_Data[[#This Row],[Total Revenue]]&gt;=10000,"Medium Value","Low Value"))</f>
        <v>Low Value</v>
      </c>
    </row>
    <row r="909" spans="1:16" x14ac:dyDescent="0.35">
      <c r="A909" s="1">
        <v>42548</v>
      </c>
      <c r="B909">
        <v>6</v>
      </c>
      <c r="C909">
        <v>3.0670000000000002</v>
      </c>
      <c r="D909">
        <v>5.25</v>
      </c>
      <c r="E909">
        <v>24</v>
      </c>
      <c r="F909">
        <v>9</v>
      </c>
      <c r="G909">
        <v>0</v>
      </c>
      <c r="H909">
        <v>9</v>
      </c>
      <c r="I909">
        <v>2</v>
      </c>
      <c r="J909">
        <v>2016</v>
      </c>
      <c r="K909">
        <v>6</v>
      </c>
      <c r="L909" t="s">
        <v>15</v>
      </c>
      <c r="M909">
        <f>SUM(Pharma_Sales_Data[[#This Row],[M01AB]:[R06]])</f>
        <v>58.317</v>
      </c>
      <c r="N909" s="2">
        <f>Pharma_Sales_Data[[#This Row],[Total Drug Sales]]*150</f>
        <v>8747.5499999999993</v>
      </c>
      <c r="O909" s="2">
        <f>Pharma_Sales_Data[[#This Row],[Total Revenue]]*0.3</f>
        <v>2624.2649999999999</v>
      </c>
      <c r="P909" t="str">
        <f>IF(Pharma_Sales_Data[[#This Row],[Total Revenue]]&gt;20000,"High Value", IF(Pharma_Sales_Data[[#This Row],[Total Revenue]]&gt;=10000,"Medium Value","Low Value"))</f>
        <v>Low Value</v>
      </c>
    </row>
    <row r="910" spans="1:16" x14ac:dyDescent="0.35">
      <c r="A910" s="1">
        <v>42549</v>
      </c>
      <c r="B910">
        <v>1.33</v>
      </c>
      <c r="C910">
        <v>1.429</v>
      </c>
      <c r="D910">
        <v>2.25</v>
      </c>
      <c r="E910">
        <v>24</v>
      </c>
      <c r="F910">
        <v>20</v>
      </c>
      <c r="G910">
        <v>5</v>
      </c>
      <c r="H910">
        <v>2</v>
      </c>
      <c r="I910">
        <v>7</v>
      </c>
      <c r="J910">
        <v>2016</v>
      </c>
      <c r="K910">
        <v>6</v>
      </c>
      <c r="L910" t="s">
        <v>16</v>
      </c>
      <c r="M910">
        <f>SUM(Pharma_Sales_Data[[#This Row],[M01AB]:[R06]])</f>
        <v>63.009</v>
      </c>
      <c r="N910" s="2">
        <f>Pharma_Sales_Data[[#This Row],[Total Drug Sales]]*150</f>
        <v>9451.35</v>
      </c>
      <c r="O910" s="2">
        <f>Pharma_Sales_Data[[#This Row],[Total Revenue]]*0.3</f>
        <v>2835.4050000000002</v>
      </c>
      <c r="P910" t="str">
        <f>IF(Pharma_Sales_Data[[#This Row],[Total Revenue]]&gt;20000,"High Value", IF(Pharma_Sales_Data[[#This Row],[Total Revenue]]&gt;=10000,"Medium Value","Low Value"))</f>
        <v>Low Value</v>
      </c>
    </row>
    <row r="911" spans="1:16" x14ac:dyDescent="0.35">
      <c r="A911" s="1">
        <v>42550</v>
      </c>
      <c r="B911">
        <v>7</v>
      </c>
      <c r="C911">
        <v>8.01</v>
      </c>
      <c r="D911">
        <v>6.5</v>
      </c>
      <c r="E911">
        <v>22</v>
      </c>
      <c r="F911">
        <v>12.5</v>
      </c>
      <c r="G911">
        <v>7</v>
      </c>
      <c r="H911">
        <v>1</v>
      </c>
      <c r="I911">
        <v>2</v>
      </c>
      <c r="J911">
        <v>2016</v>
      </c>
      <c r="K911">
        <v>6</v>
      </c>
      <c r="L911" t="s">
        <v>17</v>
      </c>
      <c r="M911">
        <f>SUM(Pharma_Sales_Data[[#This Row],[M01AB]:[R06]])</f>
        <v>66.009999999999991</v>
      </c>
      <c r="N911" s="2">
        <f>Pharma_Sales_Data[[#This Row],[Total Drug Sales]]*150</f>
        <v>9901.4999999999982</v>
      </c>
      <c r="O911" s="2">
        <f>Pharma_Sales_Data[[#This Row],[Total Revenue]]*0.3</f>
        <v>2970.4499999999994</v>
      </c>
      <c r="P911" t="str">
        <f>IF(Pharma_Sales_Data[[#This Row],[Total Revenue]]&gt;20000,"High Value", IF(Pharma_Sales_Data[[#This Row],[Total Revenue]]&gt;=10000,"Medium Value","Low Value"))</f>
        <v>Low Value</v>
      </c>
    </row>
    <row r="912" spans="1:16" x14ac:dyDescent="0.35">
      <c r="A912" s="1">
        <v>42551</v>
      </c>
      <c r="B912">
        <v>4</v>
      </c>
      <c r="C912">
        <v>3.8029999999999999</v>
      </c>
      <c r="D912">
        <v>3.2</v>
      </c>
      <c r="E912">
        <v>9</v>
      </c>
      <c r="F912">
        <v>6</v>
      </c>
      <c r="G912">
        <v>0</v>
      </c>
      <c r="H912">
        <v>0</v>
      </c>
      <c r="I912">
        <v>2</v>
      </c>
      <c r="J912">
        <v>2016</v>
      </c>
      <c r="K912">
        <v>6</v>
      </c>
      <c r="L912" t="s">
        <v>11</v>
      </c>
      <c r="M912">
        <f>SUM(Pharma_Sales_Data[[#This Row],[M01AB]:[R06]])</f>
        <v>28.003</v>
      </c>
      <c r="N912" s="2">
        <f>Pharma_Sales_Data[[#This Row],[Total Drug Sales]]*150</f>
        <v>4200.45</v>
      </c>
      <c r="O912" s="2">
        <f>Pharma_Sales_Data[[#This Row],[Total Revenue]]*0.3</f>
        <v>1260.135</v>
      </c>
      <c r="P912" t="str">
        <f>IF(Pharma_Sales_Data[[#This Row],[Total Revenue]]&gt;20000,"High Value", IF(Pharma_Sales_Data[[#This Row],[Total Revenue]]&gt;=10000,"Medium Value","Low Value"))</f>
        <v>Low Value</v>
      </c>
    </row>
    <row r="913" spans="1:16" x14ac:dyDescent="0.35">
      <c r="A913" s="1">
        <v>42552</v>
      </c>
      <c r="B913">
        <v>4</v>
      </c>
      <c r="C913">
        <v>2.0099999999999998</v>
      </c>
      <c r="D913">
        <v>5.5</v>
      </c>
      <c r="E913">
        <v>24</v>
      </c>
      <c r="F913">
        <v>1</v>
      </c>
      <c r="G913">
        <v>0</v>
      </c>
      <c r="H913">
        <v>20</v>
      </c>
      <c r="I913">
        <v>7</v>
      </c>
      <c r="J913">
        <v>2016</v>
      </c>
      <c r="K913">
        <v>7</v>
      </c>
      <c r="L913" t="s">
        <v>12</v>
      </c>
      <c r="M913">
        <f>SUM(Pharma_Sales_Data[[#This Row],[M01AB]:[R06]])</f>
        <v>63.51</v>
      </c>
      <c r="N913" s="2">
        <f>Pharma_Sales_Data[[#This Row],[Total Drug Sales]]*150</f>
        <v>9526.5</v>
      </c>
      <c r="O913" s="2">
        <f>Pharma_Sales_Data[[#This Row],[Total Revenue]]*0.3</f>
        <v>2857.95</v>
      </c>
      <c r="P913" t="str">
        <f>IF(Pharma_Sales_Data[[#This Row],[Total Revenue]]&gt;20000,"High Value", IF(Pharma_Sales_Data[[#This Row],[Total Revenue]]&gt;=10000,"Medium Value","Low Value"))</f>
        <v>Low Value</v>
      </c>
    </row>
    <row r="914" spans="1:16" x14ac:dyDescent="0.35">
      <c r="A914" s="1">
        <v>42553</v>
      </c>
      <c r="B914">
        <v>4.66</v>
      </c>
      <c r="C914">
        <v>5.1319999999999997</v>
      </c>
      <c r="D914">
        <v>6</v>
      </c>
      <c r="E914">
        <v>25.4</v>
      </c>
      <c r="F914">
        <v>9</v>
      </c>
      <c r="G914">
        <v>0</v>
      </c>
      <c r="H914">
        <v>2</v>
      </c>
      <c r="I914">
        <v>3</v>
      </c>
      <c r="J914">
        <v>2016</v>
      </c>
      <c r="K914">
        <v>7</v>
      </c>
      <c r="L914" t="s">
        <v>13</v>
      </c>
      <c r="M914">
        <f>SUM(Pharma_Sales_Data[[#This Row],[M01AB]:[R06]])</f>
        <v>55.192</v>
      </c>
      <c r="N914" s="2">
        <f>Pharma_Sales_Data[[#This Row],[Total Drug Sales]]*150</f>
        <v>8278.7999999999993</v>
      </c>
      <c r="O914" s="2">
        <f>Pharma_Sales_Data[[#This Row],[Total Revenue]]*0.3</f>
        <v>2483.64</v>
      </c>
      <c r="P914" t="str">
        <f>IF(Pharma_Sales_Data[[#This Row],[Total Revenue]]&gt;20000,"High Value", IF(Pharma_Sales_Data[[#This Row],[Total Revenue]]&gt;=10000,"Medium Value","Low Value"))</f>
        <v>Low Value</v>
      </c>
    </row>
    <row r="915" spans="1:16" x14ac:dyDescent="0.35">
      <c r="A915" s="1">
        <v>42554</v>
      </c>
      <c r="B915">
        <v>6.67</v>
      </c>
      <c r="C915">
        <v>4.165</v>
      </c>
      <c r="D915">
        <v>5.4</v>
      </c>
      <c r="E915">
        <v>18.600000000000001</v>
      </c>
      <c r="F915">
        <v>4</v>
      </c>
      <c r="G915">
        <v>0</v>
      </c>
      <c r="H915">
        <v>11</v>
      </c>
      <c r="I915">
        <v>5</v>
      </c>
      <c r="J915">
        <v>2016</v>
      </c>
      <c r="K915">
        <v>7</v>
      </c>
      <c r="L915" t="s">
        <v>14</v>
      </c>
      <c r="M915">
        <f>SUM(Pharma_Sales_Data[[#This Row],[M01AB]:[R06]])</f>
        <v>54.835000000000001</v>
      </c>
      <c r="N915" s="2">
        <f>Pharma_Sales_Data[[#This Row],[Total Drug Sales]]*150</f>
        <v>8225.25</v>
      </c>
      <c r="O915" s="2">
        <f>Pharma_Sales_Data[[#This Row],[Total Revenue]]*0.3</f>
        <v>2467.5749999999998</v>
      </c>
      <c r="P915" t="str">
        <f>IF(Pharma_Sales_Data[[#This Row],[Total Revenue]]&gt;20000,"High Value", IF(Pharma_Sales_Data[[#This Row],[Total Revenue]]&gt;=10000,"Medium Value","Low Value"))</f>
        <v>Low Value</v>
      </c>
    </row>
    <row r="916" spans="1:16" x14ac:dyDescent="0.35">
      <c r="A916" s="1">
        <v>42555</v>
      </c>
      <c r="B916">
        <v>8.34</v>
      </c>
      <c r="C916">
        <v>5.34</v>
      </c>
      <c r="D916">
        <v>1.1499999999999999</v>
      </c>
      <c r="E916">
        <v>14</v>
      </c>
      <c r="F916">
        <v>8</v>
      </c>
      <c r="G916">
        <v>3</v>
      </c>
      <c r="H916">
        <v>7</v>
      </c>
      <c r="I916">
        <v>6</v>
      </c>
      <c r="J916">
        <v>2016</v>
      </c>
      <c r="K916">
        <v>7</v>
      </c>
      <c r="L916" t="s">
        <v>15</v>
      </c>
      <c r="M916">
        <f>SUM(Pharma_Sales_Data[[#This Row],[M01AB]:[R06]])</f>
        <v>52.83</v>
      </c>
      <c r="N916" s="2">
        <f>Pharma_Sales_Data[[#This Row],[Total Drug Sales]]*150</f>
        <v>7924.5</v>
      </c>
      <c r="O916" s="2">
        <f>Pharma_Sales_Data[[#This Row],[Total Revenue]]*0.3</f>
        <v>2377.35</v>
      </c>
      <c r="P916" t="str">
        <f>IF(Pharma_Sales_Data[[#This Row],[Total Revenue]]&gt;20000,"High Value", IF(Pharma_Sales_Data[[#This Row],[Total Revenue]]&gt;=10000,"Medium Value","Low Value"))</f>
        <v>Low Value</v>
      </c>
    </row>
    <row r="917" spans="1:16" x14ac:dyDescent="0.35">
      <c r="A917" s="1">
        <v>42556</v>
      </c>
      <c r="B917">
        <v>6</v>
      </c>
      <c r="C917">
        <v>4.01</v>
      </c>
      <c r="D917">
        <v>2</v>
      </c>
      <c r="E917">
        <v>19</v>
      </c>
      <c r="F917">
        <v>10</v>
      </c>
      <c r="G917">
        <v>0</v>
      </c>
      <c r="H917">
        <v>0</v>
      </c>
      <c r="I917">
        <v>3</v>
      </c>
      <c r="J917">
        <v>2016</v>
      </c>
      <c r="K917">
        <v>7</v>
      </c>
      <c r="L917" t="s">
        <v>16</v>
      </c>
      <c r="M917">
        <f>SUM(Pharma_Sales_Data[[#This Row],[M01AB]:[R06]])</f>
        <v>44.01</v>
      </c>
      <c r="N917" s="2">
        <f>Pharma_Sales_Data[[#This Row],[Total Drug Sales]]*150</f>
        <v>6601.5</v>
      </c>
      <c r="O917" s="2">
        <f>Pharma_Sales_Data[[#This Row],[Total Revenue]]*0.3</f>
        <v>1980.4499999999998</v>
      </c>
      <c r="P917" t="str">
        <f>IF(Pharma_Sales_Data[[#This Row],[Total Revenue]]&gt;20000,"High Value", IF(Pharma_Sales_Data[[#This Row],[Total Revenue]]&gt;=10000,"Medium Value","Low Value"))</f>
        <v>Low Value</v>
      </c>
    </row>
    <row r="918" spans="1:16" x14ac:dyDescent="0.35">
      <c r="A918" s="1">
        <v>42557</v>
      </c>
      <c r="B918">
        <v>9.33</v>
      </c>
      <c r="C918">
        <v>5.726</v>
      </c>
      <c r="D918">
        <v>5</v>
      </c>
      <c r="E918">
        <v>30</v>
      </c>
      <c r="F918">
        <v>5</v>
      </c>
      <c r="G918">
        <v>0</v>
      </c>
      <c r="H918">
        <v>8</v>
      </c>
      <c r="I918">
        <v>4</v>
      </c>
      <c r="J918">
        <v>2016</v>
      </c>
      <c r="K918">
        <v>7</v>
      </c>
      <c r="L918" t="s">
        <v>17</v>
      </c>
      <c r="M918">
        <f>SUM(Pharma_Sales_Data[[#This Row],[M01AB]:[R06]])</f>
        <v>67.055999999999997</v>
      </c>
      <c r="N918" s="2">
        <f>Pharma_Sales_Data[[#This Row],[Total Drug Sales]]*150</f>
        <v>10058.4</v>
      </c>
      <c r="O918" s="2">
        <f>Pharma_Sales_Data[[#This Row],[Total Revenue]]*0.3</f>
        <v>3017.52</v>
      </c>
      <c r="P918" t="str">
        <f>IF(Pharma_Sales_Data[[#This Row],[Total Revenue]]&gt;20000,"High Value", IF(Pharma_Sales_Data[[#This Row],[Total Revenue]]&gt;=10000,"Medium Value","Low Value"))</f>
        <v>Medium Value</v>
      </c>
    </row>
    <row r="919" spans="1:16" x14ac:dyDescent="0.35">
      <c r="A919" s="1">
        <v>42558</v>
      </c>
      <c r="B919">
        <v>7.34</v>
      </c>
      <c r="C919">
        <v>5.01</v>
      </c>
      <c r="D919">
        <v>1</v>
      </c>
      <c r="E919">
        <v>21</v>
      </c>
      <c r="F919">
        <v>11</v>
      </c>
      <c r="G919">
        <v>1</v>
      </c>
      <c r="H919">
        <v>0</v>
      </c>
      <c r="I919">
        <v>2</v>
      </c>
      <c r="J919">
        <v>2016</v>
      </c>
      <c r="K919">
        <v>7</v>
      </c>
      <c r="L919" t="s">
        <v>11</v>
      </c>
      <c r="M919">
        <f>SUM(Pharma_Sales_Data[[#This Row],[M01AB]:[R06]])</f>
        <v>48.35</v>
      </c>
      <c r="N919" s="2">
        <f>Pharma_Sales_Data[[#This Row],[Total Drug Sales]]*150</f>
        <v>7252.5</v>
      </c>
      <c r="O919" s="2">
        <f>Pharma_Sales_Data[[#This Row],[Total Revenue]]*0.3</f>
        <v>2175.75</v>
      </c>
      <c r="P919" t="str">
        <f>IF(Pharma_Sales_Data[[#This Row],[Total Revenue]]&gt;20000,"High Value", IF(Pharma_Sales_Data[[#This Row],[Total Revenue]]&gt;=10000,"Medium Value","Low Value"))</f>
        <v>Low Value</v>
      </c>
    </row>
    <row r="920" spans="1:16" x14ac:dyDescent="0.35">
      <c r="A920" s="1">
        <v>42559</v>
      </c>
      <c r="B920">
        <v>1.34</v>
      </c>
      <c r="C920">
        <v>7.056</v>
      </c>
      <c r="D920">
        <v>9.1999999999999993</v>
      </c>
      <c r="E920">
        <v>28</v>
      </c>
      <c r="F920">
        <v>12</v>
      </c>
      <c r="G920">
        <v>1</v>
      </c>
      <c r="H920">
        <v>0</v>
      </c>
      <c r="I920">
        <v>4.3</v>
      </c>
      <c r="J920">
        <v>2016</v>
      </c>
      <c r="K920">
        <v>7</v>
      </c>
      <c r="L920" t="s">
        <v>12</v>
      </c>
      <c r="M920">
        <f>SUM(Pharma_Sales_Data[[#This Row],[M01AB]:[R06]])</f>
        <v>62.896000000000001</v>
      </c>
      <c r="N920" s="2">
        <f>Pharma_Sales_Data[[#This Row],[Total Drug Sales]]*150</f>
        <v>9434.4</v>
      </c>
      <c r="O920" s="2">
        <f>Pharma_Sales_Data[[#This Row],[Total Revenue]]*0.3</f>
        <v>2830.3199999999997</v>
      </c>
      <c r="P920" t="str">
        <f>IF(Pharma_Sales_Data[[#This Row],[Total Revenue]]&gt;20000,"High Value", IF(Pharma_Sales_Data[[#This Row],[Total Revenue]]&gt;=10000,"Medium Value","Low Value"))</f>
        <v>Low Value</v>
      </c>
    </row>
    <row r="921" spans="1:16" x14ac:dyDescent="0.35">
      <c r="A921" s="1">
        <v>42560</v>
      </c>
      <c r="B921">
        <v>3.33</v>
      </c>
      <c r="C921">
        <v>6</v>
      </c>
      <c r="D921">
        <v>4.5</v>
      </c>
      <c r="E921">
        <v>11</v>
      </c>
      <c r="F921">
        <v>12</v>
      </c>
      <c r="G921">
        <v>0</v>
      </c>
      <c r="H921">
        <v>0</v>
      </c>
      <c r="I921">
        <v>2</v>
      </c>
      <c r="J921">
        <v>2016</v>
      </c>
      <c r="K921">
        <v>7</v>
      </c>
      <c r="L921" t="s">
        <v>13</v>
      </c>
      <c r="M921">
        <f>SUM(Pharma_Sales_Data[[#This Row],[M01AB]:[R06]])</f>
        <v>38.83</v>
      </c>
      <c r="N921" s="2">
        <f>Pharma_Sales_Data[[#This Row],[Total Drug Sales]]*150</f>
        <v>5824.5</v>
      </c>
      <c r="O921" s="2">
        <f>Pharma_Sales_Data[[#This Row],[Total Revenue]]*0.3</f>
        <v>1747.35</v>
      </c>
      <c r="P921" t="str">
        <f>IF(Pharma_Sales_Data[[#This Row],[Total Revenue]]&gt;20000,"High Value", IF(Pharma_Sales_Data[[#This Row],[Total Revenue]]&gt;=10000,"Medium Value","Low Value"))</f>
        <v>Low Value</v>
      </c>
    </row>
    <row r="922" spans="1:16" x14ac:dyDescent="0.35">
      <c r="A922" s="1">
        <v>42561</v>
      </c>
      <c r="B922">
        <v>5.66</v>
      </c>
      <c r="C922">
        <v>8.32</v>
      </c>
      <c r="D922">
        <v>4.2</v>
      </c>
      <c r="E922">
        <v>29</v>
      </c>
      <c r="F922">
        <v>6</v>
      </c>
      <c r="G922">
        <v>0</v>
      </c>
      <c r="H922">
        <v>0</v>
      </c>
      <c r="I922">
        <v>3</v>
      </c>
      <c r="J922">
        <v>2016</v>
      </c>
      <c r="K922">
        <v>7</v>
      </c>
      <c r="L922" t="s">
        <v>14</v>
      </c>
      <c r="M922">
        <f>SUM(Pharma_Sales_Data[[#This Row],[M01AB]:[R06]])</f>
        <v>56.18</v>
      </c>
      <c r="N922" s="2">
        <f>Pharma_Sales_Data[[#This Row],[Total Drug Sales]]*150</f>
        <v>8427</v>
      </c>
      <c r="O922" s="2">
        <f>Pharma_Sales_Data[[#This Row],[Total Revenue]]*0.3</f>
        <v>2528.1</v>
      </c>
      <c r="P922" t="str">
        <f>IF(Pharma_Sales_Data[[#This Row],[Total Revenue]]&gt;20000,"High Value", IF(Pharma_Sales_Data[[#This Row],[Total Revenue]]&gt;=10000,"Medium Value","Low Value"))</f>
        <v>Low Value</v>
      </c>
    </row>
    <row r="923" spans="1:16" x14ac:dyDescent="0.35">
      <c r="A923" s="1">
        <v>42562</v>
      </c>
      <c r="B923">
        <v>6.33</v>
      </c>
      <c r="C923">
        <v>1.7030000000000001</v>
      </c>
      <c r="D923">
        <v>3</v>
      </c>
      <c r="E923">
        <v>19.312000000000001</v>
      </c>
      <c r="F923">
        <v>9</v>
      </c>
      <c r="G923">
        <v>0</v>
      </c>
      <c r="H923">
        <v>4</v>
      </c>
      <c r="I923">
        <v>6.2</v>
      </c>
      <c r="J923">
        <v>2016</v>
      </c>
      <c r="K923">
        <v>7</v>
      </c>
      <c r="L923" t="s">
        <v>15</v>
      </c>
      <c r="M923">
        <f>SUM(Pharma_Sales_Data[[#This Row],[M01AB]:[R06]])</f>
        <v>49.545000000000002</v>
      </c>
      <c r="N923" s="2">
        <f>Pharma_Sales_Data[[#This Row],[Total Drug Sales]]*150</f>
        <v>7431.75</v>
      </c>
      <c r="O923" s="2">
        <f>Pharma_Sales_Data[[#This Row],[Total Revenue]]*0.3</f>
        <v>2229.5250000000001</v>
      </c>
      <c r="P923" t="str">
        <f>IF(Pharma_Sales_Data[[#This Row],[Total Revenue]]&gt;20000,"High Value", IF(Pharma_Sales_Data[[#This Row],[Total Revenue]]&gt;=10000,"Medium Value","Low Value"))</f>
        <v>Low Value</v>
      </c>
    </row>
    <row r="924" spans="1:16" x14ac:dyDescent="0.35">
      <c r="A924" s="1">
        <v>42563</v>
      </c>
      <c r="B924">
        <v>5.67</v>
      </c>
      <c r="C924">
        <v>2.67</v>
      </c>
      <c r="D924">
        <v>4</v>
      </c>
      <c r="E924">
        <v>27.2</v>
      </c>
      <c r="F924">
        <v>14</v>
      </c>
      <c r="G924">
        <v>0</v>
      </c>
      <c r="H924">
        <v>3</v>
      </c>
      <c r="I924">
        <v>4</v>
      </c>
      <c r="J924">
        <v>2016</v>
      </c>
      <c r="K924">
        <v>7</v>
      </c>
      <c r="L924" t="s">
        <v>16</v>
      </c>
      <c r="M924">
        <f>SUM(Pharma_Sales_Data[[#This Row],[M01AB]:[R06]])</f>
        <v>60.54</v>
      </c>
      <c r="N924" s="2">
        <f>Pharma_Sales_Data[[#This Row],[Total Drug Sales]]*150</f>
        <v>9081</v>
      </c>
      <c r="O924" s="2">
        <f>Pharma_Sales_Data[[#This Row],[Total Revenue]]*0.3</f>
        <v>2724.2999999999997</v>
      </c>
      <c r="P924" t="str">
        <f>IF(Pharma_Sales_Data[[#This Row],[Total Revenue]]&gt;20000,"High Value", IF(Pharma_Sales_Data[[#This Row],[Total Revenue]]&gt;=10000,"Medium Value","Low Value"))</f>
        <v>Low Value</v>
      </c>
    </row>
    <row r="925" spans="1:16" x14ac:dyDescent="0.35">
      <c r="A925" s="1">
        <v>42564</v>
      </c>
      <c r="B925">
        <v>6.2183333330000004</v>
      </c>
      <c r="C925">
        <v>7</v>
      </c>
      <c r="D925">
        <v>5</v>
      </c>
      <c r="E925">
        <v>26.4</v>
      </c>
      <c r="F925">
        <v>11</v>
      </c>
      <c r="G925">
        <v>0</v>
      </c>
      <c r="H925">
        <v>3</v>
      </c>
      <c r="I925">
        <v>2</v>
      </c>
      <c r="J925">
        <v>2016</v>
      </c>
      <c r="K925">
        <v>7</v>
      </c>
      <c r="L925" t="s">
        <v>17</v>
      </c>
      <c r="M925">
        <f>SUM(Pharma_Sales_Data[[#This Row],[M01AB]:[R06]])</f>
        <v>60.618333332999995</v>
      </c>
      <c r="N925" s="2">
        <f>Pharma_Sales_Data[[#This Row],[Total Drug Sales]]*150</f>
        <v>9092.7499999499996</v>
      </c>
      <c r="O925" s="2">
        <f>Pharma_Sales_Data[[#This Row],[Total Revenue]]*0.3</f>
        <v>2727.824999985</v>
      </c>
      <c r="P925" t="str">
        <f>IF(Pharma_Sales_Data[[#This Row],[Total Revenue]]&gt;20000,"High Value", IF(Pharma_Sales_Data[[#This Row],[Total Revenue]]&gt;=10000,"Medium Value","Low Value"))</f>
        <v>Low Value</v>
      </c>
    </row>
    <row r="926" spans="1:16" x14ac:dyDescent="0.35">
      <c r="A926" s="1">
        <v>42565</v>
      </c>
      <c r="B926">
        <v>2.34</v>
      </c>
      <c r="C926">
        <v>2.363</v>
      </c>
      <c r="D926">
        <v>5</v>
      </c>
      <c r="E926">
        <v>12.4</v>
      </c>
      <c r="F926">
        <v>3</v>
      </c>
      <c r="G926">
        <v>0</v>
      </c>
      <c r="H926">
        <v>3</v>
      </c>
      <c r="I926">
        <v>5</v>
      </c>
      <c r="J926">
        <v>2016</v>
      </c>
      <c r="K926">
        <v>7</v>
      </c>
      <c r="L926" t="s">
        <v>11</v>
      </c>
      <c r="M926">
        <f>SUM(Pharma_Sales_Data[[#This Row],[M01AB]:[R06]])</f>
        <v>33.103000000000002</v>
      </c>
      <c r="N926" s="2">
        <f>Pharma_Sales_Data[[#This Row],[Total Drug Sales]]*150</f>
        <v>4965.45</v>
      </c>
      <c r="O926" s="2">
        <f>Pharma_Sales_Data[[#This Row],[Total Revenue]]*0.3</f>
        <v>1489.635</v>
      </c>
      <c r="P926" t="str">
        <f>IF(Pharma_Sales_Data[[#This Row],[Total Revenue]]&gt;20000,"High Value", IF(Pharma_Sales_Data[[#This Row],[Total Revenue]]&gt;=10000,"Medium Value","Low Value"))</f>
        <v>Low Value</v>
      </c>
    </row>
    <row r="927" spans="1:16" x14ac:dyDescent="0.35">
      <c r="A927" s="1">
        <v>42566</v>
      </c>
      <c r="B927">
        <v>3</v>
      </c>
      <c r="C927">
        <v>8</v>
      </c>
      <c r="D927">
        <v>2</v>
      </c>
      <c r="E927">
        <v>15</v>
      </c>
      <c r="F927">
        <v>4</v>
      </c>
      <c r="G927">
        <v>0</v>
      </c>
      <c r="H927">
        <v>0</v>
      </c>
      <c r="I927">
        <v>3.33</v>
      </c>
      <c r="J927">
        <v>2016</v>
      </c>
      <c r="K927">
        <v>7</v>
      </c>
      <c r="L927" t="s">
        <v>12</v>
      </c>
      <c r="M927">
        <f>SUM(Pharma_Sales_Data[[#This Row],[M01AB]:[R06]])</f>
        <v>35.33</v>
      </c>
      <c r="N927" s="2">
        <f>Pharma_Sales_Data[[#This Row],[Total Drug Sales]]*150</f>
        <v>5299.5</v>
      </c>
      <c r="O927" s="2">
        <f>Pharma_Sales_Data[[#This Row],[Total Revenue]]*0.3</f>
        <v>1589.85</v>
      </c>
      <c r="P927" t="str">
        <f>IF(Pharma_Sales_Data[[#This Row],[Total Revenue]]&gt;20000,"High Value", IF(Pharma_Sales_Data[[#This Row],[Total Revenue]]&gt;=10000,"Medium Value","Low Value"))</f>
        <v>Low Value</v>
      </c>
    </row>
    <row r="928" spans="1:16" x14ac:dyDescent="0.35">
      <c r="A928" s="1">
        <v>42567</v>
      </c>
      <c r="B928">
        <v>9.33</v>
      </c>
      <c r="C928">
        <v>6.7370000000000001</v>
      </c>
      <c r="D928">
        <v>3</v>
      </c>
      <c r="E928">
        <v>23.3</v>
      </c>
      <c r="F928">
        <v>6</v>
      </c>
      <c r="G928">
        <v>0</v>
      </c>
      <c r="H928">
        <v>1</v>
      </c>
      <c r="I928">
        <v>8</v>
      </c>
      <c r="J928">
        <v>2016</v>
      </c>
      <c r="K928">
        <v>7</v>
      </c>
      <c r="L928" t="s">
        <v>13</v>
      </c>
      <c r="M928">
        <f>SUM(Pharma_Sales_Data[[#This Row],[M01AB]:[R06]])</f>
        <v>57.367000000000004</v>
      </c>
      <c r="N928" s="2">
        <f>Pharma_Sales_Data[[#This Row],[Total Drug Sales]]*150</f>
        <v>8605.0500000000011</v>
      </c>
      <c r="O928" s="2">
        <f>Pharma_Sales_Data[[#This Row],[Total Revenue]]*0.3</f>
        <v>2581.5150000000003</v>
      </c>
      <c r="P928" t="str">
        <f>IF(Pharma_Sales_Data[[#This Row],[Total Revenue]]&gt;20000,"High Value", IF(Pharma_Sales_Data[[#This Row],[Total Revenue]]&gt;=10000,"Medium Value","Low Value"))</f>
        <v>Low Value</v>
      </c>
    </row>
    <row r="929" spans="1:16" x14ac:dyDescent="0.35">
      <c r="A929" s="1">
        <v>42568</v>
      </c>
      <c r="B929">
        <v>9.01</v>
      </c>
      <c r="C929">
        <v>4.01</v>
      </c>
      <c r="D929">
        <v>3</v>
      </c>
      <c r="E929">
        <v>26.65</v>
      </c>
      <c r="F929">
        <v>3</v>
      </c>
      <c r="G929">
        <v>0</v>
      </c>
      <c r="H929">
        <v>7</v>
      </c>
      <c r="I929">
        <v>4</v>
      </c>
      <c r="J929">
        <v>2016</v>
      </c>
      <c r="K929">
        <v>7</v>
      </c>
      <c r="L929" t="s">
        <v>14</v>
      </c>
      <c r="M929">
        <f>SUM(Pharma_Sales_Data[[#This Row],[M01AB]:[R06]])</f>
        <v>56.67</v>
      </c>
      <c r="N929" s="2">
        <f>Pharma_Sales_Data[[#This Row],[Total Drug Sales]]*150</f>
        <v>8500.5</v>
      </c>
      <c r="O929" s="2">
        <f>Pharma_Sales_Data[[#This Row],[Total Revenue]]*0.3</f>
        <v>2550.15</v>
      </c>
      <c r="P929" t="str">
        <f>IF(Pharma_Sales_Data[[#This Row],[Total Revenue]]&gt;20000,"High Value", IF(Pharma_Sales_Data[[#This Row],[Total Revenue]]&gt;=10000,"Medium Value","Low Value"))</f>
        <v>Low Value</v>
      </c>
    </row>
    <row r="930" spans="1:16" x14ac:dyDescent="0.35">
      <c r="A930" s="1">
        <v>42569</v>
      </c>
      <c r="B930">
        <v>6</v>
      </c>
      <c r="C930">
        <v>2.4969999999999999</v>
      </c>
      <c r="D930">
        <v>8</v>
      </c>
      <c r="E930">
        <v>25.4</v>
      </c>
      <c r="F930">
        <v>2</v>
      </c>
      <c r="G930">
        <v>0</v>
      </c>
      <c r="H930">
        <v>3</v>
      </c>
      <c r="I930">
        <v>4</v>
      </c>
      <c r="J930">
        <v>2016</v>
      </c>
      <c r="K930">
        <v>7</v>
      </c>
      <c r="L930" t="s">
        <v>15</v>
      </c>
      <c r="M930">
        <f>SUM(Pharma_Sales_Data[[#This Row],[M01AB]:[R06]])</f>
        <v>50.896999999999998</v>
      </c>
      <c r="N930" s="2">
        <f>Pharma_Sales_Data[[#This Row],[Total Drug Sales]]*150</f>
        <v>7634.55</v>
      </c>
      <c r="O930" s="2">
        <f>Pharma_Sales_Data[[#This Row],[Total Revenue]]*0.3</f>
        <v>2290.3649999999998</v>
      </c>
      <c r="P930" t="str">
        <f>IF(Pharma_Sales_Data[[#This Row],[Total Revenue]]&gt;20000,"High Value", IF(Pharma_Sales_Data[[#This Row],[Total Revenue]]&gt;=10000,"Medium Value","Low Value"))</f>
        <v>Low Value</v>
      </c>
    </row>
    <row r="931" spans="1:16" x14ac:dyDescent="0.35">
      <c r="A931" s="1">
        <v>42570</v>
      </c>
      <c r="B931">
        <v>7.34</v>
      </c>
      <c r="C931">
        <v>1.33</v>
      </c>
      <c r="D931">
        <v>6</v>
      </c>
      <c r="E931">
        <v>19</v>
      </c>
      <c r="F931">
        <v>5</v>
      </c>
      <c r="G931">
        <v>0</v>
      </c>
      <c r="H931">
        <v>1</v>
      </c>
      <c r="I931">
        <v>2</v>
      </c>
      <c r="J931">
        <v>2016</v>
      </c>
      <c r="K931">
        <v>7</v>
      </c>
      <c r="L931" t="s">
        <v>16</v>
      </c>
      <c r="M931">
        <f>SUM(Pharma_Sales_Data[[#This Row],[M01AB]:[R06]])</f>
        <v>41.67</v>
      </c>
      <c r="N931" s="2">
        <f>Pharma_Sales_Data[[#This Row],[Total Drug Sales]]*150</f>
        <v>6250.5</v>
      </c>
      <c r="O931" s="2">
        <f>Pharma_Sales_Data[[#This Row],[Total Revenue]]*0.3</f>
        <v>1875.1499999999999</v>
      </c>
      <c r="P931" t="str">
        <f>IF(Pharma_Sales_Data[[#This Row],[Total Revenue]]&gt;20000,"High Value", IF(Pharma_Sales_Data[[#This Row],[Total Revenue]]&gt;=10000,"Medium Value","Low Value"))</f>
        <v>Low Value</v>
      </c>
    </row>
    <row r="932" spans="1:16" x14ac:dyDescent="0.35">
      <c r="A932" s="1">
        <v>42571</v>
      </c>
      <c r="B932">
        <v>10.33</v>
      </c>
      <c r="C932">
        <v>4.66</v>
      </c>
      <c r="D932">
        <v>7.1</v>
      </c>
      <c r="E932">
        <v>25.2</v>
      </c>
      <c r="F932">
        <v>6</v>
      </c>
      <c r="G932">
        <v>0</v>
      </c>
      <c r="H932">
        <v>5</v>
      </c>
      <c r="I932">
        <v>5</v>
      </c>
      <c r="J932">
        <v>2016</v>
      </c>
      <c r="K932">
        <v>7</v>
      </c>
      <c r="L932" t="s">
        <v>17</v>
      </c>
      <c r="M932">
        <f>SUM(Pharma_Sales_Data[[#This Row],[M01AB]:[R06]])</f>
        <v>63.29</v>
      </c>
      <c r="N932" s="2">
        <f>Pharma_Sales_Data[[#This Row],[Total Drug Sales]]*150</f>
        <v>9493.5</v>
      </c>
      <c r="O932" s="2">
        <f>Pharma_Sales_Data[[#This Row],[Total Revenue]]*0.3</f>
        <v>2848.0499999999997</v>
      </c>
      <c r="P932" t="str">
        <f>IF(Pharma_Sales_Data[[#This Row],[Total Revenue]]&gt;20000,"High Value", IF(Pharma_Sales_Data[[#This Row],[Total Revenue]]&gt;=10000,"Medium Value","Low Value"))</f>
        <v>Low Value</v>
      </c>
    </row>
    <row r="933" spans="1:16" x14ac:dyDescent="0.35">
      <c r="A933" s="1">
        <v>42572</v>
      </c>
      <c r="B933">
        <v>5.66</v>
      </c>
      <c r="C933">
        <v>5.32</v>
      </c>
      <c r="D933">
        <v>4.0999999999999996</v>
      </c>
      <c r="E933">
        <v>17</v>
      </c>
      <c r="F933">
        <v>15</v>
      </c>
      <c r="G933">
        <v>0</v>
      </c>
      <c r="H933">
        <v>1</v>
      </c>
      <c r="I933">
        <v>2</v>
      </c>
      <c r="J933">
        <v>2016</v>
      </c>
      <c r="K933">
        <v>7</v>
      </c>
      <c r="L933" t="s">
        <v>11</v>
      </c>
      <c r="M933">
        <f>SUM(Pharma_Sales_Data[[#This Row],[M01AB]:[R06]])</f>
        <v>50.08</v>
      </c>
      <c r="N933" s="2">
        <f>Pharma_Sales_Data[[#This Row],[Total Drug Sales]]*150</f>
        <v>7512</v>
      </c>
      <c r="O933" s="2">
        <f>Pharma_Sales_Data[[#This Row],[Total Revenue]]*0.3</f>
        <v>2253.6</v>
      </c>
      <c r="P933" t="str">
        <f>IF(Pharma_Sales_Data[[#This Row],[Total Revenue]]&gt;20000,"High Value", IF(Pharma_Sales_Data[[#This Row],[Total Revenue]]&gt;=10000,"Medium Value","Low Value"))</f>
        <v>Low Value</v>
      </c>
    </row>
    <row r="934" spans="1:16" x14ac:dyDescent="0.35">
      <c r="A934" s="1">
        <v>42573</v>
      </c>
      <c r="B934">
        <v>3.33</v>
      </c>
      <c r="C934">
        <v>1.66</v>
      </c>
      <c r="D934">
        <v>7</v>
      </c>
      <c r="E934">
        <v>14</v>
      </c>
      <c r="F934">
        <v>4</v>
      </c>
      <c r="G934">
        <v>0</v>
      </c>
      <c r="H934">
        <v>0</v>
      </c>
      <c r="I934">
        <v>2</v>
      </c>
      <c r="J934">
        <v>2016</v>
      </c>
      <c r="K934">
        <v>7</v>
      </c>
      <c r="L934" t="s">
        <v>12</v>
      </c>
      <c r="M934">
        <f>SUM(Pharma_Sales_Data[[#This Row],[M01AB]:[R06]])</f>
        <v>31.990000000000002</v>
      </c>
      <c r="N934" s="2">
        <f>Pharma_Sales_Data[[#This Row],[Total Drug Sales]]*150</f>
        <v>4798.5</v>
      </c>
      <c r="O934" s="2">
        <f>Pharma_Sales_Data[[#This Row],[Total Revenue]]*0.3</f>
        <v>1439.55</v>
      </c>
      <c r="P934" t="str">
        <f>IF(Pharma_Sales_Data[[#This Row],[Total Revenue]]&gt;20000,"High Value", IF(Pharma_Sales_Data[[#This Row],[Total Revenue]]&gt;=10000,"Medium Value","Low Value"))</f>
        <v>Low Value</v>
      </c>
    </row>
    <row r="935" spans="1:16" x14ac:dyDescent="0.35">
      <c r="A935" s="1">
        <v>42574</v>
      </c>
      <c r="B935">
        <v>4.66</v>
      </c>
      <c r="C935">
        <v>5.49</v>
      </c>
      <c r="D935">
        <v>2.1</v>
      </c>
      <c r="E935">
        <v>15</v>
      </c>
      <c r="F935">
        <v>6</v>
      </c>
      <c r="G935">
        <v>0</v>
      </c>
      <c r="H935">
        <v>0</v>
      </c>
      <c r="I935">
        <v>5</v>
      </c>
      <c r="J935">
        <v>2016</v>
      </c>
      <c r="K935">
        <v>7</v>
      </c>
      <c r="L935" t="s">
        <v>13</v>
      </c>
      <c r="M935">
        <f>SUM(Pharma_Sales_Data[[#This Row],[M01AB]:[R06]])</f>
        <v>38.25</v>
      </c>
      <c r="N935" s="2">
        <f>Pharma_Sales_Data[[#This Row],[Total Drug Sales]]*150</f>
        <v>5737.5</v>
      </c>
      <c r="O935" s="2">
        <f>Pharma_Sales_Data[[#This Row],[Total Revenue]]*0.3</f>
        <v>1721.25</v>
      </c>
      <c r="P935" t="str">
        <f>IF(Pharma_Sales_Data[[#This Row],[Total Revenue]]&gt;20000,"High Value", IF(Pharma_Sales_Data[[#This Row],[Total Revenue]]&gt;=10000,"Medium Value","Low Value"))</f>
        <v>Low Value</v>
      </c>
    </row>
    <row r="936" spans="1:16" x14ac:dyDescent="0.35">
      <c r="A936" s="1">
        <v>42575</v>
      </c>
      <c r="B936">
        <v>2.33</v>
      </c>
      <c r="C936">
        <v>4.99</v>
      </c>
      <c r="D936">
        <v>4</v>
      </c>
      <c r="E936">
        <v>32</v>
      </c>
      <c r="F936">
        <v>4</v>
      </c>
      <c r="G936">
        <v>0</v>
      </c>
      <c r="H936">
        <v>0</v>
      </c>
      <c r="I936">
        <v>2</v>
      </c>
      <c r="J936">
        <v>2016</v>
      </c>
      <c r="K936">
        <v>7</v>
      </c>
      <c r="L936" t="s">
        <v>14</v>
      </c>
      <c r="M936">
        <f>SUM(Pharma_Sales_Data[[#This Row],[M01AB]:[R06]])</f>
        <v>49.32</v>
      </c>
      <c r="N936" s="2">
        <f>Pharma_Sales_Data[[#This Row],[Total Drug Sales]]*150</f>
        <v>7398</v>
      </c>
      <c r="O936" s="2">
        <f>Pharma_Sales_Data[[#This Row],[Total Revenue]]*0.3</f>
        <v>2219.4</v>
      </c>
      <c r="P936" t="str">
        <f>IF(Pharma_Sales_Data[[#This Row],[Total Revenue]]&gt;20000,"High Value", IF(Pharma_Sales_Data[[#This Row],[Total Revenue]]&gt;=10000,"Medium Value","Low Value"))</f>
        <v>Low Value</v>
      </c>
    </row>
    <row r="937" spans="1:16" x14ac:dyDescent="0.35">
      <c r="A937" s="1">
        <v>42576</v>
      </c>
      <c r="B937">
        <v>13</v>
      </c>
      <c r="C937">
        <v>3.33</v>
      </c>
      <c r="D937">
        <v>7</v>
      </c>
      <c r="E937">
        <v>22</v>
      </c>
      <c r="F937">
        <v>9</v>
      </c>
      <c r="G937">
        <v>0</v>
      </c>
      <c r="H937">
        <v>4</v>
      </c>
      <c r="I937">
        <v>4</v>
      </c>
      <c r="J937">
        <v>2016</v>
      </c>
      <c r="K937">
        <v>7</v>
      </c>
      <c r="L937" t="s">
        <v>15</v>
      </c>
      <c r="M937">
        <f>SUM(Pharma_Sales_Data[[#This Row],[M01AB]:[R06]])</f>
        <v>62.33</v>
      </c>
      <c r="N937" s="2">
        <f>Pharma_Sales_Data[[#This Row],[Total Drug Sales]]*150</f>
        <v>9349.5</v>
      </c>
      <c r="O937" s="2">
        <f>Pharma_Sales_Data[[#This Row],[Total Revenue]]*0.3</f>
        <v>2804.85</v>
      </c>
      <c r="P937" t="str">
        <f>IF(Pharma_Sales_Data[[#This Row],[Total Revenue]]&gt;20000,"High Value", IF(Pharma_Sales_Data[[#This Row],[Total Revenue]]&gt;=10000,"Medium Value","Low Value"))</f>
        <v>Low Value</v>
      </c>
    </row>
    <row r="938" spans="1:16" x14ac:dyDescent="0.35">
      <c r="A938" s="1">
        <v>42577</v>
      </c>
      <c r="B938">
        <v>8.32</v>
      </c>
      <c r="C938">
        <v>2.66</v>
      </c>
      <c r="D938">
        <v>1</v>
      </c>
      <c r="E938">
        <v>10</v>
      </c>
      <c r="F938">
        <v>16</v>
      </c>
      <c r="G938">
        <v>0</v>
      </c>
      <c r="H938">
        <v>0</v>
      </c>
      <c r="I938">
        <v>2</v>
      </c>
      <c r="J938">
        <v>2016</v>
      </c>
      <c r="K938">
        <v>7</v>
      </c>
      <c r="L938" t="s">
        <v>16</v>
      </c>
      <c r="M938">
        <f>SUM(Pharma_Sales_Data[[#This Row],[M01AB]:[R06]])</f>
        <v>39.980000000000004</v>
      </c>
      <c r="N938" s="2">
        <f>Pharma_Sales_Data[[#This Row],[Total Drug Sales]]*150</f>
        <v>5997.0000000000009</v>
      </c>
      <c r="O938" s="2">
        <f>Pharma_Sales_Data[[#This Row],[Total Revenue]]*0.3</f>
        <v>1799.1000000000001</v>
      </c>
      <c r="P938" t="str">
        <f>IF(Pharma_Sales_Data[[#This Row],[Total Revenue]]&gt;20000,"High Value", IF(Pharma_Sales_Data[[#This Row],[Total Revenue]]&gt;=10000,"Medium Value","Low Value"))</f>
        <v>Low Value</v>
      </c>
    </row>
    <row r="939" spans="1:16" x14ac:dyDescent="0.35">
      <c r="A939" s="1">
        <v>42578</v>
      </c>
      <c r="B939">
        <v>3</v>
      </c>
      <c r="C939">
        <v>6.33</v>
      </c>
      <c r="D939">
        <v>4.1500000000000004</v>
      </c>
      <c r="E939">
        <v>10</v>
      </c>
      <c r="F939">
        <v>4</v>
      </c>
      <c r="G939">
        <v>1</v>
      </c>
      <c r="H939">
        <v>9</v>
      </c>
      <c r="I939">
        <v>2</v>
      </c>
      <c r="J939">
        <v>2016</v>
      </c>
      <c r="K939">
        <v>7</v>
      </c>
      <c r="L939" t="s">
        <v>17</v>
      </c>
      <c r="M939">
        <f>SUM(Pharma_Sales_Data[[#This Row],[M01AB]:[R06]])</f>
        <v>39.480000000000004</v>
      </c>
      <c r="N939" s="2">
        <f>Pharma_Sales_Data[[#This Row],[Total Drug Sales]]*150</f>
        <v>5922.0000000000009</v>
      </c>
      <c r="O939" s="2">
        <f>Pharma_Sales_Data[[#This Row],[Total Revenue]]*0.3</f>
        <v>1776.6000000000001</v>
      </c>
      <c r="P939" t="str">
        <f>IF(Pharma_Sales_Data[[#This Row],[Total Revenue]]&gt;20000,"High Value", IF(Pharma_Sales_Data[[#This Row],[Total Revenue]]&gt;=10000,"Medium Value","Low Value"))</f>
        <v>Low Value</v>
      </c>
    </row>
    <row r="940" spans="1:16" x14ac:dyDescent="0.35">
      <c r="A940" s="1">
        <v>42579</v>
      </c>
      <c r="B940">
        <v>9.67</v>
      </c>
      <c r="C940">
        <v>3.99</v>
      </c>
      <c r="D940">
        <v>4</v>
      </c>
      <c r="E940">
        <v>22.5</v>
      </c>
      <c r="F940">
        <v>12</v>
      </c>
      <c r="G940">
        <v>1</v>
      </c>
      <c r="H940">
        <v>5</v>
      </c>
      <c r="I940">
        <v>3</v>
      </c>
      <c r="J940">
        <v>2016</v>
      </c>
      <c r="K940">
        <v>7</v>
      </c>
      <c r="L940" t="s">
        <v>11</v>
      </c>
      <c r="M940">
        <f>SUM(Pharma_Sales_Data[[#This Row],[M01AB]:[R06]])</f>
        <v>61.16</v>
      </c>
      <c r="N940" s="2">
        <f>Pharma_Sales_Data[[#This Row],[Total Drug Sales]]*150</f>
        <v>9174</v>
      </c>
      <c r="O940" s="2">
        <f>Pharma_Sales_Data[[#This Row],[Total Revenue]]*0.3</f>
        <v>2752.2</v>
      </c>
      <c r="P940" t="str">
        <f>IF(Pharma_Sales_Data[[#This Row],[Total Revenue]]&gt;20000,"High Value", IF(Pharma_Sales_Data[[#This Row],[Total Revenue]]&gt;=10000,"Medium Value","Low Value"))</f>
        <v>Low Value</v>
      </c>
    </row>
    <row r="941" spans="1:16" x14ac:dyDescent="0.35">
      <c r="A941" s="1">
        <v>42580</v>
      </c>
      <c r="B941">
        <v>9.99</v>
      </c>
      <c r="C941">
        <v>4.51</v>
      </c>
      <c r="D941">
        <v>6</v>
      </c>
      <c r="E941">
        <v>11</v>
      </c>
      <c r="F941">
        <v>17</v>
      </c>
      <c r="G941">
        <v>1</v>
      </c>
      <c r="H941">
        <v>11</v>
      </c>
      <c r="I941">
        <v>2</v>
      </c>
      <c r="J941">
        <v>2016</v>
      </c>
      <c r="K941">
        <v>7</v>
      </c>
      <c r="L941" t="s">
        <v>12</v>
      </c>
      <c r="M941">
        <f>SUM(Pharma_Sales_Data[[#This Row],[M01AB]:[R06]])</f>
        <v>62.5</v>
      </c>
      <c r="N941" s="2">
        <f>Pharma_Sales_Data[[#This Row],[Total Drug Sales]]*150</f>
        <v>9375</v>
      </c>
      <c r="O941" s="2">
        <f>Pharma_Sales_Data[[#This Row],[Total Revenue]]*0.3</f>
        <v>2812.5</v>
      </c>
      <c r="P941" t="str">
        <f>IF(Pharma_Sales_Data[[#This Row],[Total Revenue]]&gt;20000,"High Value", IF(Pharma_Sales_Data[[#This Row],[Total Revenue]]&gt;=10000,"Medium Value","Low Value"))</f>
        <v>Low Value</v>
      </c>
    </row>
    <row r="942" spans="1:16" x14ac:dyDescent="0.35">
      <c r="A942" s="1">
        <v>42581</v>
      </c>
      <c r="B942">
        <v>6.33</v>
      </c>
      <c r="C942">
        <v>3.99</v>
      </c>
      <c r="D942">
        <v>4</v>
      </c>
      <c r="E942">
        <v>37</v>
      </c>
      <c r="F942">
        <v>7</v>
      </c>
      <c r="G942">
        <v>0</v>
      </c>
      <c r="H942">
        <v>1</v>
      </c>
      <c r="I942">
        <v>6</v>
      </c>
      <c r="J942">
        <v>2016</v>
      </c>
      <c r="K942">
        <v>7</v>
      </c>
      <c r="L942" t="s">
        <v>13</v>
      </c>
      <c r="M942">
        <f>SUM(Pharma_Sales_Data[[#This Row],[M01AB]:[R06]])</f>
        <v>65.319999999999993</v>
      </c>
      <c r="N942" s="2">
        <f>Pharma_Sales_Data[[#This Row],[Total Drug Sales]]*150</f>
        <v>9797.9999999999982</v>
      </c>
      <c r="O942" s="2">
        <f>Pharma_Sales_Data[[#This Row],[Total Revenue]]*0.3</f>
        <v>2939.3999999999992</v>
      </c>
      <c r="P942" t="str">
        <f>IF(Pharma_Sales_Data[[#This Row],[Total Revenue]]&gt;20000,"High Value", IF(Pharma_Sales_Data[[#This Row],[Total Revenue]]&gt;=10000,"Medium Value","Low Value"))</f>
        <v>Low Value</v>
      </c>
    </row>
    <row r="943" spans="1:16" x14ac:dyDescent="0.35">
      <c r="A943" s="1">
        <v>42582</v>
      </c>
      <c r="B943">
        <v>6</v>
      </c>
      <c r="C943">
        <v>5.01</v>
      </c>
      <c r="D943">
        <v>4.5</v>
      </c>
      <c r="E943">
        <v>22</v>
      </c>
      <c r="F943">
        <v>5</v>
      </c>
      <c r="G943">
        <v>0</v>
      </c>
      <c r="H943">
        <v>0</v>
      </c>
      <c r="I943">
        <v>4</v>
      </c>
      <c r="J943">
        <v>2016</v>
      </c>
      <c r="K943">
        <v>7</v>
      </c>
      <c r="L943" t="s">
        <v>14</v>
      </c>
      <c r="M943">
        <f>SUM(Pharma_Sales_Data[[#This Row],[M01AB]:[R06]])</f>
        <v>46.51</v>
      </c>
      <c r="N943" s="2">
        <f>Pharma_Sales_Data[[#This Row],[Total Drug Sales]]*150</f>
        <v>6976.5</v>
      </c>
      <c r="O943" s="2">
        <f>Pharma_Sales_Data[[#This Row],[Total Revenue]]*0.3</f>
        <v>2092.9499999999998</v>
      </c>
      <c r="P943" t="str">
        <f>IF(Pharma_Sales_Data[[#This Row],[Total Revenue]]&gt;20000,"High Value", IF(Pharma_Sales_Data[[#This Row],[Total Revenue]]&gt;=10000,"Medium Value","Low Value"))</f>
        <v>Low Value</v>
      </c>
    </row>
    <row r="944" spans="1:16" x14ac:dyDescent="0.35">
      <c r="A944" s="1">
        <v>42583</v>
      </c>
      <c r="B944">
        <v>8.33</v>
      </c>
      <c r="C944">
        <v>1.3959999999999999</v>
      </c>
      <c r="D944">
        <v>5</v>
      </c>
      <c r="E944">
        <v>14</v>
      </c>
      <c r="F944">
        <v>7.5</v>
      </c>
      <c r="G944">
        <v>1</v>
      </c>
      <c r="H944">
        <v>1</v>
      </c>
      <c r="I944">
        <v>6</v>
      </c>
      <c r="J944">
        <v>2016</v>
      </c>
      <c r="K944">
        <v>8</v>
      </c>
      <c r="L944" t="s">
        <v>15</v>
      </c>
      <c r="M944">
        <f>SUM(Pharma_Sales_Data[[#This Row],[M01AB]:[R06]])</f>
        <v>44.225999999999999</v>
      </c>
      <c r="N944" s="2">
        <f>Pharma_Sales_Data[[#This Row],[Total Drug Sales]]*150</f>
        <v>6633.9</v>
      </c>
      <c r="O944" s="2">
        <f>Pharma_Sales_Data[[#This Row],[Total Revenue]]*0.3</f>
        <v>1990.1699999999998</v>
      </c>
      <c r="P944" t="str">
        <f>IF(Pharma_Sales_Data[[#This Row],[Total Revenue]]&gt;20000,"High Value", IF(Pharma_Sales_Data[[#This Row],[Total Revenue]]&gt;=10000,"Medium Value","Low Value"))</f>
        <v>Low Value</v>
      </c>
    </row>
    <row r="945" spans="1:16" x14ac:dyDescent="0.35">
      <c r="A945" s="1">
        <v>42584</v>
      </c>
      <c r="B945">
        <v>8.33</v>
      </c>
      <c r="C945">
        <v>7</v>
      </c>
      <c r="D945">
        <v>5</v>
      </c>
      <c r="E945">
        <v>12</v>
      </c>
      <c r="F945">
        <v>12</v>
      </c>
      <c r="G945">
        <v>0</v>
      </c>
      <c r="H945">
        <v>1</v>
      </c>
      <c r="I945">
        <v>1</v>
      </c>
      <c r="J945">
        <v>2016</v>
      </c>
      <c r="K945">
        <v>8</v>
      </c>
      <c r="L945" t="s">
        <v>16</v>
      </c>
      <c r="M945">
        <f>SUM(Pharma_Sales_Data[[#This Row],[M01AB]:[R06]])</f>
        <v>46.33</v>
      </c>
      <c r="N945" s="2">
        <f>Pharma_Sales_Data[[#This Row],[Total Drug Sales]]*150</f>
        <v>6949.5</v>
      </c>
      <c r="O945" s="2">
        <f>Pharma_Sales_Data[[#This Row],[Total Revenue]]*0.3</f>
        <v>2084.85</v>
      </c>
      <c r="P945" t="str">
        <f>IF(Pharma_Sales_Data[[#This Row],[Total Revenue]]&gt;20000,"High Value", IF(Pharma_Sales_Data[[#This Row],[Total Revenue]]&gt;=10000,"Medium Value","Low Value"))</f>
        <v>Low Value</v>
      </c>
    </row>
    <row r="946" spans="1:16" x14ac:dyDescent="0.35">
      <c r="A946" s="1">
        <v>42585</v>
      </c>
      <c r="B946">
        <v>8</v>
      </c>
      <c r="C946">
        <v>2.98</v>
      </c>
      <c r="D946">
        <v>3.5</v>
      </c>
      <c r="E946">
        <v>21</v>
      </c>
      <c r="F946">
        <v>11</v>
      </c>
      <c r="G946">
        <v>0</v>
      </c>
      <c r="H946">
        <v>13</v>
      </c>
      <c r="I946">
        <v>3</v>
      </c>
      <c r="J946">
        <v>2016</v>
      </c>
      <c r="K946">
        <v>8</v>
      </c>
      <c r="L946" t="s">
        <v>17</v>
      </c>
      <c r="M946">
        <f>SUM(Pharma_Sales_Data[[#This Row],[M01AB]:[R06]])</f>
        <v>62.480000000000004</v>
      </c>
      <c r="N946" s="2">
        <f>Pharma_Sales_Data[[#This Row],[Total Drug Sales]]*150</f>
        <v>9372</v>
      </c>
      <c r="O946" s="2">
        <f>Pharma_Sales_Data[[#This Row],[Total Revenue]]*0.3</f>
        <v>2811.6</v>
      </c>
      <c r="P946" t="str">
        <f>IF(Pharma_Sales_Data[[#This Row],[Total Revenue]]&gt;20000,"High Value", IF(Pharma_Sales_Data[[#This Row],[Total Revenue]]&gt;=10000,"Medium Value","Low Value"))</f>
        <v>Low Value</v>
      </c>
    </row>
    <row r="947" spans="1:16" x14ac:dyDescent="0.35">
      <c r="A947" s="1">
        <v>42586</v>
      </c>
      <c r="B947">
        <v>8</v>
      </c>
      <c r="C947">
        <v>2.6930000000000001</v>
      </c>
      <c r="D947">
        <v>2</v>
      </c>
      <c r="E947">
        <v>34.4</v>
      </c>
      <c r="F947">
        <v>12</v>
      </c>
      <c r="G947">
        <v>0</v>
      </c>
      <c r="H947">
        <v>17</v>
      </c>
      <c r="I947">
        <v>4</v>
      </c>
      <c r="J947">
        <v>2016</v>
      </c>
      <c r="K947">
        <v>8</v>
      </c>
      <c r="L947" t="s">
        <v>11</v>
      </c>
      <c r="M947">
        <f>SUM(Pharma_Sales_Data[[#This Row],[M01AB]:[R06]])</f>
        <v>80.092999999999989</v>
      </c>
      <c r="N947" s="2">
        <f>Pharma_Sales_Data[[#This Row],[Total Drug Sales]]*150</f>
        <v>12013.949999999999</v>
      </c>
      <c r="O947" s="2">
        <f>Pharma_Sales_Data[[#This Row],[Total Revenue]]*0.3</f>
        <v>3604.1849999999995</v>
      </c>
      <c r="P947" t="str">
        <f>IF(Pharma_Sales_Data[[#This Row],[Total Revenue]]&gt;20000,"High Value", IF(Pharma_Sales_Data[[#This Row],[Total Revenue]]&gt;=10000,"Medium Value","Low Value"))</f>
        <v>Medium Value</v>
      </c>
    </row>
    <row r="948" spans="1:16" x14ac:dyDescent="0.35">
      <c r="A948" s="1">
        <v>42587</v>
      </c>
      <c r="B948">
        <v>10.33</v>
      </c>
      <c r="C948">
        <v>3.42</v>
      </c>
      <c r="D948">
        <v>3.7</v>
      </c>
      <c r="E948">
        <v>21</v>
      </c>
      <c r="F948">
        <v>24</v>
      </c>
      <c r="G948">
        <v>0</v>
      </c>
      <c r="H948">
        <v>24</v>
      </c>
      <c r="I948">
        <v>1.3</v>
      </c>
      <c r="J948">
        <v>2016</v>
      </c>
      <c r="K948">
        <v>8</v>
      </c>
      <c r="L948" t="s">
        <v>12</v>
      </c>
      <c r="M948">
        <f>SUM(Pharma_Sales_Data[[#This Row],[M01AB]:[R06]])</f>
        <v>87.75</v>
      </c>
      <c r="N948" s="2">
        <f>Pharma_Sales_Data[[#This Row],[Total Drug Sales]]*150</f>
        <v>13162.5</v>
      </c>
      <c r="O948" s="2">
        <f>Pharma_Sales_Data[[#This Row],[Total Revenue]]*0.3</f>
        <v>3948.75</v>
      </c>
      <c r="P948" t="str">
        <f>IF(Pharma_Sales_Data[[#This Row],[Total Revenue]]&gt;20000,"High Value", IF(Pharma_Sales_Data[[#This Row],[Total Revenue]]&gt;=10000,"Medium Value","Low Value"))</f>
        <v>Medium Value</v>
      </c>
    </row>
    <row r="949" spans="1:16" x14ac:dyDescent="0.35">
      <c r="A949" s="1">
        <v>42588</v>
      </c>
      <c r="B949">
        <v>3</v>
      </c>
      <c r="C949">
        <v>3.6619999999999999</v>
      </c>
      <c r="D949">
        <v>5</v>
      </c>
      <c r="E949">
        <v>20</v>
      </c>
      <c r="F949">
        <v>33</v>
      </c>
      <c r="G949">
        <v>0</v>
      </c>
      <c r="H949">
        <v>1</v>
      </c>
      <c r="I949">
        <v>2</v>
      </c>
      <c r="J949">
        <v>2016</v>
      </c>
      <c r="K949">
        <v>8</v>
      </c>
      <c r="L949" t="s">
        <v>13</v>
      </c>
      <c r="M949">
        <f>SUM(Pharma_Sales_Data[[#This Row],[M01AB]:[R06]])</f>
        <v>67.662000000000006</v>
      </c>
      <c r="N949" s="2">
        <f>Pharma_Sales_Data[[#This Row],[Total Drug Sales]]*150</f>
        <v>10149.300000000001</v>
      </c>
      <c r="O949" s="2">
        <f>Pharma_Sales_Data[[#This Row],[Total Revenue]]*0.3</f>
        <v>3044.7900000000004</v>
      </c>
      <c r="P949" t="str">
        <f>IF(Pharma_Sales_Data[[#This Row],[Total Revenue]]&gt;20000,"High Value", IF(Pharma_Sales_Data[[#This Row],[Total Revenue]]&gt;=10000,"Medium Value","Low Value"))</f>
        <v>Medium Value</v>
      </c>
    </row>
    <row r="950" spans="1:16" x14ac:dyDescent="0.35">
      <c r="A950" s="1">
        <v>42589</v>
      </c>
      <c r="B950">
        <v>8</v>
      </c>
      <c r="C950">
        <v>4.1550000000000002</v>
      </c>
      <c r="D950">
        <v>8.1999999999999993</v>
      </c>
      <c r="E950">
        <v>40.200000000000003</v>
      </c>
      <c r="F950">
        <v>12</v>
      </c>
      <c r="G950">
        <v>0</v>
      </c>
      <c r="H950">
        <v>5</v>
      </c>
      <c r="I950">
        <v>3</v>
      </c>
      <c r="J950">
        <v>2016</v>
      </c>
      <c r="K950">
        <v>8</v>
      </c>
      <c r="L950" t="s">
        <v>14</v>
      </c>
      <c r="M950">
        <f>SUM(Pharma_Sales_Data[[#This Row],[M01AB]:[R06]])</f>
        <v>80.555000000000007</v>
      </c>
      <c r="N950" s="2">
        <f>Pharma_Sales_Data[[#This Row],[Total Drug Sales]]*150</f>
        <v>12083.250000000002</v>
      </c>
      <c r="O950" s="2">
        <f>Pharma_Sales_Data[[#This Row],[Total Revenue]]*0.3</f>
        <v>3624.9750000000004</v>
      </c>
      <c r="P950" t="str">
        <f>IF(Pharma_Sales_Data[[#This Row],[Total Revenue]]&gt;20000,"High Value", IF(Pharma_Sales_Data[[#This Row],[Total Revenue]]&gt;=10000,"Medium Value","Low Value"))</f>
        <v>Medium Value</v>
      </c>
    </row>
    <row r="951" spans="1:16" x14ac:dyDescent="0.35">
      <c r="A951" s="1">
        <v>42590</v>
      </c>
      <c r="B951">
        <v>8.34</v>
      </c>
      <c r="C951">
        <v>5.99</v>
      </c>
      <c r="D951">
        <v>5.5</v>
      </c>
      <c r="E951">
        <v>15</v>
      </c>
      <c r="F951">
        <v>36</v>
      </c>
      <c r="G951">
        <v>0</v>
      </c>
      <c r="H951">
        <v>1</v>
      </c>
      <c r="I951">
        <v>4</v>
      </c>
      <c r="J951">
        <v>2016</v>
      </c>
      <c r="K951">
        <v>8</v>
      </c>
      <c r="L951" t="s">
        <v>15</v>
      </c>
      <c r="M951">
        <f>SUM(Pharma_Sales_Data[[#This Row],[M01AB]:[R06]])</f>
        <v>75.83</v>
      </c>
      <c r="N951" s="2">
        <f>Pharma_Sales_Data[[#This Row],[Total Drug Sales]]*150</f>
        <v>11374.5</v>
      </c>
      <c r="O951" s="2">
        <f>Pharma_Sales_Data[[#This Row],[Total Revenue]]*0.3</f>
        <v>3412.35</v>
      </c>
      <c r="P951" t="str">
        <f>IF(Pharma_Sales_Data[[#This Row],[Total Revenue]]&gt;20000,"High Value", IF(Pharma_Sales_Data[[#This Row],[Total Revenue]]&gt;=10000,"Medium Value","Low Value"))</f>
        <v>Medium Value</v>
      </c>
    </row>
    <row r="952" spans="1:16" x14ac:dyDescent="0.35">
      <c r="A952" s="1">
        <v>42591</v>
      </c>
      <c r="B952">
        <v>6.33</v>
      </c>
      <c r="C952">
        <v>4.66</v>
      </c>
      <c r="D952">
        <v>7</v>
      </c>
      <c r="E952">
        <v>29</v>
      </c>
      <c r="F952">
        <v>26</v>
      </c>
      <c r="G952">
        <v>1</v>
      </c>
      <c r="H952">
        <v>2</v>
      </c>
      <c r="I952">
        <v>4</v>
      </c>
      <c r="J952">
        <v>2016</v>
      </c>
      <c r="K952">
        <v>8</v>
      </c>
      <c r="L952" t="s">
        <v>16</v>
      </c>
      <c r="M952">
        <f>SUM(Pharma_Sales_Data[[#This Row],[M01AB]:[R06]])</f>
        <v>79.990000000000009</v>
      </c>
      <c r="N952" s="2">
        <f>Pharma_Sales_Data[[#This Row],[Total Drug Sales]]*150</f>
        <v>11998.500000000002</v>
      </c>
      <c r="O952" s="2">
        <f>Pharma_Sales_Data[[#This Row],[Total Revenue]]*0.3</f>
        <v>3599.5500000000006</v>
      </c>
      <c r="P952" t="str">
        <f>IF(Pharma_Sales_Data[[#This Row],[Total Revenue]]&gt;20000,"High Value", IF(Pharma_Sales_Data[[#This Row],[Total Revenue]]&gt;=10000,"Medium Value","Low Value"))</f>
        <v>Medium Value</v>
      </c>
    </row>
    <row r="953" spans="1:16" x14ac:dyDescent="0.35">
      <c r="A953" s="1">
        <v>42592</v>
      </c>
      <c r="B953">
        <v>11.34</v>
      </c>
      <c r="C953">
        <v>2.99</v>
      </c>
      <c r="D953">
        <v>7</v>
      </c>
      <c r="E953">
        <v>24.1</v>
      </c>
      <c r="F953">
        <v>11</v>
      </c>
      <c r="G953">
        <v>0</v>
      </c>
      <c r="H953">
        <v>3</v>
      </c>
      <c r="I953">
        <v>2</v>
      </c>
      <c r="J953">
        <v>2016</v>
      </c>
      <c r="K953">
        <v>8</v>
      </c>
      <c r="L953" t="s">
        <v>17</v>
      </c>
      <c r="M953">
        <f>SUM(Pharma_Sales_Data[[#This Row],[M01AB]:[R06]])</f>
        <v>61.43</v>
      </c>
      <c r="N953" s="2">
        <f>Pharma_Sales_Data[[#This Row],[Total Drug Sales]]*150</f>
        <v>9214.5</v>
      </c>
      <c r="O953" s="2">
        <f>Pharma_Sales_Data[[#This Row],[Total Revenue]]*0.3</f>
        <v>2764.35</v>
      </c>
      <c r="P953" t="str">
        <f>IF(Pharma_Sales_Data[[#This Row],[Total Revenue]]&gt;20000,"High Value", IF(Pharma_Sales_Data[[#This Row],[Total Revenue]]&gt;=10000,"Medium Value","Low Value"))</f>
        <v>Low Value</v>
      </c>
    </row>
    <row r="954" spans="1:16" x14ac:dyDescent="0.35">
      <c r="A954" s="1">
        <v>42593</v>
      </c>
      <c r="B954">
        <v>5.67</v>
      </c>
      <c r="C954">
        <v>3.66</v>
      </c>
      <c r="D954">
        <v>0</v>
      </c>
      <c r="E954">
        <v>25</v>
      </c>
      <c r="F954">
        <v>1</v>
      </c>
      <c r="G954">
        <v>0</v>
      </c>
      <c r="H954">
        <v>0</v>
      </c>
      <c r="I954">
        <v>2</v>
      </c>
      <c r="J954">
        <v>2016</v>
      </c>
      <c r="K954">
        <v>8</v>
      </c>
      <c r="L954" t="s">
        <v>11</v>
      </c>
      <c r="M954">
        <f>SUM(Pharma_Sales_Data[[#This Row],[M01AB]:[R06]])</f>
        <v>37.33</v>
      </c>
      <c r="N954" s="2">
        <f>Pharma_Sales_Data[[#This Row],[Total Drug Sales]]*150</f>
        <v>5599.5</v>
      </c>
      <c r="O954" s="2">
        <f>Pharma_Sales_Data[[#This Row],[Total Revenue]]*0.3</f>
        <v>1679.85</v>
      </c>
      <c r="P954" t="str">
        <f>IF(Pharma_Sales_Data[[#This Row],[Total Revenue]]&gt;20000,"High Value", IF(Pharma_Sales_Data[[#This Row],[Total Revenue]]&gt;=10000,"Medium Value","Low Value"))</f>
        <v>Low Value</v>
      </c>
    </row>
    <row r="955" spans="1:16" x14ac:dyDescent="0.35">
      <c r="A955" s="1">
        <v>42594</v>
      </c>
      <c r="B955">
        <v>8.66</v>
      </c>
      <c r="C955">
        <v>5.66</v>
      </c>
      <c r="D955">
        <v>6.1</v>
      </c>
      <c r="E955">
        <v>27.6</v>
      </c>
      <c r="F955">
        <v>6</v>
      </c>
      <c r="G955">
        <v>4</v>
      </c>
      <c r="H955">
        <v>0</v>
      </c>
      <c r="I955">
        <v>2</v>
      </c>
      <c r="J955">
        <v>2016</v>
      </c>
      <c r="K955">
        <v>8</v>
      </c>
      <c r="L955" t="s">
        <v>12</v>
      </c>
      <c r="M955">
        <f>SUM(Pharma_Sales_Data[[#This Row],[M01AB]:[R06]])</f>
        <v>60.02</v>
      </c>
      <c r="N955" s="2">
        <f>Pharma_Sales_Data[[#This Row],[Total Drug Sales]]*150</f>
        <v>9003</v>
      </c>
      <c r="O955" s="2">
        <f>Pharma_Sales_Data[[#This Row],[Total Revenue]]*0.3</f>
        <v>2700.9</v>
      </c>
      <c r="P955" t="str">
        <f>IF(Pharma_Sales_Data[[#This Row],[Total Revenue]]&gt;20000,"High Value", IF(Pharma_Sales_Data[[#This Row],[Total Revenue]]&gt;=10000,"Medium Value","Low Value"))</f>
        <v>Low Value</v>
      </c>
    </row>
    <row r="956" spans="1:16" x14ac:dyDescent="0.35">
      <c r="A956" s="1">
        <v>42595</v>
      </c>
      <c r="B956">
        <v>8</v>
      </c>
      <c r="C956">
        <v>6.7370000000000001</v>
      </c>
      <c r="D956">
        <v>5</v>
      </c>
      <c r="E956">
        <v>32</v>
      </c>
      <c r="F956">
        <v>2</v>
      </c>
      <c r="G956">
        <v>0</v>
      </c>
      <c r="H956">
        <v>0</v>
      </c>
      <c r="I956">
        <v>5</v>
      </c>
      <c r="J956">
        <v>2016</v>
      </c>
      <c r="K956">
        <v>8</v>
      </c>
      <c r="L956" t="s">
        <v>13</v>
      </c>
      <c r="M956">
        <f>SUM(Pharma_Sales_Data[[#This Row],[M01AB]:[R06]])</f>
        <v>58.737000000000002</v>
      </c>
      <c r="N956" s="2">
        <f>Pharma_Sales_Data[[#This Row],[Total Drug Sales]]*150</f>
        <v>8810.5500000000011</v>
      </c>
      <c r="O956" s="2">
        <f>Pharma_Sales_Data[[#This Row],[Total Revenue]]*0.3</f>
        <v>2643.1650000000004</v>
      </c>
      <c r="P956" t="str">
        <f>IF(Pharma_Sales_Data[[#This Row],[Total Revenue]]&gt;20000,"High Value", IF(Pharma_Sales_Data[[#This Row],[Total Revenue]]&gt;=10000,"Medium Value","Low Value"))</f>
        <v>Low Value</v>
      </c>
    </row>
    <row r="957" spans="1:16" x14ac:dyDescent="0.35">
      <c r="A957" s="1">
        <v>42596</v>
      </c>
      <c r="B957">
        <v>5</v>
      </c>
      <c r="C957">
        <v>4.8570000000000002</v>
      </c>
      <c r="D957">
        <v>4.5</v>
      </c>
      <c r="E957">
        <v>18.216666669999999</v>
      </c>
      <c r="F957">
        <v>2</v>
      </c>
      <c r="G957">
        <v>0</v>
      </c>
      <c r="H957">
        <v>7</v>
      </c>
      <c r="I957">
        <v>0</v>
      </c>
      <c r="J957">
        <v>2016</v>
      </c>
      <c r="K957">
        <v>8</v>
      </c>
      <c r="L957" t="s">
        <v>14</v>
      </c>
      <c r="M957">
        <f>SUM(Pharma_Sales_Data[[#This Row],[M01AB]:[R06]])</f>
        <v>41.573666669999994</v>
      </c>
      <c r="N957" s="2">
        <f>Pharma_Sales_Data[[#This Row],[Total Drug Sales]]*150</f>
        <v>6236.0500004999994</v>
      </c>
      <c r="O957" s="2">
        <f>Pharma_Sales_Data[[#This Row],[Total Revenue]]*0.3</f>
        <v>1870.8150001499998</v>
      </c>
      <c r="P957" t="str">
        <f>IF(Pharma_Sales_Data[[#This Row],[Total Revenue]]&gt;20000,"High Value", IF(Pharma_Sales_Data[[#This Row],[Total Revenue]]&gt;=10000,"Medium Value","Low Value"))</f>
        <v>Low Value</v>
      </c>
    </row>
    <row r="958" spans="1:16" x14ac:dyDescent="0.35">
      <c r="A958" s="1">
        <v>42597</v>
      </c>
      <c r="B958">
        <v>5</v>
      </c>
      <c r="C958">
        <v>2.33</v>
      </c>
      <c r="D958">
        <v>2</v>
      </c>
      <c r="E958">
        <v>21</v>
      </c>
      <c r="F958">
        <v>11</v>
      </c>
      <c r="G958">
        <v>0</v>
      </c>
      <c r="H958">
        <v>0</v>
      </c>
      <c r="I958">
        <v>2</v>
      </c>
      <c r="J958">
        <v>2016</v>
      </c>
      <c r="K958">
        <v>8</v>
      </c>
      <c r="L958" t="s">
        <v>15</v>
      </c>
      <c r="M958">
        <f>SUM(Pharma_Sales_Data[[#This Row],[M01AB]:[R06]])</f>
        <v>43.33</v>
      </c>
      <c r="N958" s="2">
        <f>Pharma_Sales_Data[[#This Row],[Total Drug Sales]]*150</f>
        <v>6499.5</v>
      </c>
      <c r="O958" s="2">
        <f>Pharma_Sales_Data[[#This Row],[Total Revenue]]*0.3</f>
        <v>1949.85</v>
      </c>
      <c r="P958" t="str">
        <f>IF(Pharma_Sales_Data[[#This Row],[Total Revenue]]&gt;20000,"High Value", IF(Pharma_Sales_Data[[#This Row],[Total Revenue]]&gt;=10000,"Medium Value","Low Value"))</f>
        <v>Low Value</v>
      </c>
    </row>
    <row r="959" spans="1:16" x14ac:dyDescent="0.35">
      <c r="A959" s="1">
        <v>42598</v>
      </c>
      <c r="B959">
        <v>10</v>
      </c>
      <c r="C959">
        <v>4.66</v>
      </c>
      <c r="D959">
        <v>3</v>
      </c>
      <c r="E959">
        <v>14.45</v>
      </c>
      <c r="F959">
        <v>4</v>
      </c>
      <c r="G959">
        <v>0</v>
      </c>
      <c r="H959">
        <v>11</v>
      </c>
      <c r="I959">
        <v>3.5</v>
      </c>
      <c r="J959">
        <v>2016</v>
      </c>
      <c r="K959">
        <v>8</v>
      </c>
      <c r="L959" t="s">
        <v>16</v>
      </c>
      <c r="M959">
        <f>SUM(Pharma_Sales_Data[[#This Row],[M01AB]:[R06]])</f>
        <v>50.61</v>
      </c>
      <c r="N959" s="2">
        <f>Pharma_Sales_Data[[#This Row],[Total Drug Sales]]*150</f>
        <v>7591.5</v>
      </c>
      <c r="O959" s="2">
        <f>Pharma_Sales_Data[[#This Row],[Total Revenue]]*0.3</f>
        <v>2277.4499999999998</v>
      </c>
      <c r="P959" t="str">
        <f>IF(Pharma_Sales_Data[[#This Row],[Total Revenue]]&gt;20000,"High Value", IF(Pharma_Sales_Data[[#This Row],[Total Revenue]]&gt;=10000,"Medium Value","Low Value"))</f>
        <v>Low Value</v>
      </c>
    </row>
    <row r="960" spans="1:16" x14ac:dyDescent="0.35">
      <c r="A960" s="1">
        <v>42599</v>
      </c>
      <c r="B960">
        <v>8.66</v>
      </c>
      <c r="C960">
        <v>2.0099999999999998</v>
      </c>
      <c r="D960">
        <v>4</v>
      </c>
      <c r="E960">
        <v>9.5</v>
      </c>
      <c r="F960">
        <v>7</v>
      </c>
      <c r="G960">
        <v>0</v>
      </c>
      <c r="H960">
        <v>5</v>
      </c>
      <c r="I960">
        <v>5</v>
      </c>
      <c r="J960">
        <v>2016</v>
      </c>
      <c r="K960">
        <v>8</v>
      </c>
      <c r="L960" t="s">
        <v>17</v>
      </c>
      <c r="M960">
        <f>SUM(Pharma_Sales_Data[[#This Row],[M01AB]:[R06]])</f>
        <v>41.17</v>
      </c>
      <c r="N960" s="2">
        <f>Pharma_Sales_Data[[#This Row],[Total Drug Sales]]*150</f>
        <v>6175.5</v>
      </c>
      <c r="O960" s="2">
        <f>Pharma_Sales_Data[[#This Row],[Total Revenue]]*0.3</f>
        <v>1852.6499999999999</v>
      </c>
      <c r="P960" t="str">
        <f>IF(Pharma_Sales_Data[[#This Row],[Total Revenue]]&gt;20000,"High Value", IF(Pharma_Sales_Data[[#This Row],[Total Revenue]]&gt;=10000,"Medium Value","Low Value"))</f>
        <v>Low Value</v>
      </c>
    </row>
    <row r="961" spans="1:16" x14ac:dyDescent="0.35">
      <c r="A961" s="1">
        <v>42600</v>
      </c>
      <c r="B961">
        <v>6.99</v>
      </c>
      <c r="C961">
        <v>3.363</v>
      </c>
      <c r="D961">
        <v>4</v>
      </c>
      <c r="E961">
        <v>25.6</v>
      </c>
      <c r="F961">
        <v>7</v>
      </c>
      <c r="G961">
        <v>0</v>
      </c>
      <c r="H961">
        <v>0</v>
      </c>
      <c r="I961">
        <v>1</v>
      </c>
      <c r="J961">
        <v>2016</v>
      </c>
      <c r="K961">
        <v>8</v>
      </c>
      <c r="L961" t="s">
        <v>11</v>
      </c>
      <c r="M961">
        <f>SUM(Pharma_Sales_Data[[#This Row],[M01AB]:[R06]])</f>
        <v>47.953000000000003</v>
      </c>
      <c r="N961" s="2">
        <f>Pharma_Sales_Data[[#This Row],[Total Drug Sales]]*150</f>
        <v>7192.9500000000007</v>
      </c>
      <c r="O961" s="2">
        <f>Pharma_Sales_Data[[#This Row],[Total Revenue]]*0.3</f>
        <v>2157.8850000000002</v>
      </c>
      <c r="P961" t="str">
        <f>IF(Pharma_Sales_Data[[#This Row],[Total Revenue]]&gt;20000,"High Value", IF(Pharma_Sales_Data[[#This Row],[Total Revenue]]&gt;=10000,"Medium Value","Low Value"))</f>
        <v>Low Value</v>
      </c>
    </row>
    <row r="962" spans="1:16" x14ac:dyDescent="0.35">
      <c r="A962" s="1">
        <v>42601</v>
      </c>
      <c r="B962">
        <v>1</v>
      </c>
      <c r="C962">
        <v>4.33</v>
      </c>
      <c r="D962">
        <v>0.6</v>
      </c>
      <c r="E962">
        <v>27</v>
      </c>
      <c r="F962">
        <v>12</v>
      </c>
      <c r="G962">
        <v>0</v>
      </c>
      <c r="H962">
        <v>0</v>
      </c>
      <c r="I962">
        <v>4</v>
      </c>
      <c r="J962">
        <v>2016</v>
      </c>
      <c r="K962">
        <v>8</v>
      </c>
      <c r="L962" t="s">
        <v>12</v>
      </c>
      <c r="M962">
        <f>SUM(Pharma_Sales_Data[[#This Row],[M01AB]:[R06]])</f>
        <v>48.93</v>
      </c>
      <c r="N962" s="2">
        <f>Pharma_Sales_Data[[#This Row],[Total Drug Sales]]*150</f>
        <v>7339.5</v>
      </c>
      <c r="O962" s="2">
        <f>Pharma_Sales_Data[[#This Row],[Total Revenue]]*0.3</f>
        <v>2201.85</v>
      </c>
      <c r="P962" t="str">
        <f>IF(Pharma_Sales_Data[[#This Row],[Total Revenue]]&gt;20000,"High Value", IF(Pharma_Sales_Data[[#This Row],[Total Revenue]]&gt;=10000,"Medium Value","Low Value"))</f>
        <v>Low Value</v>
      </c>
    </row>
    <row r="963" spans="1:16" x14ac:dyDescent="0.35">
      <c r="A963" s="1">
        <v>42602</v>
      </c>
      <c r="B963">
        <v>4.33</v>
      </c>
      <c r="C963">
        <v>2.99</v>
      </c>
      <c r="D963">
        <v>6</v>
      </c>
      <c r="E963">
        <v>26.2</v>
      </c>
      <c r="F963">
        <v>1</v>
      </c>
      <c r="G963">
        <v>0</v>
      </c>
      <c r="H963">
        <v>0</v>
      </c>
      <c r="I963">
        <v>6</v>
      </c>
      <c r="J963">
        <v>2016</v>
      </c>
      <c r="K963">
        <v>8</v>
      </c>
      <c r="L963" t="s">
        <v>13</v>
      </c>
      <c r="M963">
        <f>SUM(Pharma_Sales_Data[[#This Row],[M01AB]:[R06]])</f>
        <v>46.519999999999996</v>
      </c>
      <c r="N963" s="2">
        <f>Pharma_Sales_Data[[#This Row],[Total Drug Sales]]*150</f>
        <v>6977.9999999999991</v>
      </c>
      <c r="O963" s="2">
        <f>Pharma_Sales_Data[[#This Row],[Total Revenue]]*0.3</f>
        <v>2093.3999999999996</v>
      </c>
      <c r="P963" t="str">
        <f>IF(Pharma_Sales_Data[[#This Row],[Total Revenue]]&gt;20000,"High Value", IF(Pharma_Sales_Data[[#This Row],[Total Revenue]]&gt;=10000,"Medium Value","Low Value"))</f>
        <v>Low Value</v>
      </c>
    </row>
    <row r="964" spans="1:16" x14ac:dyDescent="0.35">
      <c r="A964" s="1">
        <v>42603</v>
      </c>
      <c r="B964">
        <v>8</v>
      </c>
      <c r="C964">
        <v>3.6269999999999998</v>
      </c>
      <c r="D964">
        <v>7.4</v>
      </c>
      <c r="E964">
        <v>39</v>
      </c>
      <c r="F964">
        <v>3</v>
      </c>
      <c r="G964">
        <v>4</v>
      </c>
      <c r="H964">
        <v>1</v>
      </c>
      <c r="I964">
        <v>1</v>
      </c>
      <c r="J964">
        <v>2016</v>
      </c>
      <c r="K964">
        <v>8</v>
      </c>
      <c r="L964" t="s">
        <v>14</v>
      </c>
      <c r="M964">
        <f>SUM(Pharma_Sales_Data[[#This Row],[M01AB]:[R06]])</f>
        <v>67.027000000000001</v>
      </c>
      <c r="N964" s="2">
        <f>Pharma_Sales_Data[[#This Row],[Total Drug Sales]]*150</f>
        <v>10054.049999999999</v>
      </c>
      <c r="O964" s="2">
        <f>Pharma_Sales_Data[[#This Row],[Total Revenue]]*0.3</f>
        <v>3016.2149999999997</v>
      </c>
      <c r="P964" t="str">
        <f>IF(Pharma_Sales_Data[[#This Row],[Total Revenue]]&gt;20000,"High Value", IF(Pharma_Sales_Data[[#This Row],[Total Revenue]]&gt;=10000,"Medium Value","Low Value"))</f>
        <v>Medium Value</v>
      </c>
    </row>
    <row r="965" spans="1:16" x14ac:dyDescent="0.35">
      <c r="A965" s="1">
        <v>42604</v>
      </c>
      <c r="B965">
        <v>3.34</v>
      </c>
      <c r="C965">
        <v>3.3860000000000001</v>
      </c>
      <c r="D965">
        <v>0</v>
      </c>
      <c r="E965">
        <v>23.2</v>
      </c>
      <c r="F965">
        <v>3</v>
      </c>
      <c r="G965">
        <v>0</v>
      </c>
      <c r="H965">
        <v>0</v>
      </c>
      <c r="I965">
        <v>6</v>
      </c>
      <c r="J965">
        <v>2016</v>
      </c>
      <c r="K965">
        <v>8</v>
      </c>
      <c r="L965" t="s">
        <v>15</v>
      </c>
      <c r="M965">
        <f>SUM(Pharma_Sales_Data[[#This Row],[M01AB]:[R06]])</f>
        <v>38.926000000000002</v>
      </c>
      <c r="N965" s="2">
        <f>Pharma_Sales_Data[[#This Row],[Total Drug Sales]]*150</f>
        <v>5838.9000000000005</v>
      </c>
      <c r="O965" s="2">
        <f>Pharma_Sales_Data[[#This Row],[Total Revenue]]*0.3</f>
        <v>1751.67</v>
      </c>
      <c r="P965" t="str">
        <f>IF(Pharma_Sales_Data[[#This Row],[Total Revenue]]&gt;20000,"High Value", IF(Pharma_Sales_Data[[#This Row],[Total Revenue]]&gt;=10000,"Medium Value","Low Value"))</f>
        <v>Low Value</v>
      </c>
    </row>
    <row r="966" spans="1:16" x14ac:dyDescent="0.35">
      <c r="A966" s="1">
        <v>42605</v>
      </c>
      <c r="B966">
        <v>3</v>
      </c>
      <c r="C966">
        <v>3.0659999999999998</v>
      </c>
      <c r="D966">
        <v>4</v>
      </c>
      <c r="E966">
        <v>14.7</v>
      </c>
      <c r="F966">
        <v>7</v>
      </c>
      <c r="G966">
        <v>1</v>
      </c>
      <c r="H966">
        <v>0</v>
      </c>
      <c r="I966">
        <v>1.2</v>
      </c>
      <c r="J966">
        <v>2016</v>
      </c>
      <c r="K966">
        <v>8</v>
      </c>
      <c r="L966" t="s">
        <v>16</v>
      </c>
      <c r="M966">
        <f>SUM(Pharma_Sales_Data[[#This Row],[M01AB]:[R06]])</f>
        <v>33.966000000000001</v>
      </c>
      <c r="N966" s="2">
        <f>Pharma_Sales_Data[[#This Row],[Total Drug Sales]]*150</f>
        <v>5094.9000000000005</v>
      </c>
      <c r="O966" s="2">
        <f>Pharma_Sales_Data[[#This Row],[Total Revenue]]*0.3</f>
        <v>1528.47</v>
      </c>
      <c r="P966" t="str">
        <f>IF(Pharma_Sales_Data[[#This Row],[Total Revenue]]&gt;20000,"High Value", IF(Pharma_Sales_Data[[#This Row],[Total Revenue]]&gt;=10000,"Medium Value","Low Value"))</f>
        <v>Low Value</v>
      </c>
    </row>
    <row r="967" spans="1:16" x14ac:dyDescent="0.35">
      <c r="A967" s="1">
        <v>42606</v>
      </c>
      <c r="B967">
        <v>9.33</v>
      </c>
      <c r="C967">
        <v>3.4870000000000001</v>
      </c>
      <c r="D967">
        <v>8</v>
      </c>
      <c r="E967">
        <v>11.3</v>
      </c>
      <c r="F967">
        <v>2</v>
      </c>
      <c r="G967">
        <v>0</v>
      </c>
      <c r="H967">
        <v>0</v>
      </c>
      <c r="I967">
        <v>3</v>
      </c>
      <c r="J967">
        <v>2016</v>
      </c>
      <c r="K967">
        <v>8</v>
      </c>
      <c r="L967" t="s">
        <v>17</v>
      </c>
      <c r="M967">
        <f>SUM(Pharma_Sales_Data[[#This Row],[M01AB]:[R06]])</f>
        <v>37.117000000000004</v>
      </c>
      <c r="N967" s="2">
        <f>Pharma_Sales_Data[[#This Row],[Total Drug Sales]]*150</f>
        <v>5567.5500000000011</v>
      </c>
      <c r="O967" s="2">
        <f>Pharma_Sales_Data[[#This Row],[Total Revenue]]*0.3</f>
        <v>1670.2650000000003</v>
      </c>
      <c r="P967" t="str">
        <f>IF(Pharma_Sales_Data[[#This Row],[Total Revenue]]&gt;20000,"High Value", IF(Pharma_Sales_Data[[#This Row],[Total Revenue]]&gt;=10000,"Medium Value","Low Value"))</f>
        <v>Low Value</v>
      </c>
    </row>
    <row r="968" spans="1:16" x14ac:dyDescent="0.35">
      <c r="A968" s="1">
        <v>42607</v>
      </c>
      <c r="B968">
        <v>4.33</v>
      </c>
      <c r="C968">
        <v>2.67</v>
      </c>
      <c r="D968">
        <v>8</v>
      </c>
      <c r="E968">
        <v>19.399999999999999</v>
      </c>
      <c r="F968">
        <v>4</v>
      </c>
      <c r="G968">
        <v>1</v>
      </c>
      <c r="H968">
        <v>4</v>
      </c>
      <c r="I968">
        <v>5</v>
      </c>
      <c r="J968">
        <v>2016</v>
      </c>
      <c r="K968">
        <v>8</v>
      </c>
      <c r="L968" t="s">
        <v>11</v>
      </c>
      <c r="M968">
        <f>SUM(Pharma_Sales_Data[[#This Row],[M01AB]:[R06]])</f>
        <v>48.4</v>
      </c>
      <c r="N968" s="2">
        <f>Pharma_Sales_Data[[#This Row],[Total Drug Sales]]*150</f>
        <v>7260</v>
      </c>
      <c r="O968" s="2">
        <f>Pharma_Sales_Data[[#This Row],[Total Revenue]]*0.3</f>
        <v>2178</v>
      </c>
      <c r="P968" t="str">
        <f>IF(Pharma_Sales_Data[[#This Row],[Total Revenue]]&gt;20000,"High Value", IF(Pharma_Sales_Data[[#This Row],[Total Revenue]]&gt;=10000,"Medium Value","Low Value"))</f>
        <v>Low Value</v>
      </c>
    </row>
    <row r="969" spans="1:16" x14ac:dyDescent="0.35">
      <c r="A969" s="1">
        <v>42608</v>
      </c>
      <c r="B969">
        <v>4</v>
      </c>
      <c r="C969">
        <v>2.0230000000000001</v>
      </c>
      <c r="D969">
        <v>2</v>
      </c>
      <c r="E969">
        <v>20.7</v>
      </c>
      <c r="F969">
        <v>3</v>
      </c>
      <c r="G969">
        <v>0</v>
      </c>
      <c r="H969">
        <v>0</v>
      </c>
      <c r="I969">
        <v>0</v>
      </c>
      <c r="J969">
        <v>2016</v>
      </c>
      <c r="K969">
        <v>8</v>
      </c>
      <c r="L969" t="s">
        <v>12</v>
      </c>
      <c r="M969">
        <f>SUM(Pharma_Sales_Data[[#This Row],[M01AB]:[R06]])</f>
        <v>31.722999999999999</v>
      </c>
      <c r="N969" s="2">
        <f>Pharma_Sales_Data[[#This Row],[Total Drug Sales]]*150</f>
        <v>4758.45</v>
      </c>
      <c r="O969" s="2">
        <f>Pharma_Sales_Data[[#This Row],[Total Revenue]]*0.3</f>
        <v>1427.5349999999999</v>
      </c>
      <c r="P969" t="str">
        <f>IF(Pharma_Sales_Data[[#This Row],[Total Revenue]]&gt;20000,"High Value", IF(Pharma_Sales_Data[[#This Row],[Total Revenue]]&gt;=10000,"Medium Value","Low Value"))</f>
        <v>Low Value</v>
      </c>
    </row>
    <row r="970" spans="1:16" x14ac:dyDescent="0.35">
      <c r="A970" s="1">
        <v>42609</v>
      </c>
      <c r="B970">
        <v>8.83</v>
      </c>
      <c r="C970">
        <v>1.736</v>
      </c>
      <c r="D970">
        <v>1</v>
      </c>
      <c r="E970">
        <v>17.516666669999999</v>
      </c>
      <c r="F970">
        <v>2</v>
      </c>
      <c r="G970">
        <v>0</v>
      </c>
      <c r="H970">
        <v>11</v>
      </c>
      <c r="I970">
        <v>0</v>
      </c>
      <c r="J970">
        <v>2016</v>
      </c>
      <c r="K970">
        <v>8</v>
      </c>
      <c r="L970" t="s">
        <v>13</v>
      </c>
      <c r="M970">
        <f>SUM(Pharma_Sales_Data[[#This Row],[M01AB]:[R06]])</f>
        <v>42.082666670000002</v>
      </c>
      <c r="N970" s="2">
        <f>Pharma_Sales_Data[[#This Row],[Total Drug Sales]]*150</f>
        <v>6312.4000005000007</v>
      </c>
      <c r="O970" s="2">
        <f>Pharma_Sales_Data[[#This Row],[Total Revenue]]*0.3</f>
        <v>1893.72000015</v>
      </c>
      <c r="P970" t="str">
        <f>IF(Pharma_Sales_Data[[#This Row],[Total Revenue]]&gt;20000,"High Value", IF(Pharma_Sales_Data[[#This Row],[Total Revenue]]&gt;=10000,"Medium Value","Low Value"))</f>
        <v>Low Value</v>
      </c>
    </row>
    <row r="971" spans="1:16" x14ac:dyDescent="0.35">
      <c r="A971" s="1">
        <v>42610</v>
      </c>
      <c r="B971">
        <v>7.33</v>
      </c>
      <c r="C971">
        <v>7.02</v>
      </c>
      <c r="D971">
        <v>6.2</v>
      </c>
      <c r="E971">
        <v>37</v>
      </c>
      <c r="F971">
        <v>3</v>
      </c>
      <c r="G971">
        <v>0</v>
      </c>
      <c r="H971">
        <v>6</v>
      </c>
      <c r="I971">
        <v>2</v>
      </c>
      <c r="J971">
        <v>2016</v>
      </c>
      <c r="K971">
        <v>8</v>
      </c>
      <c r="L971" t="s">
        <v>14</v>
      </c>
      <c r="M971">
        <f>SUM(Pharma_Sales_Data[[#This Row],[M01AB]:[R06]])</f>
        <v>68.55</v>
      </c>
      <c r="N971" s="2">
        <f>Pharma_Sales_Data[[#This Row],[Total Drug Sales]]*150</f>
        <v>10282.5</v>
      </c>
      <c r="O971" s="2">
        <f>Pharma_Sales_Data[[#This Row],[Total Revenue]]*0.3</f>
        <v>3084.75</v>
      </c>
      <c r="P971" t="str">
        <f>IF(Pharma_Sales_Data[[#This Row],[Total Revenue]]&gt;20000,"High Value", IF(Pharma_Sales_Data[[#This Row],[Total Revenue]]&gt;=10000,"Medium Value","Low Value"))</f>
        <v>Medium Value</v>
      </c>
    </row>
    <row r="972" spans="1:16" x14ac:dyDescent="0.35">
      <c r="A972" s="1">
        <v>42611</v>
      </c>
      <c r="B972">
        <v>9</v>
      </c>
      <c r="C972">
        <v>0.67</v>
      </c>
      <c r="D972">
        <v>2</v>
      </c>
      <c r="E972">
        <v>14.2</v>
      </c>
      <c r="F972">
        <v>4</v>
      </c>
      <c r="G972">
        <v>0</v>
      </c>
      <c r="H972">
        <v>1</v>
      </c>
      <c r="I972">
        <v>1.3</v>
      </c>
      <c r="J972">
        <v>2016</v>
      </c>
      <c r="K972">
        <v>8</v>
      </c>
      <c r="L972" t="s">
        <v>15</v>
      </c>
      <c r="M972">
        <f>SUM(Pharma_Sales_Data[[#This Row],[M01AB]:[R06]])</f>
        <v>32.169999999999995</v>
      </c>
      <c r="N972" s="2">
        <f>Pharma_Sales_Data[[#This Row],[Total Drug Sales]]*150</f>
        <v>4825.4999999999991</v>
      </c>
      <c r="O972" s="2">
        <f>Pharma_Sales_Data[[#This Row],[Total Revenue]]*0.3</f>
        <v>1447.6499999999996</v>
      </c>
      <c r="P972" t="str">
        <f>IF(Pharma_Sales_Data[[#This Row],[Total Revenue]]&gt;20000,"High Value", IF(Pharma_Sales_Data[[#This Row],[Total Revenue]]&gt;=10000,"Medium Value","Low Value"))</f>
        <v>Low Value</v>
      </c>
    </row>
    <row r="973" spans="1:16" x14ac:dyDescent="0.35">
      <c r="A973" s="1">
        <v>42612</v>
      </c>
      <c r="B973">
        <v>4.66</v>
      </c>
      <c r="C973">
        <v>1.32</v>
      </c>
      <c r="D973">
        <v>2</v>
      </c>
      <c r="E973">
        <v>8.9</v>
      </c>
      <c r="F973">
        <v>4</v>
      </c>
      <c r="G973">
        <v>0</v>
      </c>
      <c r="H973">
        <v>1</v>
      </c>
      <c r="I973">
        <v>0</v>
      </c>
      <c r="J973">
        <v>2016</v>
      </c>
      <c r="K973">
        <v>8</v>
      </c>
      <c r="L973" t="s">
        <v>16</v>
      </c>
      <c r="M973">
        <f>SUM(Pharma_Sales_Data[[#This Row],[M01AB]:[R06]])</f>
        <v>21.880000000000003</v>
      </c>
      <c r="N973" s="2">
        <f>Pharma_Sales_Data[[#This Row],[Total Drug Sales]]*150</f>
        <v>3282.0000000000005</v>
      </c>
      <c r="O973" s="2">
        <f>Pharma_Sales_Data[[#This Row],[Total Revenue]]*0.3</f>
        <v>984.60000000000014</v>
      </c>
      <c r="P973" t="str">
        <f>IF(Pharma_Sales_Data[[#This Row],[Total Revenue]]&gt;20000,"High Value", IF(Pharma_Sales_Data[[#This Row],[Total Revenue]]&gt;=10000,"Medium Value","Low Value"))</f>
        <v>Low Value</v>
      </c>
    </row>
    <row r="974" spans="1:16" x14ac:dyDescent="0.35">
      <c r="A974" s="1">
        <v>42613</v>
      </c>
      <c r="B974">
        <v>6</v>
      </c>
      <c r="C974">
        <v>5.827</v>
      </c>
      <c r="D974">
        <v>5</v>
      </c>
      <c r="E974">
        <v>23.2</v>
      </c>
      <c r="F974">
        <v>3</v>
      </c>
      <c r="G974">
        <v>0</v>
      </c>
      <c r="H974">
        <v>1</v>
      </c>
      <c r="I974">
        <v>5</v>
      </c>
      <c r="J974">
        <v>2016</v>
      </c>
      <c r="K974">
        <v>8</v>
      </c>
      <c r="L974" t="s">
        <v>17</v>
      </c>
      <c r="M974">
        <f>SUM(Pharma_Sales_Data[[#This Row],[M01AB]:[R06]])</f>
        <v>49.027000000000001</v>
      </c>
      <c r="N974" s="2">
        <f>Pharma_Sales_Data[[#This Row],[Total Drug Sales]]*150</f>
        <v>7354.05</v>
      </c>
      <c r="O974" s="2">
        <f>Pharma_Sales_Data[[#This Row],[Total Revenue]]*0.3</f>
        <v>2206.2150000000001</v>
      </c>
      <c r="P974" t="str">
        <f>IF(Pharma_Sales_Data[[#This Row],[Total Revenue]]&gt;20000,"High Value", IF(Pharma_Sales_Data[[#This Row],[Total Revenue]]&gt;=10000,"Medium Value","Low Value"))</f>
        <v>Low Value</v>
      </c>
    </row>
    <row r="975" spans="1:16" x14ac:dyDescent="0.35">
      <c r="A975" s="1">
        <v>42614</v>
      </c>
      <c r="B975">
        <v>5</v>
      </c>
      <c r="C975">
        <v>3.66</v>
      </c>
      <c r="D975">
        <v>5</v>
      </c>
      <c r="E975">
        <v>31.4</v>
      </c>
      <c r="F975">
        <v>2</v>
      </c>
      <c r="G975">
        <v>0</v>
      </c>
      <c r="H975">
        <v>0</v>
      </c>
      <c r="I975">
        <v>3</v>
      </c>
      <c r="J975">
        <v>2016</v>
      </c>
      <c r="K975">
        <v>9</v>
      </c>
      <c r="L975" t="s">
        <v>11</v>
      </c>
      <c r="M975">
        <f>SUM(Pharma_Sales_Data[[#This Row],[M01AB]:[R06]])</f>
        <v>50.06</v>
      </c>
      <c r="N975" s="2">
        <f>Pharma_Sales_Data[[#This Row],[Total Drug Sales]]*150</f>
        <v>7509</v>
      </c>
      <c r="O975" s="2">
        <f>Pharma_Sales_Data[[#This Row],[Total Revenue]]*0.3</f>
        <v>2252.6999999999998</v>
      </c>
      <c r="P975" t="str">
        <f>IF(Pharma_Sales_Data[[#This Row],[Total Revenue]]&gt;20000,"High Value", IF(Pharma_Sales_Data[[#This Row],[Total Revenue]]&gt;=10000,"Medium Value","Low Value"))</f>
        <v>Low Value</v>
      </c>
    </row>
    <row r="976" spans="1:16" x14ac:dyDescent="0.35">
      <c r="A976" s="1">
        <v>42615</v>
      </c>
      <c r="B976">
        <v>9.34</v>
      </c>
      <c r="C976">
        <v>4.0199999999999996</v>
      </c>
      <c r="D976">
        <v>5</v>
      </c>
      <c r="E976">
        <v>10</v>
      </c>
      <c r="F976">
        <v>25</v>
      </c>
      <c r="G976">
        <v>0</v>
      </c>
      <c r="H976">
        <v>5</v>
      </c>
      <c r="I976">
        <v>2</v>
      </c>
      <c r="J976">
        <v>2016</v>
      </c>
      <c r="K976">
        <v>9</v>
      </c>
      <c r="L976" t="s">
        <v>12</v>
      </c>
      <c r="M976">
        <f>SUM(Pharma_Sales_Data[[#This Row],[M01AB]:[R06]])</f>
        <v>60.36</v>
      </c>
      <c r="N976" s="2">
        <f>Pharma_Sales_Data[[#This Row],[Total Drug Sales]]*150</f>
        <v>9054</v>
      </c>
      <c r="O976" s="2">
        <f>Pharma_Sales_Data[[#This Row],[Total Revenue]]*0.3</f>
        <v>2716.2</v>
      </c>
      <c r="P976" t="str">
        <f>IF(Pharma_Sales_Data[[#This Row],[Total Revenue]]&gt;20000,"High Value", IF(Pharma_Sales_Data[[#This Row],[Total Revenue]]&gt;=10000,"Medium Value","Low Value"))</f>
        <v>Low Value</v>
      </c>
    </row>
    <row r="977" spans="1:16" x14ac:dyDescent="0.35">
      <c r="A977" s="1">
        <v>42616</v>
      </c>
      <c r="B977">
        <v>5.33</v>
      </c>
      <c r="C977">
        <v>4.0250000000000004</v>
      </c>
      <c r="D977">
        <v>6.5</v>
      </c>
      <c r="E977">
        <v>54.2</v>
      </c>
      <c r="F977">
        <v>5</v>
      </c>
      <c r="G977">
        <v>0</v>
      </c>
      <c r="H977">
        <v>4</v>
      </c>
      <c r="I977">
        <v>4</v>
      </c>
      <c r="J977">
        <v>2016</v>
      </c>
      <c r="K977">
        <v>9</v>
      </c>
      <c r="L977" t="s">
        <v>13</v>
      </c>
      <c r="M977">
        <f>SUM(Pharma_Sales_Data[[#This Row],[M01AB]:[R06]])</f>
        <v>83.055000000000007</v>
      </c>
      <c r="N977" s="2">
        <f>Pharma_Sales_Data[[#This Row],[Total Drug Sales]]*150</f>
        <v>12458.250000000002</v>
      </c>
      <c r="O977" s="2">
        <f>Pharma_Sales_Data[[#This Row],[Total Revenue]]*0.3</f>
        <v>3737.4750000000004</v>
      </c>
      <c r="P977" t="str">
        <f>IF(Pharma_Sales_Data[[#This Row],[Total Revenue]]&gt;20000,"High Value", IF(Pharma_Sales_Data[[#This Row],[Total Revenue]]&gt;=10000,"Medium Value","Low Value"))</f>
        <v>Medium Value</v>
      </c>
    </row>
    <row r="978" spans="1:16" x14ac:dyDescent="0.35">
      <c r="A978" s="1">
        <v>42617</v>
      </c>
      <c r="B978">
        <v>8.33</v>
      </c>
      <c r="C978">
        <v>4.3959999999999999</v>
      </c>
      <c r="D978">
        <v>0</v>
      </c>
      <c r="E978">
        <v>30.9</v>
      </c>
      <c r="F978">
        <v>10</v>
      </c>
      <c r="G978">
        <v>0</v>
      </c>
      <c r="H978">
        <v>4</v>
      </c>
      <c r="I978">
        <v>5</v>
      </c>
      <c r="J978">
        <v>2016</v>
      </c>
      <c r="K978">
        <v>9</v>
      </c>
      <c r="L978" t="s">
        <v>14</v>
      </c>
      <c r="M978">
        <f>SUM(Pharma_Sales_Data[[#This Row],[M01AB]:[R06]])</f>
        <v>62.625999999999998</v>
      </c>
      <c r="N978" s="2">
        <f>Pharma_Sales_Data[[#This Row],[Total Drug Sales]]*150</f>
        <v>9393.9</v>
      </c>
      <c r="O978" s="2">
        <f>Pharma_Sales_Data[[#This Row],[Total Revenue]]*0.3</f>
        <v>2818.1699999999996</v>
      </c>
      <c r="P978" t="str">
        <f>IF(Pharma_Sales_Data[[#This Row],[Total Revenue]]&gt;20000,"High Value", IF(Pharma_Sales_Data[[#This Row],[Total Revenue]]&gt;=10000,"Medium Value","Low Value"))</f>
        <v>Low Value</v>
      </c>
    </row>
    <row r="979" spans="1:16" x14ac:dyDescent="0.35">
      <c r="A979" s="1">
        <v>42618</v>
      </c>
      <c r="B979">
        <v>3.32</v>
      </c>
      <c r="C979">
        <v>4.3959999999999999</v>
      </c>
      <c r="D979">
        <v>2</v>
      </c>
      <c r="E979">
        <v>34.299999999999997</v>
      </c>
      <c r="F979">
        <v>8</v>
      </c>
      <c r="G979">
        <v>2</v>
      </c>
      <c r="H979">
        <v>2</v>
      </c>
      <c r="I979">
        <v>4</v>
      </c>
      <c r="J979">
        <v>2016</v>
      </c>
      <c r="K979">
        <v>9</v>
      </c>
      <c r="L979" t="s">
        <v>15</v>
      </c>
      <c r="M979">
        <f>SUM(Pharma_Sales_Data[[#This Row],[M01AB]:[R06]])</f>
        <v>60.015999999999998</v>
      </c>
      <c r="N979" s="2">
        <f>Pharma_Sales_Data[[#This Row],[Total Drug Sales]]*150</f>
        <v>9002.4</v>
      </c>
      <c r="O979" s="2">
        <f>Pharma_Sales_Data[[#This Row],[Total Revenue]]*0.3</f>
        <v>2700.72</v>
      </c>
      <c r="P979" t="str">
        <f>IF(Pharma_Sales_Data[[#This Row],[Total Revenue]]&gt;20000,"High Value", IF(Pharma_Sales_Data[[#This Row],[Total Revenue]]&gt;=10000,"Medium Value","Low Value"))</f>
        <v>Low Value</v>
      </c>
    </row>
    <row r="980" spans="1:16" x14ac:dyDescent="0.35">
      <c r="A980" s="1">
        <v>42619</v>
      </c>
      <c r="B980">
        <v>5</v>
      </c>
      <c r="C980">
        <v>1.33</v>
      </c>
      <c r="D980">
        <v>1</v>
      </c>
      <c r="E980">
        <v>32.799999999999997</v>
      </c>
      <c r="F980">
        <v>14</v>
      </c>
      <c r="G980">
        <v>3</v>
      </c>
      <c r="H980">
        <v>0</v>
      </c>
      <c r="I980">
        <v>3</v>
      </c>
      <c r="J980">
        <v>2016</v>
      </c>
      <c r="K980">
        <v>9</v>
      </c>
      <c r="L980" t="s">
        <v>16</v>
      </c>
      <c r="M980">
        <f>SUM(Pharma_Sales_Data[[#This Row],[M01AB]:[R06]])</f>
        <v>60.129999999999995</v>
      </c>
      <c r="N980" s="2">
        <f>Pharma_Sales_Data[[#This Row],[Total Drug Sales]]*150</f>
        <v>9019.5</v>
      </c>
      <c r="O980" s="2">
        <f>Pharma_Sales_Data[[#This Row],[Total Revenue]]*0.3</f>
        <v>2705.85</v>
      </c>
      <c r="P980" t="str">
        <f>IF(Pharma_Sales_Data[[#This Row],[Total Revenue]]&gt;20000,"High Value", IF(Pharma_Sales_Data[[#This Row],[Total Revenue]]&gt;=10000,"Medium Value","Low Value"))</f>
        <v>Low Value</v>
      </c>
    </row>
    <row r="981" spans="1:16" x14ac:dyDescent="0.35">
      <c r="A981" s="1">
        <v>42620</v>
      </c>
      <c r="B981">
        <v>2.33</v>
      </c>
      <c r="C981">
        <v>2.19</v>
      </c>
      <c r="D981">
        <v>3</v>
      </c>
      <c r="E981">
        <v>37.6</v>
      </c>
      <c r="F981">
        <v>14</v>
      </c>
      <c r="G981">
        <v>0</v>
      </c>
      <c r="H981">
        <v>0</v>
      </c>
      <c r="I981">
        <v>3</v>
      </c>
      <c r="J981">
        <v>2016</v>
      </c>
      <c r="K981">
        <v>9</v>
      </c>
      <c r="L981" t="s">
        <v>17</v>
      </c>
      <c r="M981">
        <f>SUM(Pharma_Sales_Data[[#This Row],[M01AB]:[R06]])</f>
        <v>62.120000000000005</v>
      </c>
      <c r="N981" s="2">
        <f>Pharma_Sales_Data[[#This Row],[Total Drug Sales]]*150</f>
        <v>9318</v>
      </c>
      <c r="O981" s="2">
        <f>Pharma_Sales_Data[[#This Row],[Total Revenue]]*0.3</f>
        <v>2795.4</v>
      </c>
      <c r="P981" t="str">
        <f>IF(Pharma_Sales_Data[[#This Row],[Total Revenue]]&gt;20000,"High Value", IF(Pharma_Sales_Data[[#This Row],[Total Revenue]]&gt;=10000,"Medium Value","Low Value"))</f>
        <v>Low Value</v>
      </c>
    </row>
    <row r="982" spans="1:16" x14ac:dyDescent="0.35">
      <c r="A982" s="1">
        <v>42621</v>
      </c>
      <c r="B982">
        <v>6</v>
      </c>
      <c r="C982">
        <v>2.99</v>
      </c>
      <c r="D982">
        <v>4</v>
      </c>
      <c r="E982">
        <v>33</v>
      </c>
      <c r="F982">
        <v>8</v>
      </c>
      <c r="G982">
        <v>1</v>
      </c>
      <c r="H982">
        <v>0</v>
      </c>
      <c r="I982">
        <v>0</v>
      </c>
      <c r="J982">
        <v>2016</v>
      </c>
      <c r="K982">
        <v>9</v>
      </c>
      <c r="L982" t="s">
        <v>11</v>
      </c>
      <c r="M982">
        <f>SUM(Pharma_Sales_Data[[#This Row],[M01AB]:[R06]])</f>
        <v>54.99</v>
      </c>
      <c r="N982" s="2">
        <f>Pharma_Sales_Data[[#This Row],[Total Drug Sales]]*150</f>
        <v>8248.5</v>
      </c>
      <c r="O982" s="2">
        <f>Pharma_Sales_Data[[#This Row],[Total Revenue]]*0.3</f>
        <v>2474.5499999999997</v>
      </c>
      <c r="P982" t="str">
        <f>IF(Pharma_Sales_Data[[#This Row],[Total Revenue]]&gt;20000,"High Value", IF(Pharma_Sales_Data[[#This Row],[Total Revenue]]&gt;=10000,"Medium Value","Low Value"))</f>
        <v>Low Value</v>
      </c>
    </row>
    <row r="983" spans="1:16" x14ac:dyDescent="0.35">
      <c r="A983" s="1">
        <v>42622</v>
      </c>
      <c r="B983">
        <v>4.99</v>
      </c>
      <c r="C983">
        <v>3.99</v>
      </c>
      <c r="D983">
        <v>3.25</v>
      </c>
      <c r="E983">
        <v>26.123999999999999</v>
      </c>
      <c r="F983">
        <v>11</v>
      </c>
      <c r="G983">
        <v>2</v>
      </c>
      <c r="H983">
        <v>10</v>
      </c>
      <c r="I983">
        <v>3</v>
      </c>
      <c r="J983">
        <v>2016</v>
      </c>
      <c r="K983">
        <v>9</v>
      </c>
      <c r="L983" t="s">
        <v>12</v>
      </c>
      <c r="M983">
        <f>SUM(Pharma_Sales_Data[[#This Row],[M01AB]:[R06]])</f>
        <v>64.353999999999999</v>
      </c>
      <c r="N983" s="2">
        <f>Pharma_Sales_Data[[#This Row],[Total Drug Sales]]*150</f>
        <v>9653.1</v>
      </c>
      <c r="O983" s="2">
        <f>Pharma_Sales_Data[[#This Row],[Total Revenue]]*0.3</f>
        <v>2895.93</v>
      </c>
      <c r="P983" t="str">
        <f>IF(Pharma_Sales_Data[[#This Row],[Total Revenue]]&gt;20000,"High Value", IF(Pharma_Sales_Data[[#This Row],[Total Revenue]]&gt;=10000,"Medium Value","Low Value"))</f>
        <v>Low Value</v>
      </c>
    </row>
    <row r="984" spans="1:16" x14ac:dyDescent="0.35">
      <c r="A984" s="1">
        <v>42623</v>
      </c>
      <c r="B984">
        <v>8.33</v>
      </c>
      <c r="C984">
        <v>11.31</v>
      </c>
      <c r="D984">
        <v>10</v>
      </c>
      <c r="E984">
        <v>34</v>
      </c>
      <c r="F984">
        <v>9</v>
      </c>
      <c r="G984">
        <v>0</v>
      </c>
      <c r="H984">
        <v>4</v>
      </c>
      <c r="I984">
        <v>3</v>
      </c>
      <c r="J984">
        <v>2016</v>
      </c>
      <c r="K984">
        <v>9</v>
      </c>
      <c r="L984" t="s">
        <v>13</v>
      </c>
      <c r="M984">
        <f>SUM(Pharma_Sales_Data[[#This Row],[M01AB]:[R06]])</f>
        <v>79.64</v>
      </c>
      <c r="N984" s="2">
        <f>Pharma_Sales_Data[[#This Row],[Total Drug Sales]]*150</f>
        <v>11946</v>
      </c>
      <c r="O984" s="2">
        <f>Pharma_Sales_Data[[#This Row],[Total Revenue]]*0.3</f>
        <v>3583.7999999999997</v>
      </c>
      <c r="P984" t="str">
        <f>IF(Pharma_Sales_Data[[#This Row],[Total Revenue]]&gt;20000,"High Value", IF(Pharma_Sales_Data[[#This Row],[Total Revenue]]&gt;=10000,"Medium Value","Low Value"))</f>
        <v>Medium Value</v>
      </c>
    </row>
    <row r="985" spans="1:16" x14ac:dyDescent="0.35">
      <c r="A985" s="1">
        <v>42624</v>
      </c>
      <c r="B985">
        <v>2.66</v>
      </c>
      <c r="C985">
        <v>6.99</v>
      </c>
      <c r="D985">
        <v>7.1</v>
      </c>
      <c r="E985">
        <v>57.2</v>
      </c>
      <c r="F985">
        <v>8</v>
      </c>
      <c r="G985">
        <v>0</v>
      </c>
      <c r="H985">
        <v>10</v>
      </c>
      <c r="I985">
        <v>4</v>
      </c>
      <c r="J985">
        <v>2016</v>
      </c>
      <c r="K985">
        <v>9</v>
      </c>
      <c r="L985" t="s">
        <v>14</v>
      </c>
      <c r="M985">
        <f>SUM(Pharma_Sales_Data[[#This Row],[M01AB]:[R06]])</f>
        <v>95.95</v>
      </c>
      <c r="N985" s="2">
        <f>Pharma_Sales_Data[[#This Row],[Total Drug Sales]]*150</f>
        <v>14392.5</v>
      </c>
      <c r="O985" s="2">
        <f>Pharma_Sales_Data[[#This Row],[Total Revenue]]*0.3</f>
        <v>4317.75</v>
      </c>
      <c r="P985" t="str">
        <f>IF(Pharma_Sales_Data[[#This Row],[Total Revenue]]&gt;20000,"High Value", IF(Pharma_Sales_Data[[#This Row],[Total Revenue]]&gt;=10000,"Medium Value","Low Value"))</f>
        <v>Medium Value</v>
      </c>
    </row>
    <row r="986" spans="1:16" x14ac:dyDescent="0.35">
      <c r="A986" s="1">
        <v>42625</v>
      </c>
      <c r="B986">
        <v>7</v>
      </c>
      <c r="C986">
        <v>6</v>
      </c>
      <c r="D986">
        <v>4</v>
      </c>
      <c r="E986">
        <v>24</v>
      </c>
      <c r="F986">
        <v>10</v>
      </c>
      <c r="G986">
        <v>0</v>
      </c>
      <c r="H986">
        <v>8</v>
      </c>
      <c r="I986">
        <v>4</v>
      </c>
      <c r="J986">
        <v>2016</v>
      </c>
      <c r="K986">
        <v>9</v>
      </c>
      <c r="L986" t="s">
        <v>15</v>
      </c>
      <c r="M986">
        <f>SUM(Pharma_Sales_Data[[#This Row],[M01AB]:[R06]])</f>
        <v>63</v>
      </c>
      <c r="N986" s="2">
        <f>Pharma_Sales_Data[[#This Row],[Total Drug Sales]]*150</f>
        <v>9450</v>
      </c>
      <c r="O986" s="2">
        <f>Pharma_Sales_Data[[#This Row],[Total Revenue]]*0.3</f>
        <v>2835</v>
      </c>
      <c r="P986" t="str">
        <f>IF(Pharma_Sales_Data[[#This Row],[Total Revenue]]&gt;20000,"High Value", IF(Pharma_Sales_Data[[#This Row],[Total Revenue]]&gt;=10000,"Medium Value","Low Value"))</f>
        <v>Low Value</v>
      </c>
    </row>
    <row r="987" spans="1:16" x14ac:dyDescent="0.35">
      <c r="A987" s="1">
        <v>42626</v>
      </c>
      <c r="B987">
        <v>7</v>
      </c>
      <c r="C987">
        <v>5.7590000000000003</v>
      </c>
      <c r="D987">
        <v>4</v>
      </c>
      <c r="E987">
        <v>32</v>
      </c>
      <c r="F987">
        <v>13</v>
      </c>
      <c r="G987">
        <v>0</v>
      </c>
      <c r="H987">
        <v>2</v>
      </c>
      <c r="I987">
        <v>0</v>
      </c>
      <c r="J987">
        <v>2016</v>
      </c>
      <c r="K987">
        <v>9</v>
      </c>
      <c r="L987" t="s">
        <v>16</v>
      </c>
      <c r="M987">
        <f>SUM(Pharma_Sales_Data[[#This Row],[M01AB]:[R06]])</f>
        <v>63.759</v>
      </c>
      <c r="N987" s="2">
        <f>Pharma_Sales_Data[[#This Row],[Total Drug Sales]]*150</f>
        <v>9563.85</v>
      </c>
      <c r="O987" s="2">
        <f>Pharma_Sales_Data[[#This Row],[Total Revenue]]*0.3</f>
        <v>2869.1550000000002</v>
      </c>
      <c r="P987" t="str">
        <f>IF(Pharma_Sales_Data[[#This Row],[Total Revenue]]&gt;20000,"High Value", IF(Pharma_Sales_Data[[#This Row],[Total Revenue]]&gt;=10000,"Medium Value","Low Value"))</f>
        <v>Low Value</v>
      </c>
    </row>
    <row r="988" spans="1:16" x14ac:dyDescent="0.35">
      <c r="A988" s="1">
        <v>42627</v>
      </c>
      <c r="B988">
        <v>6</v>
      </c>
      <c r="C988">
        <v>3.7919999999999998</v>
      </c>
      <c r="D988">
        <v>2.5</v>
      </c>
      <c r="E988">
        <v>24.4</v>
      </c>
      <c r="F988">
        <v>7</v>
      </c>
      <c r="G988">
        <v>0</v>
      </c>
      <c r="H988">
        <v>8</v>
      </c>
      <c r="I988">
        <v>2</v>
      </c>
      <c r="J988">
        <v>2016</v>
      </c>
      <c r="K988">
        <v>9</v>
      </c>
      <c r="L988" t="s">
        <v>17</v>
      </c>
      <c r="M988">
        <f>SUM(Pharma_Sales_Data[[#This Row],[M01AB]:[R06]])</f>
        <v>53.692</v>
      </c>
      <c r="N988" s="2">
        <f>Pharma_Sales_Data[[#This Row],[Total Drug Sales]]*150</f>
        <v>8053.8</v>
      </c>
      <c r="O988" s="2">
        <f>Pharma_Sales_Data[[#This Row],[Total Revenue]]*0.3</f>
        <v>2416.14</v>
      </c>
      <c r="P988" t="str">
        <f>IF(Pharma_Sales_Data[[#This Row],[Total Revenue]]&gt;20000,"High Value", IF(Pharma_Sales_Data[[#This Row],[Total Revenue]]&gt;=10000,"Medium Value","Low Value"))</f>
        <v>Low Value</v>
      </c>
    </row>
    <row r="989" spans="1:16" x14ac:dyDescent="0.35">
      <c r="A989" s="1">
        <v>42628</v>
      </c>
      <c r="B989">
        <v>3</v>
      </c>
      <c r="C989">
        <v>6.6280000000000001</v>
      </c>
      <c r="D989">
        <v>2</v>
      </c>
      <c r="E989">
        <v>38</v>
      </c>
      <c r="F989">
        <v>31</v>
      </c>
      <c r="G989">
        <v>0</v>
      </c>
      <c r="H989">
        <v>3</v>
      </c>
      <c r="I989">
        <v>1</v>
      </c>
      <c r="J989">
        <v>2016</v>
      </c>
      <c r="K989">
        <v>9</v>
      </c>
      <c r="L989" t="s">
        <v>11</v>
      </c>
      <c r="M989">
        <f>SUM(Pharma_Sales_Data[[#This Row],[M01AB]:[R06]])</f>
        <v>84.628</v>
      </c>
      <c r="N989" s="2">
        <f>Pharma_Sales_Data[[#This Row],[Total Drug Sales]]*150</f>
        <v>12694.2</v>
      </c>
      <c r="O989" s="2">
        <f>Pharma_Sales_Data[[#This Row],[Total Revenue]]*0.3</f>
        <v>3808.26</v>
      </c>
      <c r="P989" t="str">
        <f>IF(Pharma_Sales_Data[[#This Row],[Total Revenue]]&gt;20000,"High Value", IF(Pharma_Sales_Data[[#This Row],[Total Revenue]]&gt;=10000,"Medium Value","Low Value"))</f>
        <v>Medium Value</v>
      </c>
    </row>
    <row r="990" spans="1:16" x14ac:dyDescent="0.35">
      <c r="A990" s="1">
        <v>42629</v>
      </c>
      <c r="B990">
        <v>2</v>
      </c>
      <c r="C990">
        <v>1.33</v>
      </c>
      <c r="D990">
        <v>4</v>
      </c>
      <c r="E990">
        <v>26.3</v>
      </c>
      <c r="F990">
        <v>17</v>
      </c>
      <c r="G990">
        <v>0</v>
      </c>
      <c r="H990">
        <v>3</v>
      </c>
      <c r="I990">
        <v>0</v>
      </c>
      <c r="J990">
        <v>2016</v>
      </c>
      <c r="K990">
        <v>9</v>
      </c>
      <c r="L990" t="s">
        <v>12</v>
      </c>
      <c r="M990">
        <f>SUM(Pharma_Sales_Data[[#This Row],[M01AB]:[R06]])</f>
        <v>53.63</v>
      </c>
      <c r="N990" s="2">
        <f>Pharma_Sales_Data[[#This Row],[Total Drug Sales]]*150</f>
        <v>8044.5</v>
      </c>
      <c r="O990" s="2">
        <f>Pharma_Sales_Data[[#This Row],[Total Revenue]]*0.3</f>
        <v>2413.35</v>
      </c>
      <c r="P990" t="str">
        <f>IF(Pharma_Sales_Data[[#This Row],[Total Revenue]]&gt;20000,"High Value", IF(Pharma_Sales_Data[[#This Row],[Total Revenue]]&gt;=10000,"Medium Value","Low Value"))</f>
        <v>Low Value</v>
      </c>
    </row>
    <row r="991" spans="1:16" x14ac:dyDescent="0.35">
      <c r="A991" s="1">
        <v>42630</v>
      </c>
      <c r="B991">
        <v>6.67</v>
      </c>
      <c r="C991">
        <v>3.6930000000000001</v>
      </c>
      <c r="D991">
        <v>2.4</v>
      </c>
      <c r="E991">
        <v>56</v>
      </c>
      <c r="F991">
        <v>11</v>
      </c>
      <c r="G991">
        <v>0</v>
      </c>
      <c r="H991">
        <v>5</v>
      </c>
      <c r="I991">
        <v>4.0999999999999996</v>
      </c>
      <c r="J991">
        <v>2016</v>
      </c>
      <c r="K991">
        <v>9</v>
      </c>
      <c r="L991" t="s">
        <v>13</v>
      </c>
      <c r="M991">
        <f>SUM(Pharma_Sales_Data[[#This Row],[M01AB]:[R06]])</f>
        <v>88.863</v>
      </c>
      <c r="N991" s="2">
        <f>Pharma_Sales_Data[[#This Row],[Total Drug Sales]]*150</f>
        <v>13329.45</v>
      </c>
      <c r="O991" s="2">
        <f>Pharma_Sales_Data[[#This Row],[Total Revenue]]*0.3</f>
        <v>3998.835</v>
      </c>
      <c r="P991" t="str">
        <f>IF(Pharma_Sales_Data[[#This Row],[Total Revenue]]&gt;20000,"High Value", IF(Pharma_Sales_Data[[#This Row],[Total Revenue]]&gt;=10000,"Medium Value","Low Value"))</f>
        <v>Medium Value</v>
      </c>
    </row>
    <row r="992" spans="1:16" x14ac:dyDescent="0.35">
      <c r="A992" s="1">
        <v>42631</v>
      </c>
      <c r="B992">
        <v>5.99</v>
      </c>
      <c r="C992">
        <v>7.32</v>
      </c>
      <c r="D992">
        <v>2</v>
      </c>
      <c r="E992">
        <v>24.45</v>
      </c>
      <c r="F992">
        <v>4</v>
      </c>
      <c r="G992">
        <v>0</v>
      </c>
      <c r="H992">
        <v>8</v>
      </c>
      <c r="I992">
        <v>1</v>
      </c>
      <c r="J992">
        <v>2016</v>
      </c>
      <c r="K992">
        <v>9</v>
      </c>
      <c r="L992" t="s">
        <v>14</v>
      </c>
      <c r="M992">
        <f>SUM(Pharma_Sales_Data[[#This Row],[M01AB]:[R06]])</f>
        <v>52.76</v>
      </c>
      <c r="N992" s="2">
        <f>Pharma_Sales_Data[[#This Row],[Total Drug Sales]]*150</f>
        <v>7914</v>
      </c>
      <c r="O992" s="2">
        <f>Pharma_Sales_Data[[#This Row],[Total Revenue]]*0.3</f>
        <v>2374.1999999999998</v>
      </c>
      <c r="P992" t="str">
        <f>IF(Pharma_Sales_Data[[#This Row],[Total Revenue]]&gt;20000,"High Value", IF(Pharma_Sales_Data[[#This Row],[Total Revenue]]&gt;=10000,"Medium Value","Low Value"))</f>
        <v>Low Value</v>
      </c>
    </row>
    <row r="993" spans="1:16" x14ac:dyDescent="0.35">
      <c r="A993" s="1">
        <v>42632</v>
      </c>
      <c r="B993">
        <v>4</v>
      </c>
      <c r="C993">
        <v>3.3959999999999999</v>
      </c>
      <c r="D993">
        <v>2.15</v>
      </c>
      <c r="E993">
        <v>31</v>
      </c>
      <c r="F993">
        <v>11</v>
      </c>
      <c r="G993">
        <v>2</v>
      </c>
      <c r="H993">
        <v>0</v>
      </c>
      <c r="I993">
        <v>1</v>
      </c>
      <c r="J993">
        <v>2016</v>
      </c>
      <c r="K993">
        <v>9</v>
      </c>
      <c r="L993" t="s">
        <v>15</v>
      </c>
      <c r="M993">
        <f>SUM(Pharma_Sales_Data[[#This Row],[M01AB]:[R06]])</f>
        <v>54.545999999999999</v>
      </c>
      <c r="N993" s="2">
        <f>Pharma_Sales_Data[[#This Row],[Total Drug Sales]]*150</f>
        <v>8181.9</v>
      </c>
      <c r="O993" s="2">
        <f>Pharma_Sales_Data[[#This Row],[Total Revenue]]*0.3</f>
        <v>2454.5699999999997</v>
      </c>
      <c r="P993" t="str">
        <f>IF(Pharma_Sales_Data[[#This Row],[Total Revenue]]&gt;20000,"High Value", IF(Pharma_Sales_Data[[#This Row],[Total Revenue]]&gt;=10000,"Medium Value","Low Value"))</f>
        <v>Low Value</v>
      </c>
    </row>
    <row r="994" spans="1:16" x14ac:dyDescent="0.35">
      <c r="A994" s="1">
        <v>42633</v>
      </c>
      <c r="B994">
        <v>4.67</v>
      </c>
      <c r="C994">
        <v>2.7919999999999998</v>
      </c>
      <c r="D994">
        <v>3</v>
      </c>
      <c r="E994">
        <v>33.4</v>
      </c>
      <c r="F994">
        <v>14</v>
      </c>
      <c r="G994">
        <v>0</v>
      </c>
      <c r="H994">
        <v>4</v>
      </c>
      <c r="I994">
        <v>1</v>
      </c>
      <c r="J994">
        <v>2016</v>
      </c>
      <c r="K994">
        <v>9</v>
      </c>
      <c r="L994" t="s">
        <v>16</v>
      </c>
      <c r="M994">
        <f>SUM(Pharma_Sales_Data[[#This Row],[M01AB]:[R06]])</f>
        <v>62.861999999999995</v>
      </c>
      <c r="N994" s="2">
        <f>Pharma_Sales_Data[[#This Row],[Total Drug Sales]]*150</f>
        <v>9429.2999999999993</v>
      </c>
      <c r="O994" s="2">
        <f>Pharma_Sales_Data[[#This Row],[Total Revenue]]*0.3</f>
        <v>2828.7899999999995</v>
      </c>
      <c r="P994" t="str">
        <f>IF(Pharma_Sales_Data[[#This Row],[Total Revenue]]&gt;20000,"High Value", IF(Pharma_Sales_Data[[#This Row],[Total Revenue]]&gt;=10000,"Medium Value","Low Value"))</f>
        <v>Low Value</v>
      </c>
    </row>
    <row r="995" spans="1:16" x14ac:dyDescent="0.35">
      <c r="A995" s="1">
        <v>42634</v>
      </c>
      <c r="B995">
        <v>8.34</v>
      </c>
      <c r="C995">
        <v>4.3099999999999996</v>
      </c>
      <c r="D995">
        <v>3.05</v>
      </c>
      <c r="E995">
        <v>19.7</v>
      </c>
      <c r="F995">
        <v>12</v>
      </c>
      <c r="G995">
        <v>0</v>
      </c>
      <c r="H995">
        <v>3</v>
      </c>
      <c r="I995">
        <v>2</v>
      </c>
      <c r="J995">
        <v>2016</v>
      </c>
      <c r="K995">
        <v>9</v>
      </c>
      <c r="L995" t="s">
        <v>17</v>
      </c>
      <c r="M995">
        <f>SUM(Pharma_Sales_Data[[#This Row],[M01AB]:[R06]])</f>
        <v>52.4</v>
      </c>
      <c r="N995" s="2">
        <f>Pharma_Sales_Data[[#This Row],[Total Drug Sales]]*150</f>
        <v>7860</v>
      </c>
      <c r="O995" s="2">
        <f>Pharma_Sales_Data[[#This Row],[Total Revenue]]*0.3</f>
        <v>2358</v>
      </c>
      <c r="P995" t="str">
        <f>IF(Pharma_Sales_Data[[#This Row],[Total Revenue]]&gt;20000,"High Value", IF(Pharma_Sales_Data[[#This Row],[Total Revenue]]&gt;=10000,"Medium Value","Low Value"))</f>
        <v>Low Value</v>
      </c>
    </row>
    <row r="996" spans="1:16" x14ac:dyDescent="0.35">
      <c r="A996" s="1">
        <v>42635</v>
      </c>
      <c r="B996">
        <v>6.33</v>
      </c>
      <c r="C996">
        <v>2.33</v>
      </c>
      <c r="D996">
        <v>2.1</v>
      </c>
      <c r="E996">
        <v>29.4</v>
      </c>
      <c r="F996">
        <v>6</v>
      </c>
      <c r="G996">
        <v>0</v>
      </c>
      <c r="H996">
        <v>4</v>
      </c>
      <c r="I996">
        <v>3</v>
      </c>
      <c r="J996">
        <v>2016</v>
      </c>
      <c r="K996">
        <v>9</v>
      </c>
      <c r="L996" t="s">
        <v>11</v>
      </c>
      <c r="M996">
        <f>SUM(Pharma_Sales_Data[[#This Row],[M01AB]:[R06]])</f>
        <v>53.16</v>
      </c>
      <c r="N996" s="2">
        <f>Pharma_Sales_Data[[#This Row],[Total Drug Sales]]*150</f>
        <v>7973.9999999999991</v>
      </c>
      <c r="O996" s="2">
        <f>Pharma_Sales_Data[[#This Row],[Total Revenue]]*0.3</f>
        <v>2392.1999999999998</v>
      </c>
      <c r="P996" t="str">
        <f>IF(Pharma_Sales_Data[[#This Row],[Total Revenue]]&gt;20000,"High Value", IF(Pharma_Sales_Data[[#This Row],[Total Revenue]]&gt;=10000,"Medium Value","Low Value"))</f>
        <v>Low Value</v>
      </c>
    </row>
    <row r="997" spans="1:16" x14ac:dyDescent="0.35">
      <c r="A997" s="1">
        <v>42636</v>
      </c>
      <c r="B997">
        <v>2.33</v>
      </c>
      <c r="C997">
        <v>6.99</v>
      </c>
      <c r="D997">
        <v>6</v>
      </c>
      <c r="E997">
        <v>28.4</v>
      </c>
      <c r="F997">
        <v>13</v>
      </c>
      <c r="G997">
        <v>3</v>
      </c>
      <c r="H997">
        <v>7</v>
      </c>
      <c r="I997">
        <v>1</v>
      </c>
      <c r="J997">
        <v>2016</v>
      </c>
      <c r="K997">
        <v>9</v>
      </c>
      <c r="L997" t="s">
        <v>12</v>
      </c>
      <c r="M997">
        <f>SUM(Pharma_Sales_Data[[#This Row],[M01AB]:[R06]])</f>
        <v>67.72</v>
      </c>
      <c r="N997" s="2">
        <f>Pharma_Sales_Data[[#This Row],[Total Drug Sales]]*150</f>
        <v>10158</v>
      </c>
      <c r="O997" s="2">
        <f>Pharma_Sales_Data[[#This Row],[Total Revenue]]*0.3</f>
        <v>3047.4</v>
      </c>
      <c r="P997" t="str">
        <f>IF(Pharma_Sales_Data[[#This Row],[Total Revenue]]&gt;20000,"High Value", IF(Pharma_Sales_Data[[#This Row],[Total Revenue]]&gt;=10000,"Medium Value","Low Value"))</f>
        <v>Medium Value</v>
      </c>
    </row>
    <row r="998" spans="1:16" x14ac:dyDescent="0.35">
      <c r="A998" s="1">
        <v>42637</v>
      </c>
      <c r="B998">
        <v>2</v>
      </c>
      <c r="C998">
        <v>3.7789999999999999</v>
      </c>
      <c r="D998">
        <v>6.2</v>
      </c>
      <c r="E998">
        <v>61.2</v>
      </c>
      <c r="F998">
        <v>8</v>
      </c>
      <c r="G998">
        <v>0</v>
      </c>
      <c r="H998">
        <v>1</v>
      </c>
      <c r="I998">
        <v>1</v>
      </c>
      <c r="J998">
        <v>2016</v>
      </c>
      <c r="K998">
        <v>9</v>
      </c>
      <c r="L998" t="s">
        <v>13</v>
      </c>
      <c r="M998">
        <f>SUM(Pharma_Sales_Data[[#This Row],[M01AB]:[R06]])</f>
        <v>83.179000000000002</v>
      </c>
      <c r="N998" s="2">
        <f>Pharma_Sales_Data[[#This Row],[Total Drug Sales]]*150</f>
        <v>12476.85</v>
      </c>
      <c r="O998" s="2">
        <f>Pharma_Sales_Data[[#This Row],[Total Revenue]]*0.3</f>
        <v>3743.0549999999998</v>
      </c>
      <c r="P998" t="str">
        <f>IF(Pharma_Sales_Data[[#This Row],[Total Revenue]]&gt;20000,"High Value", IF(Pharma_Sales_Data[[#This Row],[Total Revenue]]&gt;=10000,"Medium Value","Low Value"))</f>
        <v>Medium Value</v>
      </c>
    </row>
    <row r="999" spans="1:16" x14ac:dyDescent="0.35">
      <c r="A999" s="1">
        <v>42638</v>
      </c>
      <c r="B999">
        <v>6</v>
      </c>
      <c r="C999">
        <v>4.33</v>
      </c>
      <c r="D999">
        <v>3</v>
      </c>
      <c r="E999">
        <v>61.125</v>
      </c>
      <c r="F999">
        <v>3</v>
      </c>
      <c r="G999">
        <v>0</v>
      </c>
      <c r="H999">
        <v>10</v>
      </c>
      <c r="I999">
        <v>2</v>
      </c>
      <c r="J999">
        <v>2016</v>
      </c>
      <c r="K999">
        <v>9</v>
      </c>
      <c r="L999" t="s">
        <v>14</v>
      </c>
      <c r="M999">
        <f>SUM(Pharma_Sales_Data[[#This Row],[M01AB]:[R06]])</f>
        <v>89.454999999999998</v>
      </c>
      <c r="N999" s="2">
        <f>Pharma_Sales_Data[[#This Row],[Total Drug Sales]]*150</f>
        <v>13418.25</v>
      </c>
      <c r="O999" s="2">
        <f>Pharma_Sales_Data[[#This Row],[Total Revenue]]*0.3</f>
        <v>4025.4749999999999</v>
      </c>
      <c r="P999" t="str">
        <f>IF(Pharma_Sales_Data[[#This Row],[Total Revenue]]&gt;20000,"High Value", IF(Pharma_Sales_Data[[#This Row],[Total Revenue]]&gt;=10000,"Medium Value","Low Value"))</f>
        <v>Medium Value</v>
      </c>
    </row>
    <row r="1000" spans="1:16" x14ac:dyDescent="0.35">
      <c r="A1000" s="1">
        <v>42639</v>
      </c>
      <c r="B1000">
        <v>5.99</v>
      </c>
      <c r="C1000">
        <v>1</v>
      </c>
      <c r="D1000">
        <v>4</v>
      </c>
      <c r="E1000">
        <v>57.6</v>
      </c>
      <c r="F1000">
        <v>4</v>
      </c>
      <c r="G1000">
        <v>2</v>
      </c>
      <c r="H1000">
        <v>4</v>
      </c>
      <c r="I1000">
        <v>1</v>
      </c>
      <c r="J1000">
        <v>2016</v>
      </c>
      <c r="K1000">
        <v>9</v>
      </c>
      <c r="L1000" t="s">
        <v>15</v>
      </c>
      <c r="M1000">
        <f>SUM(Pharma_Sales_Data[[#This Row],[M01AB]:[R06]])</f>
        <v>79.59</v>
      </c>
      <c r="N1000" s="2">
        <f>Pharma_Sales_Data[[#This Row],[Total Drug Sales]]*150</f>
        <v>11938.5</v>
      </c>
      <c r="O1000" s="2">
        <f>Pharma_Sales_Data[[#This Row],[Total Revenue]]*0.3</f>
        <v>3581.5499999999997</v>
      </c>
      <c r="P1000" t="str">
        <f>IF(Pharma_Sales_Data[[#This Row],[Total Revenue]]&gt;20000,"High Value", IF(Pharma_Sales_Data[[#This Row],[Total Revenue]]&gt;=10000,"Medium Value","Low Value"))</f>
        <v>Medium Value</v>
      </c>
    </row>
    <row r="1001" spans="1:16" x14ac:dyDescent="0.35">
      <c r="A1001" s="1">
        <v>42640</v>
      </c>
      <c r="B1001">
        <v>7</v>
      </c>
      <c r="C1001">
        <v>4.67</v>
      </c>
      <c r="D1001">
        <v>7.4</v>
      </c>
      <c r="E1001">
        <v>51.7</v>
      </c>
      <c r="F1001">
        <v>17</v>
      </c>
      <c r="G1001">
        <v>3</v>
      </c>
      <c r="H1001">
        <v>1</v>
      </c>
      <c r="I1001">
        <v>3</v>
      </c>
      <c r="J1001">
        <v>2016</v>
      </c>
      <c r="K1001">
        <v>9</v>
      </c>
      <c r="L1001" t="s">
        <v>16</v>
      </c>
      <c r="M1001">
        <f>SUM(Pharma_Sales_Data[[#This Row],[M01AB]:[R06]])</f>
        <v>94.77000000000001</v>
      </c>
      <c r="N1001" s="2">
        <f>Pharma_Sales_Data[[#This Row],[Total Drug Sales]]*150</f>
        <v>14215.500000000002</v>
      </c>
      <c r="O1001" s="2">
        <f>Pharma_Sales_Data[[#This Row],[Total Revenue]]*0.3</f>
        <v>4264.6500000000005</v>
      </c>
      <c r="P1001" t="str">
        <f>IF(Pharma_Sales_Data[[#This Row],[Total Revenue]]&gt;20000,"High Value", IF(Pharma_Sales_Data[[#This Row],[Total Revenue]]&gt;=10000,"Medium Value","Low Value"))</f>
        <v>Medium Value</v>
      </c>
    </row>
    <row r="1002" spans="1:16" x14ac:dyDescent="0.35">
      <c r="A1002" s="1">
        <v>42641</v>
      </c>
      <c r="B1002">
        <v>13.68</v>
      </c>
      <c r="C1002">
        <v>1.802</v>
      </c>
      <c r="D1002">
        <v>5.45</v>
      </c>
      <c r="E1002">
        <v>64.5</v>
      </c>
      <c r="F1002">
        <v>3</v>
      </c>
      <c r="G1002">
        <v>0</v>
      </c>
      <c r="H1002">
        <v>0</v>
      </c>
      <c r="I1002">
        <v>4</v>
      </c>
      <c r="J1002">
        <v>2016</v>
      </c>
      <c r="K1002">
        <v>9</v>
      </c>
      <c r="L1002" t="s">
        <v>17</v>
      </c>
      <c r="M1002">
        <f>SUM(Pharma_Sales_Data[[#This Row],[M01AB]:[R06]])</f>
        <v>92.432000000000002</v>
      </c>
      <c r="N1002" s="2">
        <f>Pharma_Sales_Data[[#This Row],[Total Drug Sales]]*150</f>
        <v>13864.800000000001</v>
      </c>
      <c r="O1002" s="2">
        <f>Pharma_Sales_Data[[#This Row],[Total Revenue]]*0.3</f>
        <v>4159.4400000000005</v>
      </c>
      <c r="P1002" t="str">
        <f>IF(Pharma_Sales_Data[[#This Row],[Total Revenue]]&gt;20000,"High Value", IF(Pharma_Sales_Data[[#This Row],[Total Revenue]]&gt;=10000,"Medium Value","Low Value"))</f>
        <v>Medium Value</v>
      </c>
    </row>
    <row r="1003" spans="1:16" x14ac:dyDescent="0.35">
      <c r="A1003" s="1">
        <v>42642</v>
      </c>
      <c r="B1003">
        <v>7.33</v>
      </c>
      <c r="C1003">
        <v>2</v>
      </c>
      <c r="D1003">
        <v>4</v>
      </c>
      <c r="E1003">
        <v>50.6</v>
      </c>
      <c r="F1003">
        <v>4</v>
      </c>
      <c r="G1003">
        <v>0</v>
      </c>
      <c r="H1003">
        <v>1</v>
      </c>
      <c r="I1003">
        <v>1.2</v>
      </c>
      <c r="J1003">
        <v>2016</v>
      </c>
      <c r="K1003">
        <v>9</v>
      </c>
      <c r="L1003" t="s">
        <v>11</v>
      </c>
      <c r="M1003">
        <f>SUM(Pharma_Sales_Data[[#This Row],[M01AB]:[R06]])</f>
        <v>70.13000000000001</v>
      </c>
      <c r="N1003" s="2">
        <f>Pharma_Sales_Data[[#This Row],[Total Drug Sales]]*150</f>
        <v>10519.500000000002</v>
      </c>
      <c r="O1003" s="2">
        <f>Pharma_Sales_Data[[#This Row],[Total Revenue]]*0.3</f>
        <v>3155.8500000000004</v>
      </c>
      <c r="P1003" t="str">
        <f>IF(Pharma_Sales_Data[[#This Row],[Total Revenue]]&gt;20000,"High Value", IF(Pharma_Sales_Data[[#This Row],[Total Revenue]]&gt;=10000,"Medium Value","Low Value"))</f>
        <v>Medium Value</v>
      </c>
    </row>
    <row r="1004" spans="1:16" x14ac:dyDescent="0.35">
      <c r="A1004" s="1">
        <v>42643</v>
      </c>
      <c r="B1004">
        <v>7</v>
      </c>
      <c r="C1004">
        <v>5</v>
      </c>
      <c r="D1004">
        <v>2.6</v>
      </c>
      <c r="E1004">
        <v>23.4</v>
      </c>
      <c r="F1004">
        <v>5</v>
      </c>
      <c r="G1004">
        <v>0</v>
      </c>
      <c r="H1004">
        <v>10</v>
      </c>
      <c r="I1004">
        <v>3</v>
      </c>
      <c r="J1004">
        <v>2016</v>
      </c>
      <c r="K1004">
        <v>9</v>
      </c>
      <c r="L1004" t="s">
        <v>12</v>
      </c>
      <c r="M1004">
        <f>SUM(Pharma_Sales_Data[[#This Row],[M01AB]:[R06]])</f>
        <v>56</v>
      </c>
      <c r="N1004" s="2">
        <f>Pharma_Sales_Data[[#This Row],[Total Drug Sales]]*150</f>
        <v>8400</v>
      </c>
      <c r="O1004" s="2">
        <f>Pharma_Sales_Data[[#This Row],[Total Revenue]]*0.3</f>
        <v>2520</v>
      </c>
      <c r="P1004" t="str">
        <f>IF(Pharma_Sales_Data[[#This Row],[Total Revenue]]&gt;20000,"High Value", IF(Pharma_Sales_Data[[#This Row],[Total Revenue]]&gt;=10000,"Medium Value","Low Value"))</f>
        <v>Low Value</v>
      </c>
    </row>
    <row r="1005" spans="1:16" x14ac:dyDescent="0.35">
      <c r="A1005" s="1">
        <v>42644</v>
      </c>
      <c r="B1005">
        <v>7.33</v>
      </c>
      <c r="C1005">
        <v>7.65</v>
      </c>
      <c r="D1005">
        <v>1.2</v>
      </c>
      <c r="E1005">
        <v>54.037999999999997</v>
      </c>
      <c r="F1005">
        <v>5</v>
      </c>
      <c r="G1005">
        <v>0</v>
      </c>
      <c r="H1005">
        <v>4</v>
      </c>
      <c r="I1005">
        <v>2</v>
      </c>
      <c r="J1005">
        <v>2016</v>
      </c>
      <c r="K1005">
        <v>10</v>
      </c>
      <c r="L1005" t="s">
        <v>13</v>
      </c>
      <c r="M1005">
        <f>SUM(Pharma_Sales_Data[[#This Row],[M01AB]:[R06]])</f>
        <v>81.217999999999989</v>
      </c>
      <c r="N1005" s="2">
        <f>Pharma_Sales_Data[[#This Row],[Total Drug Sales]]*150</f>
        <v>12182.699999999999</v>
      </c>
      <c r="O1005" s="2">
        <f>Pharma_Sales_Data[[#This Row],[Total Revenue]]*0.3</f>
        <v>3654.8099999999995</v>
      </c>
      <c r="P1005" t="str">
        <f>IF(Pharma_Sales_Data[[#This Row],[Total Revenue]]&gt;20000,"High Value", IF(Pharma_Sales_Data[[#This Row],[Total Revenue]]&gt;=10000,"Medium Value","Low Value"))</f>
        <v>Medium Value</v>
      </c>
    </row>
    <row r="1006" spans="1:16" x14ac:dyDescent="0.35">
      <c r="A1006" s="1">
        <v>42645</v>
      </c>
      <c r="B1006">
        <v>17</v>
      </c>
      <c r="C1006">
        <v>4.056</v>
      </c>
      <c r="D1006">
        <v>9.6999999999999993</v>
      </c>
      <c r="E1006">
        <v>80.5</v>
      </c>
      <c r="F1006">
        <v>6</v>
      </c>
      <c r="G1006">
        <v>0</v>
      </c>
      <c r="H1006">
        <v>18</v>
      </c>
      <c r="I1006">
        <v>3</v>
      </c>
      <c r="J1006">
        <v>2016</v>
      </c>
      <c r="K1006">
        <v>10</v>
      </c>
      <c r="L1006" t="s">
        <v>14</v>
      </c>
      <c r="M1006">
        <f>SUM(Pharma_Sales_Data[[#This Row],[M01AB]:[R06]])</f>
        <v>138.256</v>
      </c>
      <c r="N1006" s="2">
        <f>Pharma_Sales_Data[[#This Row],[Total Drug Sales]]*150</f>
        <v>20738.400000000001</v>
      </c>
      <c r="O1006" s="2">
        <f>Pharma_Sales_Data[[#This Row],[Total Revenue]]*0.3</f>
        <v>6221.52</v>
      </c>
      <c r="P1006" t="str">
        <f>IF(Pharma_Sales_Data[[#This Row],[Total Revenue]]&gt;20000,"High Value", IF(Pharma_Sales_Data[[#This Row],[Total Revenue]]&gt;=10000,"Medium Value","Low Value"))</f>
        <v>High Value</v>
      </c>
    </row>
    <row r="1007" spans="1:16" x14ac:dyDescent="0.35">
      <c r="A1007" s="1">
        <v>42646</v>
      </c>
      <c r="B1007">
        <v>3.33</v>
      </c>
      <c r="C1007">
        <v>5.33</v>
      </c>
      <c r="D1007">
        <v>3</v>
      </c>
      <c r="E1007">
        <v>59.661999999999999</v>
      </c>
      <c r="F1007">
        <v>2</v>
      </c>
      <c r="G1007">
        <v>2</v>
      </c>
      <c r="H1007">
        <v>17</v>
      </c>
      <c r="I1007">
        <v>3</v>
      </c>
      <c r="J1007">
        <v>2016</v>
      </c>
      <c r="K1007">
        <v>10</v>
      </c>
      <c r="L1007" t="s">
        <v>15</v>
      </c>
      <c r="M1007">
        <f>SUM(Pharma_Sales_Data[[#This Row],[M01AB]:[R06]])</f>
        <v>95.322000000000003</v>
      </c>
      <c r="N1007" s="2">
        <f>Pharma_Sales_Data[[#This Row],[Total Drug Sales]]*150</f>
        <v>14298.300000000001</v>
      </c>
      <c r="O1007" s="2">
        <f>Pharma_Sales_Data[[#This Row],[Total Revenue]]*0.3</f>
        <v>4289.49</v>
      </c>
      <c r="P1007" t="str">
        <f>IF(Pharma_Sales_Data[[#This Row],[Total Revenue]]&gt;20000,"High Value", IF(Pharma_Sales_Data[[#This Row],[Total Revenue]]&gt;=10000,"Medium Value","Low Value"))</f>
        <v>Medium Value</v>
      </c>
    </row>
    <row r="1008" spans="1:16" x14ac:dyDescent="0.35">
      <c r="A1008" s="1">
        <v>42647</v>
      </c>
      <c r="B1008">
        <v>6.33</v>
      </c>
      <c r="C1008">
        <v>2.99</v>
      </c>
      <c r="D1008">
        <v>6</v>
      </c>
      <c r="E1008">
        <v>47.6</v>
      </c>
      <c r="F1008">
        <v>8</v>
      </c>
      <c r="G1008">
        <v>0</v>
      </c>
      <c r="H1008">
        <v>10</v>
      </c>
      <c r="I1008">
        <v>2.5</v>
      </c>
      <c r="J1008">
        <v>2016</v>
      </c>
      <c r="K1008">
        <v>10</v>
      </c>
      <c r="L1008" t="s">
        <v>16</v>
      </c>
      <c r="M1008">
        <f>SUM(Pharma_Sales_Data[[#This Row],[M01AB]:[R06]])</f>
        <v>83.42</v>
      </c>
      <c r="N1008" s="2">
        <f>Pharma_Sales_Data[[#This Row],[Total Drug Sales]]*150</f>
        <v>12513</v>
      </c>
      <c r="O1008" s="2">
        <f>Pharma_Sales_Data[[#This Row],[Total Revenue]]*0.3</f>
        <v>3753.8999999999996</v>
      </c>
      <c r="P1008" t="str">
        <f>IF(Pharma_Sales_Data[[#This Row],[Total Revenue]]&gt;20000,"High Value", IF(Pharma_Sales_Data[[#This Row],[Total Revenue]]&gt;=10000,"Medium Value","Low Value"))</f>
        <v>Medium Value</v>
      </c>
    </row>
    <row r="1009" spans="1:16" x14ac:dyDescent="0.35">
      <c r="A1009" s="1">
        <v>42648</v>
      </c>
      <c r="B1009">
        <v>4</v>
      </c>
      <c r="C1009">
        <v>4</v>
      </c>
      <c r="D1009">
        <v>4</v>
      </c>
      <c r="E1009">
        <v>78.2</v>
      </c>
      <c r="F1009">
        <v>8</v>
      </c>
      <c r="G1009">
        <v>0</v>
      </c>
      <c r="H1009">
        <v>1</v>
      </c>
      <c r="I1009">
        <v>1</v>
      </c>
      <c r="J1009">
        <v>2016</v>
      </c>
      <c r="K1009">
        <v>10</v>
      </c>
      <c r="L1009" t="s">
        <v>17</v>
      </c>
      <c r="M1009">
        <f>SUM(Pharma_Sales_Data[[#This Row],[M01AB]:[R06]])</f>
        <v>100.2</v>
      </c>
      <c r="N1009" s="2">
        <f>Pharma_Sales_Data[[#This Row],[Total Drug Sales]]*150</f>
        <v>15030</v>
      </c>
      <c r="O1009" s="2">
        <f>Pharma_Sales_Data[[#This Row],[Total Revenue]]*0.3</f>
        <v>4509</v>
      </c>
      <c r="P1009" t="str">
        <f>IF(Pharma_Sales_Data[[#This Row],[Total Revenue]]&gt;20000,"High Value", IF(Pharma_Sales_Data[[#This Row],[Total Revenue]]&gt;=10000,"Medium Value","Low Value"))</f>
        <v>Medium Value</v>
      </c>
    </row>
    <row r="1010" spans="1:16" x14ac:dyDescent="0.35">
      <c r="A1010" s="1">
        <v>42649</v>
      </c>
      <c r="B1010">
        <v>4.33</v>
      </c>
      <c r="C1010">
        <v>3.99</v>
      </c>
      <c r="D1010">
        <v>6</v>
      </c>
      <c r="E1010">
        <v>44</v>
      </c>
      <c r="F1010">
        <v>4</v>
      </c>
      <c r="G1010">
        <v>0</v>
      </c>
      <c r="H1010">
        <v>3</v>
      </c>
      <c r="I1010">
        <v>0</v>
      </c>
      <c r="J1010">
        <v>2016</v>
      </c>
      <c r="K1010">
        <v>10</v>
      </c>
      <c r="L1010" t="s">
        <v>11</v>
      </c>
      <c r="M1010">
        <f>SUM(Pharma_Sales_Data[[#This Row],[M01AB]:[R06]])</f>
        <v>65.319999999999993</v>
      </c>
      <c r="N1010" s="2">
        <f>Pharma_Sales_Data[[#This Row],[Total Drug Sales]]*150</f>
        <v>9797.9999999999982</v>
      </c>
      <c r="O1010" s="2">
        <f>Pharma_Sales_Data[[#This Row],[Total Revenue]]*0.3</f>
        <v>2939.3999999999992</v>
      </c>
      <c r="P1010" t="str">
        <f>IF(Pharma_Sales_Data[[#This Row],[Total Revenue]]&gt;20000,"High Value", IF(Pharma_Sales_Data[[#This Row],[Total Revenue]]&gt;=10000,"Medium Value","Low Value"))</f>
        <v>Low Value</v>
      </c>
    </row>
    <row r="1011" spans="1:16" x14ac:dyDescent="0.35">
      <c r="A1011" s="1">
        <v>42650</v>
      </c>
      <c r="B1011">
        <v>4.34</v>
      </c>
      <c r="C1011">
        <v>4.2969999999999997</v>
      </c>
      <c r="D1011">
        <v>6</v>
      </c>
      <c r="E1011">
        <v>47.625</v>
      </c>
      <c r="F1011">
        <v>4</v>
      </c>
      <c r="G1011">
        <v>0</v>
      </c>
      <c r="H1011">
        <v>0</v>
      </c>
      <c r="I1011">
        <v>1</v>
      </c>
      <c r="J1011">
        <v>2016</v>
      </c>
      <c r="K1011">
        <v>10</v>
      </c>
      <c r="L1011" t="s">
        <v>12</v>
      </c>
      <c r="M1011">
        <f>SUM(Pharma_Sales_Data[[#This Row],[M01AB]:[R06]])</f>
        <v>67.262</v>
      </c>
      <c r="N1011" s="2">
        <f>Pharma_Sales_Data[[#This Row],[Total Drug Sales]]*150</f>
        <v>10089.299999999999</v>
      </c>
      <c r="O1011" s="2">
        <f>Pharma_Sales_Data[[#This Row],[Total Revenue]]*0.3</f>
        <v>3026.7899999999995</v>
      </c>
      <c r="P1011" t="str">
        <f>IF(Pharma_Sales_Data[[#This Row],[Total Revenue]]&gt;20000,"High Value", IF(Pharma_Sales_Data[[#This Row],[Total Revenue]]&gt;=10000,"Medium Value","Low Value"))</f>
        <v>Medium Value</v>
      </c>
    </row>
    <row r="1012" spans="1:16" x14ac:dyDescent="0.35">
      <c r="A1012" s="1">
        <v>42651</v>
      </c>
      <c r="B1012">
        <v>7.34</v>
      </c>
      <c r="C1012">
        <v>6.33</v>
      </c>
      <c r="D1012">
        <v>5</v>
      </c>
      <c r="E1012">
        <v>52.7</v>
      </c>
      <c r="F1012">
        <v>2</v>
      </c>
      <c r="G1012">
        <v>0</v>
      </c>
      <c r="H1012">
        <v>6</v>
      </c>
      <c r="I1012">
        <v>5</v>
      </c>
      <c r="J1012">
        <v>2016</v>
      </c>
      <c r="K1012">
        <v>10</v>
      </c>
      <c r="L1012" t="s">
        <v>13</v>
      </c>
      <c r="M1012">
        <f>SUM(Pharma_Sales_Data[[#This Row],[M01AB]:[R06]])</f>
        <v>84.37</v>
      </c>
      <c r="N1012" s="2">
        <f>Pharma_Sales_Data[[#This Row],[Total Drug Sales]]*150</f>
        <v>12655.5</v>
      </c>
      <c r="O1012" s="2">
        <f>Pharma_Sales_Data[[#This Row],[Total Revenue]]*0.3</f>
        <v>3796.6499999999996</v>
      </c>
      <c r="P1012" t="str">
        <f>IF(Pharma_Sales_Data[[#This Row],[Total Revenue]]&gt;20000,"High Value", IF(Pharma_Sales_Data[[#This Row],[Total Revenue]]&gt;=10000,"Medium Value","Low Value"))</f>
        <v>Medium Value</v>
      </c>
    </row>
    <row r="1013" spans="1:16" x14ac:dyDescent="0.35">
      <c r="A1013" s="1">
        <v>42652</v>
      </c>
      <c r="B1013">
        <v>6.68</v>
      </c>
      <c r="C1013">
        <v>5.0199999999999996</v>
      </c>
      <c r="D1013">
        <v>5.5</v>
      </c>
      <c r="E1013">
        <v>88.4</v>
      </c>
      <c r="F1013">
        <v>2</v>
      </c>
      <c r="G1013">
        <v>0</v>
      </c>
      <c r="H1013">
        <v>9</v>
      </c>
      <c r="I1013">
        <v>1</v>
      </c>
      <c r="J1013">
        <v>2016</v>
      </c>
      <c r="K1013">
        <v>10</v>
      </c>
      <c r="L1013" t="s">
        <v>14</v>
      </c>
      <c r="M1013">
        <f>SUM(Pharma_Sales_Data[[#This Row],[M01AB]:[R06]])</f>
        <v>117.60000000000001</v>
      </c>
      <c r="N1013" s="2">
        <f>Pharma_Sales_Data[[#This Row],[Total Drug Sales]]*150</f>
        <v>17640</v>
      </c>
      <c r="O1013" s="2">
        <f>Pharma_Sales_Data[[#This Row],[Total Revenue]]*0.3</f>
        <v>5292</v>
      </c>
      <c r="P1013" t="str">
        <f>IF(Pharma_Sales_Data[[#This Row],[Total Revenue]]&gt;20000,"High Value", IF(Pharma_Sales_Data[[#This Row],[Total Revenue]]&gt;=10000,"Medium Value","Low Value"))</f>
        <v>Medium Value</v>
      </c>
    </row>
    <row r="1014" spans="1:16" x14ac:dyDescent="0.35">
      <c r="A1014" s="1">
        <v>42653</v>
      </c>
      <c r="B1014">
        <v>2</v>
      </c>
      <c r="C1014">
        <v>5.0659999999999998</v>
      </c>
      <c r="D1014">
        <v>5</v>
      </c>
      <c r="E1014">
        <v>31.6</v>
      </c>
      <c r="F1014">
        <v>1</v>
      </c>
      <c r="G1014">
        <v>0</v>
      </c>
      <c r="H1014">
        <v>3</v>
      </c>
      <c r="I1014">
        <v>1</v>
      </c>
      <c r="J1014">
        <v>2016</v>
      </c>
      <c r="K1014">
        <v>10</v>
      </c>
      <c r="L1014" t="s">
        <v>15</v>
      </c>
      <c r="M1014">
        <f>SUM(Pharma_Sales_Data[[#This Row],[M01AB]:[R06]])</f>
        <v>48.665999999999997</v>
      </c>
      <c r="N1014" s="2">
        <f>Pharma_Sales_Data[[#This Row],[Total Drug Sales]]*150</f>
        <v>7299.9</v>
      </c>
      <c r="O1014" s="2">
        <f>Pharma_Sales_Data[[#This Row],[Total Revenue]]*0.3</f>
        <v>2189.9699999999998</v>
      </c>
      <c r="P1014" t="str">
        <f>IF(Pharma_Sales_Data[[#This Row],[Total Revenue]]&gt;20000,"High Value", IF(Pharma_Sales_Data[[#This Row],[Total Revenue]]&gt;=10000,"Medium Value","Low Value"))</f>
        <v>Low Value</v>
      </c>
    </row>
    <row r="1015" spans="1:16" x14ac:dyDescent="0.35">
      <c r="A1015" s="1">
        <v>42654</v>
      </c>
      <c r="B1015">
        <v>7.33</v>
      </c>
      <c r="C1015">
        <v>2.4060000000000001</v>
      </c>
      <c r="D1015">
        <v>11.65</v>
      </c>
      <c r="E1015">
        <v>52.6</v>
      </c>
      <c r="F1015">
        <v>54.833333330000002</v>
      </c>
      <c r="G1015">
        <v>1</v>
      </c>
      <c r="H1015">
        <v>8</v>
      </c>
      <c r="I1015">
        <v>1</v>
      </c>
      <c r="J1015">
        <v>2016</v>
      </c>
      <c r="K1015">
        <v>10</v>
      </c>
      <c r="L1015" t="s">
        <v>16</v>
      </c>
      <c r="M1015">
        <f>SUM(Pharma_Sales_Data[[#This Row],[M01AB]:[R06]])</f>
        <v>138.81933333000001</v>
      </c>
      <c r="N1015" s="2">
        <f>Pharma_Sales_Data[[#This Row],[Total Drug Sales]]*150</f>
        <v>20822.899999500001</v>
      </c>
      <c r="O1015" s="2">
        <f>Pharma_Sales_Data[[#This Row],[Total Revenue]]*0.3</f>
        <v>6246.8699998500006</v>
      </c>
      <c r="P1015" t="str">
        <f>IF(Pharma_Sales_Data[[#This Row],[Total Revenue]]&gt;20000,"High Value", IF(Pharma_Sales_Data[[#This Row],[Total Revenue]]&gt;=10000,"Medium Value","Low Value"))</f>
        <v>High Value</v>
      </c>
    </row>
    <row r="1016" spans="1:16" x14ac:dyDescent="0.35">
      <c r="A1016" s="1">
        <v>42655</v>
      </c>
      <c r="B1016">
        <v>8.33</v>
      </c>
      <c r="C1016">
        <v>2.3730000000000002</v>
      </c>
      <c r="D1016">
        <v>2</v>
      </c>
      <c r="E1016">
        <v>45.75</v>
      </c>
      <c r="F1016">
        <v>18</v>
      </c>
      <c r="G1016">
        <v>1</v>
      </c>
      <c r="H1016">
        <v>17</v>
      </c>
      <c r="I1016">
        <v>2</v>
      </c>
      <c r="J1016">
        <v>2016</v>
      </c>
      <c r="K1016">
        <v>10</v>
      </c>
      <c r="L1016" t="s">
        <v>17</v>
      </c>
      <c r="M1016">
        <f>SUM(Pharma_Sales_Data[[#This Row],[M01AB]:[R06]])</f>
        <v>96.453000000000003</v>
      </c>
      <c r="N1016" s="2">
        <f>Pharma_Sales_Data[[#This Row],[Total Drug Sales]]*150</f>
        <v>14467.95</v>
      </c>
      <c r="O1016" s="2">
        <f>Pharma_Sales_Data[[#This Row],[Total Revenue]]*0.3</f>
        <v>4340.3850000000002</v>
      </c>
      <c r="P1016" t="str">
        <f>IF(Pharma_Sales_Data[[#This Row],[Total Revenue]]&gt;20000,"High Value", IF(Pharma_Sales_Data[[#This Row],[Total Revenue]]&gt;=10000,"Medium Value","Low Value"))</f>
        <v>Medium Value</v>
      </c>
    </row>
    <row r="1017" spans="1:16" x14ac:dyDescent="0.35">
      <c r="A1017" s="1">
        <v>42656</v>
      </c>
      <c r="B1017">
        <v>4.66</v>
      </c>
      <c r="C1017">
        <v>4.33</v>
      </c>
      <c r="D1017">
        <v>3.2</v>
      </c>
      <c r="E1017">
        <v>42.2</v>
      </c>
      <c r="F1017">
        <v>20</v>
      </c>
      <c r="G1017">
        <v>0</v>
      </c>
      <c r="H1017">
        <v>3</v>
      </c>
      <c r="I1017">
        <v>2.2999999999999998</v>
      </c>
      <c r="J1017">
        <v>2016</v>
      </c>
      <c r="K1017">
        <v>10</v>
      </c>
      <c r="L1017" t="s">
        <v>11</v>
      </c>
      <c r="M1017">
        <f>SUM(Pharma_Sales_Data[[#This Row],[M01AB]:[R06]])</f>
        <v>79.69</v>
      </c>
      <c r="N1017" s="2">
        <f>Pharma_Sales_Data[[#This Row],[Total Drug Sales]]*150</f>
        <v>11953.5</v>
      </c>
      <c r="O1017" s="2">
        <f>Pharma_Sales_Data[[#This Row],[Total Revenue]]*0.3</f>
        <v>3586.0499999999997</v>
      </c>
      <c r="P1017" t="str">
        <f>IF(Pharma_Sales_Data[[#This Row],[Total Revenue]]&gt;20000,"High Value", IF(Pharma_Sales_Data[[#This Row],[Total Revenue]]&gt;=10000,"Medium Value","Low Value"))</f>
        <v>Medium Value</v>
      </c>
    </row>
    <row r="1018" spans="1:16" x14ac:dyDescent="0.35">
      <c r="A1018" s="1">
        <v>42657</v>
      </c>
      <c r="B1018">
        <v>7</v>
      </c>
      <c r="C1018">
        <v>4</v>
      </c>
      <c r="D1018">
        <v>3</v>
      </c>
      <c r="E1018">
        <v>38.700000000000003</v>
      </c>
      <c r="F1018">
        <v>22</v>
      </c>
      <c r="G1018">
        <v>0</v>
      </c>
      <c r="H1018">
        <v>9</v>
      </c>
      <c r="I1018">
        <v>1</v>
      </c>
      <c r="J1018">
        <v>2016</v>
      </c>
      <c r="K1018">
        <v>10</v>
      </c>
      <c r="L1018" t="s">
        <v>12</v>
      </c>
      <c r="M1018">
        <f>SUM(Pharma_Sales_Data[[#This Row],[M01AB]:[R06]])</f>
        <v>84.7</v>
      </c>
      <c r="N1018" s="2">
        <f>Pharma_Sales_Data[[#This Row],[Total Drug Sales]]*150</f>
        <v>12705</v>
      </c>
      <c r="O1018" s="2">
        <f>Pharma_Sales_Data[[#This Row],[Total Revenue]]*0.3</f>
        <v>3811.5</v>
      </c>
      <c r="P1018" t="str">
        <f>IF(Pharma_Sales_Data[[#This Row],[Total Revenue]]&gt;20000,"High Value", IF(Pharma_Sales_Data[[#This Row],[Total Revenue]]&gt;=10000,"Medium Value","Low Value"))</f>
        <v>Medium Value</v>
      </c>
    </row>
    <row r="1019" spans="1:16" x14ac:dyDescent="0.35">
      <c r="A1019" s="1">
        <v>42658</v>
      </c>
      <c r="B1019">
        <v>4</v>
      </c>
      <c r="C1019">
        <v>5.97</v>
      </c>
      <c r="D1019">
        <v>3.35</v>
      </c>
      <c r="E1019">
        <v>47.2</v>
      </c>
      <c r="F1019">
        <v>16</v>
      </c>
      <c r="G1019">
        <v>1</v>
      </c>
      <c r="H1019">
        <v>13</v>
      </c>
      <c r="I1019">
        <v>1</v>
      </c>
      <c r="J1019">
        <v>2016</v>
      </c>
      <c r="K1019">
        <v>10</v>
      </c>
      <c r="L1019" t="s">
        <v>13</v>
      </c>
      <c r="M1019">
        <f>SUM(Pharma_Sales_Data[[#This Row],[M01AB]:[R06]])</f>
        <v>91.52000000000001</v>
      </c>
      <c r="N1019" s="2">
        <f>Pharma_Sales_Data[[#This Row],[Total Drug Sales]]*150</f>
        <v>13728.000000000002</v>
      </c>
      <c r="O1019" s="2">
        <f>Pharma_Sales_Data[[#This Row],[Total Revenue]]*0.3</f>
        <v>4118.4000000000005</v>
      </c>
      <c r="P1019" t="str">
        <f>IF(Pharma_Sales_Data[[#This Row],[Total Revenue]]&gt;20000,"High Value", IF(Pharma_Sales_Data[[#This Row],[Total Revenue]]&gt;=10000,"Medium Value","Low Value"))</f>
        <v>Medium Value</v>
      </c>
    </row>
    <row r="1020" spans="1:16" x14ac:dyDescent="0.35">
      <c r="A1020" s="1">
        <v>42659</v>
      </c>
      <c r="B1020">
        <v>8.33</v>
      </c>
      <c r="C1020">
        <v>5.1219999999999999</v>
      </c>
      <c r="D1020">
        <v>10</v>
      </c>
      <c r="E1020">
        <v>89.3</v>
      </c>
      <c r="F1020">
        <v>3</v>
      </c>
      <c r="G1020">
        <v>0</v>
      </c>
      <c r="H1020">
        <v>6</v>
      </c>
      <c r="I1020">
        <v>5</v>
      </c>
      <c r="J1020">
        <v>2016</v>
      </c>
      <c r="K1020">
        <v>10</v>
      </c>
      <c r="L1020" t="s">
        <v>14</v>
      </c>
      <c r="M1020">
        <f>SUM(Pharma_Sales_Data[[#This Row],[M01AB]:[R06]])</f>
        <v>126.752</v>
      </c>
      <c r="N1020" s="2">
        <f>Pharma_Sales_Data[[#This Row],[Total Drug Sales]]*150</f>
        <v>19012.8</v>
      </c>
      <c r="O1020" s="2">
        <f>Pharma_Sales_Data[[#This Row],[Total Revenue]]*0.3</f>
        <v>5703.8399999999992</v>
      </c>
      <c r="P1020" t="str">
        <f>IF(Pharma_Sales_Data[[#This Row],[Total Revenue]]&gt;20000,"High Value", IF(Pharma_Sales_Data[[#This Row],[Total Revenue]]&gt;=10000,"Medium Value","Low Value"))</f>
        <v>Medium Value</v>
      </c>
    </row>
    <row r="1021" spans="1:16" x14ac:dyDescent="0.35">
      <c r="A1021" s="1">
        <v>42660</v>
      </c>
      <c r="B1021">
        <v>2</v>
      </c>
      <c r="C1021">
        <v>5</v>
      </c>
      <c r="D1021">
        <v>5</v>
      </c>
      <c r="E1021">
        <v>50.8</v>
      </c>
      <c r="F1021">
        <v>1</v>
      </c>
      <c r="G1021">
        <v>0</v>
      </c>
      <c r="H1021">
        <v>9</v>
      </c>
      <c r="I1021">
        <v>1</v>
      </c>
      <c r="J1021">
        <v>2016</v>
      </c>
      <c r="K1021">
        <v>10</v>
      </c>
      <c r="L1021" t="s">
        <v>15</v>
      </c>
      <c r="M1021">
        <f>SUM(Pharma_Sales_Data[[#This Row],[M01AB]:[R06]])</f>
        <v>73.8</v>
      </c>
      <c r="N1021" s="2">
        <f>Pharma_Sales_Data[[#This Row],[Total Drug Sales]]*150</f>
        <v>11070</v>
      </c>
      <c r="O1021" s="2">
        <f>Pharma_Sales_Data[[#This Row],[Total Revenue]]*0.3</f>
        <v>3321</v>
      </c>
      <c r="P1021" t="str">
        <f>IF(Pharma_Sales_Data[[#This Row],[Total Revenue]]&gt;20000,"High Value", IF(Pharma_Sales_Data[[#This Row],[Total Revenue]]&gt;=10000,"Medium Value","Low Value"))</f>
        <v>Medium Value</v>
      </c>
    </row>
    <row r="1022" spans="1:16" x14ac:dyDescent="0.35">
      <c r="A1022" s="1">
        <v>42661</v>
      </c>
      <c r="B1022">
        <v>3</v>
      </c>
      <c r="C1022">
        <v>5.056</v>
      </c>
      <c r="D1022">
        <v>9</v>
      </c>
      <c r="E1022">
        <v>42.1</v>
      </c>
      <c r="F1022">
        <v>9</v>
      </c>
      <c r="G1022">
        <v>3</v>
      </c>
      <c r="H1022">
        <v>7</v>
      </c>
      <c r="I1022">
        <v>3.1</v>
      </c>
      <c r="J1022">
        <v>2016</v>
      </c>
      <c r="K1022">
        <v>10</v>
      </c>
      <c r="L1022" t="s">
        <v>16</v>
      </c>
      <c r="M1022">
        <f>SUM(Pharma_Sales_Data[[#This Row],[M01AB]:[R06]])</f>
        <v>81.256</v>
      </c>
      <c r="N1022" s="2">
        <f>Pharma_Sales_Data[[#This Row],[Total Drug Sales]]*150</f>
        <v>12188.4</v>
      </c>
      <c r="O1022" s="2">
        <f>Pharma_Sales_Data[[#This Row],[Total Revenue]]*0.3</f>
        <v>3656.52</v>
      </c>
      <c r="P1022" t="str">
        <f>IF(Pharma_Sales_Data[[#This Row],[Total Revenue]]&gt;20000,"High Value", IF(Pharma_Sales_Data[[#This Row],[Total Revenue]]&gt;=10000,"Medium Value","Low Value"))</f>
        <v>Medium Value</v>
      </c>
    </row>
    <row r="1023" spans="1:16" x14ac:dyDescent="0.35">
      <c r="A1023" s="1">
        <v>42662</v>
      </c>
      <c r="B1023">
        <v>4.33</v>
      </c>
      <c r="C1023">
        <v>6.66</v>
      </c>
      <c r="D1023">
        <v>5</v>
      </c>
      <c r="E1023">
        <v>26.7</v>
      </c>
      <c r="F1023">
        <v>11</v>
      </c>
      <c r="G1023">
        <v>0</v>
      </c>
      <c r="H1023">
        <v>2</v>
      </c>
      <c r="I1023">
        <v>1</v>
      </c>
      <c r="J1023">
        <v>2016</v>
      </c>
      <c r="K1023">
        <v>10</v>
      </c>
      <c r="L1023" t="s">
        <v>17</v>
      </c>
      <c r="M1023">
        <f>SUM(Pharma_Sales_Data[[#This Row],[M01AB]:[R06]])</f>
        <v>56.69</v>
      </c>
      <c r="N1023" s="2">
        <f>Pharma_Sales_Data[[#This Row],[Total Drug Sales]]*150</f>
        <v>8503.5</v>
      </c>
      <c r="O1023" s="2">
        <f>Pharma_Sales_Data[[#This Row],[Total Revenue]]*0.3</f>
        <v>2551.0499999999997</v>
      </c>
      <c r="P1023" t="str">
        <f>IF(Pharma_Sales_Data[[#This Row],[Total Revenue]]&gt;20000,"High Value", IF(Pharma_Sales_Data[[#This Row],[Total Revenue]]&gt;=10000,"Medium Value","Low Value"))</f>
        <v>Low Value</v>
      </c>
    </row>
    <row r="1024" spans="1:16" x14ac:dyDescent="0.35">
      <c r="A1024" s="1">
        <v>42663</v>
      </c>
      <c r="B1024">
        <v>1.64</v>
      </c>
      <c r="C1024">
        <v>5.66</v>
      </c>
      <c r="D1024">
        <v>6</v>
      </c>
      <c r="E1024">
        <v>52.5</v>
      </c>
      <c r="F1024">
        <v>2</v>
      </c>
      <c r="G1024">
        <v>0</v>
      </c>
      <c r="H1024">
        <v>2</v>
      </c>
      <c r="I1024">
        <v>2</v>
      </c>
      <c r="J1024">
        <v>2016</v>
      </c>
      <c r="K1024">
        <v>10</v>
      </c>
      <c r="L1024" t="s">
        <v>11</v>
      </c>
      <c r="M1024">
        <f>SUM(Pharma_Sales_Data[[#This Row],[M01AB]:[R06]])</f>
        <v>71.8</v>
      </c>
      <c r="N1024" s="2">
        <f>Pharma_Sales_Data[[#This Row],[Total Drug Sales]]*150</f>
        <v>10770</v>
      </c>
      <c r="O1024" s="2">
        <f>Pharma_Sales_Data[[#This Row],[Total Revenue]]*0.3</f>
        <v>3231</v>
      </c>
      <c r="P1024" t="str">
        <f>IF(Pharma_Sales_Data[[#This Row],[Total Revenue]]&gt;20000,"High Value", IF(Pharma_Sales_Data[[#This Row],[Total Revenue]]&gt;=10000,"Medium Value","Low Value"))</f>
        <v>Medium Value</v>
      </c>
    </row>
    <row r="1025" spans="1:16" x14ac:dyDescent="0.35">
      <c r="A1025" s="1">
        <v>42664</v>
      </c>
      <c r="B1025">
        <v>8.66</v>
      </c>
      <c r="C1025">
        <v>3.8250000000000002</v>
      </c>
      <c r="D1025">
        <v>0</v>
      </c>
      <c r="E1025">
        <v>40.799999999999997</v>
      </c>
      <c r="F1025">
        <v>5</v>
      </c>
      <c r="G1025">
        <v>0</v>
      </c>
      <c r="H1025">
        <v>6</v>
      </c>
      <c r="I1025">
        <v>2</v>
      </c>
      <c r="J1025">
        <v>2016</v>
      </c>
      <c r="K1025">
        <v>10</v>
      </c>
      <c r="L1025" t="s">
        <v>12</v>
      </c>
      <c r="M1025">
        <f>SUM(Pharma_Sales_Data[[#This Row],[M01AB]:[R06]])</f>
        <v>66.284999999999997</v>
      </c>
      <c r="N1025" s="2">
        <f>Pharma_Sales_Data[[#This Row],[Total Drug Sales]]*150</f>
        <v>9942.75</v>
      </c>
      <c r="O1025" s="2">
        <f>Pharma_Sales_Data[[#This Row],[Total Revenue]]*0.3</f>
        <v>2982.8249999999998</v>
      </c>
      <c r="P1025" t="str">
        <f>IF(Pharma_Sales_Data[[#This Row],[Total Revenue]]&gt;20000,"High Value", IF(Pharma_Sales_Data[[#This Row],[Total Revenue]]&gt;=10000,"Medium Value","Low Value"))</f>
        <v>Low Value</v>
      </c>
    </row>
    <row r="1026" spans="1:16" x14ac:dyDescent="0.35">
      <c r="A1026" s="1">
        <v>42665</v>
      </c>
      <c r="B1026">
        <v>7</v>
      </c>
      <c r="C1026">
        <v>2.67</v>
      </c>
      <c r="D1026">
        <v>4</v>
      </c>
      <c r="E1026">
        <v>29.7</v>
      </c>
      <c r="F1026">
        <v>3</v>
      </c>
      <c r="G1026">
        <v>0</v>
      </c>
      <c r="H1026">
        <v>10</v>
      </c>
      <c r="I1026">
        <v>4</v>
      </c>
      <c r="J1026">
        <v>2016</v>
      </c>
      <c r="K1026">
        <v>10</v>
      </c>
      <c r="L1026" t="s">
        <v>13</v>
      </c>
      <c r="M1026">
        <f>SUM(Pharma_Sales_Data[[#This Row],[M01AB]:[R06]])</f>
        <v>60.37</v>
      </c>
      <c r="N1026" s="2">
        <f>Pharma_Sales_Data[[#This Row],[Total Drug Sales]]*150</f>
        <v>9055.5</v>
      </c>
      <c r="O1026" s="2">
        <f>Pharma_Sales_Data[[#This Row],[Total Revenue]]*0.3</f>
        <v>2716.65</v>
      </c>
      <c r="P1026" t="str">
        <f>IF(Pharma_Sales_Data[[#This Row],[Total Revenue]]&gt;20000,"High Value", IF(Pharma_Sales_Data[[#This Row],[Total Revenue]]&gt;=10000,"Medium Value","Low Value"))</f>
        <v>Low Value</v>
      </c>
    </row>
    <row r="1027" spans="1:16" x14ac:dyDescent="0.35">
      <c r="A1027" s="1">
        <v>42666</v>
      </c>
      <c r="B1027">
        <v>12.33</v>
      </c>
      <c r="C1027">
        <v>5.78</v>
      </c>
      <c r="D1027">
        <v>3.8</v>
      </c>
      <c r="E1027">
        <v>51.216666670000002</v>
      </c>
      <c r="F1027">
        <v>10</v>
      </c>
      <c r="G1027">
        <v>0</v>
      </c>
      <c r="H1027">
        <v>11</v>
      </c>
      <c r="I1027">
        <v>2</v>
      </c>
      <c r="J1027">
        <v>2016</v>
      </c>
      <c r="K1027">
        <v>10</v>
      </c>
      <c r="L1027" t="s">
        <v>14</v>
      </c>
      <c r="M1027">
        <f>SUM(Pharma_Sales_Data[[#This Row],[M01AB]:[R06]])</f>
        <v>96.126666670000006</v>
      </c>
      <c r="N1027" s="2">
        <f>Pharma_Sales_Data[[#This Row],[Total Drug Sales]]*150</f>
        <v>14419.0000005</v>
      </c>
      <c r="O1027" s="2">
        <f>Pharma_Sales_Data[[#This Row],[Total Revenue]]*0.3</f>
        <v>4325.7000001500001</v>
      </c>
      <c r="P1027" t="str">
        <f>IF(Pharma_Sales_Data[[#This Row],[Total Revenue]]&gt;20000,"High Value", IF(Pharma_Sales_Data[[#This Row],[Total Revenue]]&gt;=10000,"Medium Value","Low Value"))</f>
        <v>Medium Value</v>
      </c>
    </row>
    <row r="1028" spans="1:16" x14ac:dyDescent="0.35">
      <c r="A1028" s="1">
        <v>42667</v>
      </c>
      <c r="B1028">
        <v>2.66</v>
      </c>
      <c r="C1028">
        <v>3.0230000000000001</v>
      </c>
      <c r="D1028">
        <v>7.5</v>
      </c>
      <c r="E1028">
        <v>37</v>
      </c>
      <c r="F1028">
        <v>1</v>
      </c>
      <c r="G1028">
        <v>1</v>
      </c>
      <c r="H1028">
        <v>2</v>
      </c>
      <c r="I1028">
        <v>1</v>
      </c>
      <c r="J1028">
        <v>2016</v>
      </c>
      <c r="K1028">
        <v>10</v>
      </c>
      <c r="L1028" t="s">
        <v>15</v>
      </c>
      <c r="M1028">
        <f>SUM(Pharma_Sales_Data[[#This Row],[M01AB]:[R06]])</f>
        <v>55.183</v>
      </c>
      <c r="N1028" s="2">
        <f>Pharma_Sales_Data[[#This Row],[Total Drug Sales]]*150</f>
        <v>8277.4500000000007</v>
      </c>
      <c r="O1028" s="2">
        <f>Pharma_Sales_Data[[#This Row],[Total Revenue]]*0.3</f>
        <v>2483.2350000000001</v>
      </c>
      <c r="P1028" t="str">
        <f>IF(Pharma_Sales_Data[[#This Row],[Total Revenue]]&gt;20000,"High Value", IF(Pharma_Sales_Data[[#This Row],[Total Revenue]]&gt;=10000,"Medium Value","Low Value"))</f>
        <v>Low Value</v>
      </c>
    </row>
    <row r="1029" spans="1:16" x14ac:dyDescent="0.35">
      <c r="A1029" s="1">
        <v>42668</v>
      </c>
      <c r="B1029">
        <v>4.33</v>
      </c>
      <c r="C1029">
        <v>4.5720000000000001</v>
      </c>
      <c r="D1029">
        <v>5.4</v>
      </c>
      <c r="E1029">
        <v>62.4</v>
      </c>
      <c r="F1029">
        <v>10</v>
      </c>
      <c r="G1029">
        <v>0</v>
      </c>
      <c r="H1029">
        <v>7</v>
      </c>
      <c r="I1029">
        <v>0</v>
      </c>
      <c r="J1029">
        <v>2016</v>
      </c>
      <c r="K1029">
        <v>10</v>
      </c>
      <c r="L1029" t="s">
        <v>16</v>
      </c>
      <c r="M1029">
        <f>SUM(Pharma_Sales_Data[[#This Row],[M01AB]:[R06]])</f>
        <v>93.701999999999998</v>
      </c>
      <c r="N1029" s="2">
        <f>Pharma_Sales_Data[[#This Row],[Total Drug Sales]]*150</f>
        <v>14055.3</v>
      </c>
      <c r="O1029" s="2">
        <f>Pharma_Sales_Data[[#This Row],[Total Revenue]]*0.3</f>
        <v>4216.5899999999992</v>
      </c>
      <c r="P1029" t="str">
        <f>IF(Pharma_Sales_Data[[#This Row],[Total Revenue]]&gt;20000,"High Value", IF(Pharma_Sales_Data[[#This Row],[Total Revenue]]&gt;=10000,"Medium Value","Low Value"))</f>
        <v>Medium Value</v>
      </c>
    </row>
    <row r="1030" spans="1:16" x14ac:dyDescent="0.35">
      <c r="A1030" s="1">
        <v>42669</v>
      </c>
      <c r="B1030">
        <v>2.33</v>
      </c>
      <c r="C1030">
        <v>2.3969999999999998</v>
      </c>
      <c r="D1030">
        <v>6</v>
      </c>
      <c r="E1030">
        <v>28.4</v>
      </c>
      <c r="F1030">
        <v>10</v>
      </c>
      <c r="G1030">
        <v>0</v>
      </c>
      <c r="H1030">
        <v>2</v>
      </c>
      <c r="I1030">
        <v>1</v>
      </c>
      <c r="J1030">
        <v>2016</v>
      </c>
      <c r="K1030">
        <v>10</v>
      </c>
      <c r="L1030" t="s">
        <v>17</v>
      </c>
      <c r="M1030">
        <f>SUM(Pharma_Sales_Data[[#This Row],[M01AB]:[R06]])</f>
        <v>52.126999999999995</v>
      </c>
      <c r="N1030" s="2">
        <f>Pharma_Sales_Data[[#This Row],[Total Drug Sales]]*150</f>
        <v>7819.0499999999993</v>
      </c>
      <c r="O1030" s="2">
        <f>Pharma_Sales_Data[[#This Row],[Total Revenue]]*0.3</f>
        <v>2345.7149999999997</v>
      </c>
      <c r="P1030" t="str">
        <f>IF(Pharma_Sales_Data[[#This Row],[Total Revenue]]&gt;20000,"High Value", IF(Pharma_Sales_Data[[#This Row],[Total Revenue]]&gt;=10000,"Medium Value","Low Value"))</f>
        <v>Low Value</v>
      </c>
    </row>
    <row r="1031" spans="1:16" x14ac:dyDescent="0.35">
      <c r="A1031" s="1">
        <v>42670</v>
      </c>
      <c r="B1031">
        <v>6.5</v>
      </c>
      <c r="C1031">
        <v>2.0230000000000001</v>
      </c>
      <c r="D1031">
        <v>3</v>
      </c>
      <c r="E1031">
        <v>32.200000000000003</v>
      </c>
      <c r="F1031">
        <v>10</v>
      </c>
      <c r="G1031">
        <v>2</v>
      </c>
      <c r="H1031">
        <v>4</v>
      </c>
      <c r="I1031">
        <v>0</v>
      </c>
      <c r="J1031">
        <v>2016</v>
      </c>
      <c r="K1031">
        <v>10</v>
      </c>
      <c r="L1031" t="s">
        <v>11</v>
      </c>
      <c r="M1031">
        <f>SUM(Pharma_Sales_Data[[#This Row],[M01AB]:[R06]])</f>
        <v>59.722999999999999</v>
      </c>
      <c r="N1031" s="2">
        <f>Pharma_Sales_Data[[#This Row],[Total Drug Sales]]*150</f>
        <v>8958.4500000000007</v>
      </c>
      <c r="O1031" s="2">
        <f>Pharma_Sales_Data[[#This Row],[Total Revenue]]*0.3</f>
        <v>2687.5350000000003</v>
      </c>
      <c r="P1031" t="str">
        <f>IF(Pharma_Sales_Data[[#This Row],[Total Revenue]]&gt;20000,"High Value", IF(Pharma_Sales_Data[[#This Row],[Total Revenue]]&gt;=10000,"Medium Value","Low Value"))</f>
        <v>Low Value</v>
      </c>
    </row>
    <row r="1032" spans="1:16" x14ac:dyDescent="0.35">
      <c r="A1032" s="1">
        <v>42671</v>
      </c>
      <c r="B1032">
        <v>7</v>
      </c>
      <c r="C1032">
        <v>3.78</v>
      </c>
      <c r="D1032">
        <v>6</v>
      </c>
      <c r="E1032">
        <v>34.4</v>
      </c>
      <c r="F1032">
        <v>9</v>
      </c>
      <c r="G1032">
        <v>0</v>
      </c>
      <c r="H1032">
        <v>5</v>
      </c>
      <c r="I1032">
        <v>0</v>
      </c>
      <c r="J1032">
        <v>2016</v>
      </c>
      <c r="K1032">
        <v>10</v>
      </c>
      <c r="L1032" t="s">
        <v>12</v>
      </c>
      <c r="M1032">
        <f>SUM(Pharma_Sales_Data[[#This Row],[M01AB]:[R06]])</f>
        <v>65.180000000000007</v>
      </c>
      <c r="N1032" s="2">
        <f>Pharma_Sales_Data[[#This Row],[Total Drug Sales]]*150</f>
        <v>9777.0000000000018</v>
      </c>
      <c r="O1032" s="2">
        <f>Pharma_Sales_Data[[#This Row],[Total Revenue]]*0.3</f>
        <v>2933.1000000000004</v>
      </c>
      <c r="P1032" t="str">
        <f>IF(Pharma_Sales_Data[[#This Row],[Total Revenue]]&gt;20000,"High Value", IF(Pharma_Sales_Data[[#This Row],[Total Revenue]]&gt;=10000,"Medium Value","Low Value"))</f>
        <v>Low Value</v>
      </c>
    </row>
    <row r="1033" spans="1:16" x14ac:dyDescent="0.35">
      <c r="A1033" s="1">
        <v>42672</v>
      </c>
      <c r="B1033">
        <v>15.33</v>
      </c>
      <c r="C1033">
        <v>4.54</v>
      </c>
      <c r="D1033">
        <v>6.1</v>
      </c>
      <c r="E1033">
        <v>78.5</v>
      </c>
      <c r="F1033">
        <v>23</v>
      </c>
      <c r="G1033">
        <v>0</v>
      </c>
      <c r="H1033">
        <v>9</v>
      </c>
      <c r="I1033">
        <v>5</v>
      </c>
      <c r="J1033">
        <v>2016</v>
      </c>
      <c r="K1033">
        <v>10</v>
      </c>
      <c r="L1033" t="s">
        <v>13</v>
      </c>
      <c r="M1033">
        <f>SUM(Pharma_Sales_Data[[#This Row],[M01AB]:[R06]])</f>
        <v>141.47</v>
      </c>
      <c r="N1033" s="2">
        <f>Pharma_Sales_Data[[#This Row],[Total Drug Sales]]*150</f>
        <v>21220.5</v>
      </c>
      <c r="O1033" s="2">
        <f>Pharma_Sales_Data[[#This Row],[Total Revenue]]*0.3</f>
        <v>6366.15</v>
      </c>
      <c r="P1033" t="str">
        <f>IF(Pharma_Sales_Data[[#This Row],[Total Revenue]]&gt;20000,"High Value", IF(Pharma_Sales_Data[[#This Row],[Total Revenue]]&gt;=10000,"Medium Value","Low Value"))</f>
        <v>High Value</v>
      </c>
    </row>
    <row r="1034" spans="1:16" x14ac:dyDescent="0.35">
      <c r="A1034" s="1">
        <v>42673</v>
      </c>
      <c r="B1034">
        <v>4.66</v>
      </c>
      <c r="C1034">
        <v>10.32</v>
      </c>
      <c r="D1034">
        <v>5.75</v>
      </c>
      <c r="E1034">
        <v>73.099999999999994</v>
      </c>
      <c r="F1034">
        <v>5</v>
      </c>
      <c r="G1034">
        <v>0</v>
      </c>
      <c r="H1034">
        <v>0</v>
      </c>
      <c r="I1034">
        <v>2</v>
      </c>
      <c r="J1034">
        <v>2016</v>
      </c>
      <c r="K1034">
        <v>10</v>
      </c>
      <c r="L1034" t="s">
        <v>14</v>
      </c>
      <c r="M1034">
        <f>SUM(Pharma_Sales_Data[[#This Row],[M01AB]:[R06]])</f>
        <v>100.83</v>
      </c>
      <c r="N1034" s="2">
        <f>Pharma_Sales_Data[[#This Row],[Total Drug Sales]]*150</f>
        <v>15124.5</v>
      </c>
      <c r="O1034" s="2">
        <f>Pharma_Sales_Data[[#This Row],[Total Revenue]]*0.3</f>
        <v>4537.3499999999995</v>
      </c>
      <c r="P1034" t="str">
        <f>IF(Pharma_Sales_Data[[#This Row],[Total Revenue]]&gt;20000,"High Value", IF(Pharma_Sales_Data[[#This Row],[Total Revenue]]&gt;=10000,"Medium Value","Low Value"))</f>
        <v>Medium Value</v>
      </c>
    </row>
    <row r="1035" spans="1:16" x14ac:dyDescent="0.35">
      <c r="A1035" s="1">
        <v>42674</v>
      </c>
      <c r="B1035">
        <v>2.66</v>
      </c>
      <c r="C1035">
        <v>3.82</v>
      </c>
      <c r="D1035">
        <v>3</v>
      </c>
      <c r="E1035">
        <v>43.8</v>
      </c>
      <c r="F1035">
        <v>6</v>
      </c>
      <c r="G1035">
        <v>0</v>
      </c>
      <c r="H1035">
        <v>17</v>
      </c>
      <c r="I1035">
        <v>5</v>
      </c>
      <c r="J1035">
        <v>2016</v>
      </c>
      <c r="K1035">
        <v>10</v>
      </c>
      <c r="L1035" t="s">
        <v>15</v>
      </c>
      <c r="M1035">
        <f>SUM(Pharma_Sales_Data[[#This Row],[M01AB]:[R06]])</f>
        <v>81.28</v>
      </c>
      <c r="N1035" s="2">
        <f>Pharma_Sales_Data[[#This Row],[Total Drug Sales]]*150</f>
        <v>12192</v>
      </c>
      <c r="O1035" s="2">
        <f>Pharma_Sales_Data[[#This Row],[Total Revenue]]*0.3</f>
        <v>3657.6</v>
      </c>
      <c r="P1035" t="str">
        <f>IF(Pharma_Sales_Data[[#This Row],[Total Revenue]]&gt;20000,"High Value", IF(Pharma_Sales_Data[[#This Row],[Total Revenue]]&gt;=10000,"Medium Value","Low Value"))</f>
        <v>Medium Value</v>
      </c>
    </row>
    <row r="1036" spans="1:16" x14ac:dyDescent="0.35">
      <c r="A1036" s="1">
        <v>42675</v>
      </c>
      <c r="B1036">
        <v>2.33</v>
      </c>
      <c r="C1036">
        <v>1.7030000000000001</v>
      </c>
      <c r="D1036">
        <v>4</v>
      </c>
      <c r="E1036">
        <v>25.9</v>
      </c>
      <c r="F1036">
        <v>18</v>
      </c>
      <c r="G1036">
        <v>0</v>
      </c>
      <c r="H1036">
        <v>6</v>
      </c>
      <c r="I1036">
        <v>3</v>
      </c>
      <c r="J1036">
        <v>2016</v>
      </c>
      <c r="K1036">
        <v>11</v>
      </c>
      <c r="L1036" t="s">
        <v>16</v>
      </c>
      <c r="M1036">
        <f>SUM(Pharma_Sales_Data[[#This Row],[M01AB]:[R06]])</f>
        <v>60.933</v>
      </c>
      <c r="N1036" s="2">
        <f>Pharma_Sales_Data[[#This Row],[Total Drug Sales]]*150</f>
        <v>9139.9500000000007</v>
      </c>
      <c r="O1036" s="2">
        <f>Pharma_Sales_Data[[#This Row],[Total Revenue]]*0.3</f>
        <v>2741.9850000000001</v>
      </c>
      <c r="P1036" t="str">
        <f>IF(Pharma_Sales_Data[[#This Row],[Total Revenue]]&gt;20000,"High Value", IF(Pharma_Sales_Data[[#This Row],[Total Revenue]]&gt;=10000,"Medium Value","Low Value"))</f>
        <v>Low Value</v>
      </c>
    </row>
    <row r="1037" spans="1:16" x14ac:dyDescent="0.35">
      <c r="A1037" s="1">
        <v>42676</v>
      </c>
      <c r="B1037">
        <v>4</v>
      </c>
      <c r="C1037">
        <v>3.7029999999999998</v>
      </c>
      <c r="D1037">
        <v>4.0999999999999996</v>
      </c>
      <c r="E1037">
        <v>42.2</v>
      </c>
      <c r="F1037">
        <v>1</v>
      </c>
      <c r="G1037">
        <v>0</v>
      </c>
      <c r="H1037">
        <v>2</v>
      </c>
      <c r="I1037">
        <v>3</v>
      </c>
      <c r="J1037">
        <v>2016</v>
      </c>
      <c r="K1037">
        <v>11</v>
      </c>
      <c r="L1037" t="s">
        <v>17</v>
      </c>
      <c r="M1037">
        <f>SUM(Pharma_Sales_Data[[#This Row],[M01AB]:[R06]])</f>
        <v>60.003</v>
      </c>
      <c r="N1037" s="2">
        <f>Pharma_Sales_Data[[#This Row],[Total Drug Sales]]*150</f>
        <v>9000.4500000000007</v>
      </c>
      <c r="O1037" s="2">
        <f>Pharma_Sales_Data[[#This Row],[Total Revenue]]*0.3</f>
        <v>2700.1350000000002</v>
      </c>
      <c r="P1037" t="str">
        <f>IF(Pharma_Sales_Data[[#This Row],[Total Revenue]]&gt;20000,"High Value", IF(Pharma_Sales_Data[[#This Row],[Total Revenue]]&gt;=10000,"Medium Value","Low Value"))</f>
        <v>Low Value</v>
      </c>
    </row>
    <row r="1038" spans="1:16" x14ac:dyDescent="0.35">
      <c r="A1038" s="1">
        <v>42677</v>
      </c>
      <c r="B1038">
        <v>2</v>
      </c>
      <c r="C1038">
        <v>1</v>
      </c>
      <c r="D1038">
        <v>3</v>
      </c>
      <c r="E1038">
        <v>42.5</v>
      </c>
      <c r="F1038">
        <v>3</v>
      </c>
      <c r="G1038">
        <v>0</v>
      </c>
      <c r="H1038">
        <v>0</v>
      </c>
      <c r="I1038">
        <v>1</v>
      </c>
      <c r="J1038">
        <v>2016</v>
      </c>
      <c r="K1038">
        <v>11</v>
      </c>
      <c r="L1038" t="s">
        <v>11</v>
      </c>
      <c r="M1038">
        <f>SUM(Pharma_Sales_Data[[#This Row],[M01AB]:[R06]])</f>
        <v>52.5</v>
      </c>
      <c r="N1038" s="2">
        <f>Pharma_Sales_Data[[#This Row],[Total Drug Sales]]*150</f>
        <v>7875</v>
      </c>
      <c r="O1038" s="2">
        <f>Pharma_Sales_Data[[#This Row],[Total Revenue]]*0.3</f>
        <v>2362.5</v>
      </c>
      <c r="P1038" t="str">
        <f>IF(Pharma_Sales_Data[[#This Row],[Total Revenue]]&gt;20000,"High Value", IF(Pharma_Sales_Data[[#This Row],[Total Revenue]]&gt;=10000,"Medium Value","Low Value"))</f>
        <v>Low Value</v>
      </c>
    </row>
    <row r="1039" spans="1:16" x14ac:dyDescent="0.35">
      <c r="A1039" s="1">
        <v>42678</v>
      </c>
      <c r="B1039">
        <v>8.33</v>
      </c>
      <c r="C1039">
        <v>4.3730000000000002</v>
      </c>
      <c r="D1039">
        <v>3.6</v>
      </c>
      <c r="E1039">
        <v>24.3</v>
      </c>
      <c r="F1039">
        <v>14</v>
      </c>
      <c r="G1039">
        <v>1</v>
      </c>
      <c r="H1039">
        <v>6</v>
      </c>
      <c r="I1039">
        <v>4.2</v>
      </c>
      <c r="J1039">
        <v>2016</v>
      </c>
      <c r="K1039">
        <v>11</v>
      </c>
      <c r="L1039" t="s">
        <v>12</v>
      </c>
      <c r="M1039">
        <f>SUM(Pharma_Sales_Data[[#This Row],[M01AB]:[R06]])</f>
        <v>65.802999999999997</v>
      </c>
      <c r="N1039" s="2">
        <f>Pharma_Sales_Data[[#This Row],[Total Drug Sales]]*150</f>
        <v>9870.4499999999989</v>
      </c>
      <c r="O1039" s="2">
        <f>Pharma_Sales_Data[[#This Row],[Total Revenue]]*0.3</f>
        <v>2961.1349999999998</v>
      </c>
      <c r="P1039" t="str">
        <f>IF(Pharma_Sales_Data[[#This Row],[Total Revenue]]&gt;20000,"High Value", IF(Pharma_Sales_Data[[#This Row],[Total Revenue]]&gt;=10000,"Medium Value","Low Value"))</f>
        <v>Low Value</v>
      </c>
    </row>
    <row r="1040" spans="1:16" x14ac:dyDescent="0.35">
      <c r="A1040" s="1">
        <v>42679</v>
      </c>
      <c r="B1040">
        <v>7.6666666670000003</v>
      </c>
      <c r="C1040">
        <v>3.02</v>
      </c>
      <c r="D1040">
        <v>5.8</v>
      </c>
      <c r="E1040">
        <v>35.4</v>
      </c>
      <c r="F1040">
        <v>9</v>
      </c>
      <c r="G1040">
        <v>0</v>
      </c>
      <c r="H1040">
        <v>0</v>
      </c>
      <c r="I1040">
        <v>2</v>
      </c>
      <c r="J1040">
        <v>2016</v>
      </c>
      <c r="K1040">
        <v>11</v>
      </c>
      <c r="L1040" t="s">
        <v>13</v>
      </c>
      <c r="M1040">
        <f>SUM(Pharma_Sales_Data[[#This Row],[M01AB]:[R06]])</f>
        <v>62.886666667</v>
      </c>
      <c r="N1040" s="2">
        <f>Pharma_Sales_Data[[#This Row],[Total Drug Sales]]*150</f>
        <v>9433.0000000500004</v>
      </c>
      <c r="O1040" s="2">
        <f>Pharma_Sales_Data[[#This Row],[Total Revenue]]*0.3</f>
        <v>2829.9000000149999</v>
      </c>
      <c r="P1040" t="str">
        <f>IF(Pharma_Sales_Data[[#This Row],[Total Revenue]]&gt;20000,"High Value", IF(Pharma_Sales_Data[[#This Row],[Total Revenue]]&gt;=10000,"Medium Value","Low Value"))</f>
        <v>Low Value</v>
      </c>
    </row>
    <row r="1041" spans="1:16" x14ac:dyDescent="0.35">
      <c r="A1041" s="1">
        <v>42680</v>
      </c>
      <c r="B1041">
        <v>8</v>
      </c>
      <c r="C1041">
        <v>4.34</v>
      </c>
      <c r="D1041">
        <v>3</v>
      </c>
      <c r="E1041">
        <v>42.45</v>
      </c>
      <c r="F1041">
        <v>3</v>
      </c>
      <c r="G1041">
        <v>2</v>
      </c>
      <c r="H1041">
        <v>11</v>
      </c>
      <c r="I1041">
        <v>5</v>
      </c>
      <c r="J1041">
        <v>2016</v>
      </c>
      <c r="K1041">
        <v>11</v>
      </c>
      <c r="L1041" t="s">
        <v>14</v>
      </c>
      <c r="M1041">
        <f>SUM(Pharma_Sales_Data[[#This Row],[M01AB]:[R06]])</f>
        <v>78.790000000000006</v>
      </c>
      <c r="N1041" s="2">
        <f>Pharma_Sales_Data[[#This Row],[Total Drug Sales]]*150</f>
        <v>11818.500000000002</v>
      </c>
      <c r="O1041" s="2">
        <f>Pharma_Sales_Data[[#This Row],[Total Revenue]]*0.3</f>
        <v>3545.5500000000006</v>
      </c>
      <c r="P1041" t="str">
        <f>IF(Pharma_Sales_Data[[#This Row],[Total Revenue]]&gt;20000,"High Value", IF(Pharma_Sales_Data[[#This Row],[Total Revenue]]&gt;=10000,"Medium Value","Low Value"))</f>
        <v>Medium Value</v>
      </c>
    </row>
    <row r="1042" spans="1:16" x14ac:dyDescent="0.35">
      <c r="A1042" s="1">
        <v>42681</v>
      </c>
      <c r="B1042">
        <v>5</v>
      </c>
      <c r="C1042">
        <v>2.726</v>
      </c>
      <c r="D1042">
        <v>6.3</v>
      </c>
      <c r="E1042">
        <v>35</v>
      </c>
      <c r="F1042">
        <v>9</v>
      </c>
      <c r="G1042">
        <v>0</v>
      </c>
      <c r="H1042">
        <v>5</v>
      </c>
      <c r="I1042">
        <v>1</v>
      </c>
      <c r="J1042">
        <v>2016</v>
      </c>
      <c r="K1042">
        <v>11</v>
      </c>
      <c r="L1042" t="s">
        <v>15</v>
      </c>
      <c r="M1042">
        <f>SUM(Pharma_Sales_Data[[#This Row],[M01AB]:[R06]])</f>
        <v>64.025999999999996</v>
      </c>
      <c r="N1042" s="2">
        <f>Pharma_Sales_Data[[#This Row],[Total Drug Sales]]*150</f>
        <v>9603.9</v>
      </c>
      <c r="O1042" s="2">
        <f>Pharma_Sales_Data[[#This Row],[Total Revenue]]*0.3</f>
        <v>2881.1699999999996</v>
      </c>
      <c r="P1042" t="str">
        <f>IF(Pharma_Sales_Data[[#This Row],[Total Revenue]]&gt;20000,"High Value", IF(Pharma_Sales_Data[[#This Row],[Total Revenue]]&gt;=10000,"Medium Value","Low Value"))</f>
        <v>Low Value</v>
      </c>
    </row>
    <row r="1043" spans="1:16" x14ac:dyDescent="0.35">
      <c r="A1043" s="1">
        <v>42682</v>
      </c>
      <c r="B1043">
        <v>7</v>
      </c>
      <c r="C1043">
        <v>2.35</v>
      </c>
      <c r="D1043">
        <v>8</v>
      </c>
      <c r="E1043">
        <v>20</v>
      </c>
      <c r="F1043">
        <v>19.166666670000001</v>
      </c>
      <c r="G1043">
        <v>2</v>
      </c>
      <c r="H1043">
        <v>8</v>
      </c>
      <c r="I1043">
        <v>3</v>
      </c>
      <c r="J1043">
        <v>2016</v>
      </c>
      <c r="K1043">
        <v>11</v>
      </c>
      <c r="L1043" t="s">
        <v>16</v>
      </c>
      <c r="M1043">
        <f>SUM(Pharma_Sales_Data[[#This Row],[M01AB]:[R06]])</f>
        <v>69.516666670000006</v>
      </c>
      <c r="N1043" s="2">
        <f>Pharma_Sales_Data[[#This Row],[Total Drug Sales]]*150</f>
        <v>10427.5000005</v>
      </c>
      <c r="O1043" s="2">
        <f>Pharma_Sales_Data[[#This Row],[Total Revenue]]*0.3</f>
        <v>3128.2500001499998</v>
      </c>
      <c r="P1043" t="str">
        <f>IF(Pharma_Sales_Data[[#This Row],[Total Revenue]]&gt;20000,"High Value", IF(Pharma_Sales_Data[[#This Row],[Total Revenue]]&gt;=10000,"Medium Value","Low Value"))</f>
        <v>Medium Value</v>
      </c>
    </row>
    <row r="1044" spans="1:16" x14ac:dyDescent="0.35">
      <c r="A1044" s="1">
        <v>42683</v>
      </c>
      <c r="B1044">
        <v>2.34</v>
      </c>
      <c r="C1044">
        <v>5.66</v>
      </c>
      <c r="D1044">
        <v>1.4</v>
      </c>
      <c r="E1044">
        <v>25</v>
      </c>
      <c r="F1044">
        <v>18</v>
      </c>
      <c r="G1044">
        <v>0</v>
      </c>
      <c r="H1044">
        <v>4</v>
      </c>
      <c r="I1044">
        <v>0</v>
      </c>
      <c r="J1044">
        <v>2016</v>
      </c>
      <c r="K1044">
        <v>11</v>
      </c>
      <c r="L1044" t="s">
        <v>17</v>
      </c>
      <c r="M1044">
        <f>SUM(Pharma_Sales_Data[[#This Row],[M01AB]:[R06]])</f>
        <v>56.4</v>
      </c>
      <c r="N1044" s="2">
        <f>Pharma_Sales_Data[[#This Row],[Total Drug Sales]]*150</f>
        <v>8460</v>
      </c>
      <c r="O1044" s="2">
        <f>Pharma_Sales_Data[[#This Row],[Total Revenue]]*0.3</f>
        <v>2538</v>
      </c>
      <c r="P1044" t="str">
        <f>IF(Pharma_Sales_Data[[#This Row],[Total Revenue]]&gt;20000,"High Value", IF(Pharma_Sales_Data[[#This Row],[Total Revenue]]&gt;=10000,"Medium Value","Low Value"))</f>
        <v>Low Value</v>
      </c>
    </row>
    <row r="1045" spans="1:16" x14ac:dyDescent="0.35">
      <c r="A1045" s="1">
        <v>42684</v>
      </c>
      <c r="B1045">
        <v>7.33</v>
      </c>
      <c r="C1045">
        <v>6.33</v>
      </c>
      <c r="D1045">
        <v>7</v>
      </c>
      <c r="E1045">
        <v>31.1</v>
      </c>
      <c r="F1045">
        <v>5</v>
      </c>
      <c r="G1045">
        <v>2</v>
      </c>
      <c r="H1045">
        <v>12</v>
      </c>
      <c r="I1045">
        <v>3.4</v>
      </c>
      <c r="J1045">
        <v>2016</v>
      </c>
      <c r="K1045">
        <v>11</v>
      </c>
      <c r="L1045" t="s">
        <v>11</v>
      </c>
      <c r="M1045">
        <f>SUM(Pharma_Sales_Data[[#This Row],[M01AB]:[R06]])</f>
        <v>74.160000000000011</v>
      </c>
      <c r="N1045" s="2">
        <f>Pharma_Sales_Data[[#This Row],[Total Drug Sales]]*150</f>
        <v>11124.000000000002</v>
      </c>
      <c r="O1045" s="2">
        <f>Pharma_Sales_Data[[#This Row],[Total Revenue]]*0.3</f>
        <v>3337.2000000000003</v>
      </c>
      <c r="P1045" t="str">
        <f>IF(Pharma_Sales_Data[[#This Row],[Total Revenue]]&gt;20000,"High Value", IF(Pharma_Sales_Data[[#This Row],[Total Revenue]]&gt;=10000,"Medium Value","Low Value"))</f>
        <v>Medium Value</v>
      </c>
    </row>
    <row r="1046" spans="1:16" x14ac:dyDescent="0.35">
      <c r="A1046" s="1">
        <v>42685</v>
      </c>
      <c r="B1046">
        <v>10.66</v>
      </c>
      <c r="C1046">
        <v>1.7589999999999999</v>
      </c>
      <c r="D1046">
        <v>4</v>
      </c>
      <c r="E1046">
        <v>33</v>
      </c>
      <c r="F1046">
        <v>6</v>
      </c>
      <c r="G1046">
        <v>0</v>
      </c>
      <c r="H1046">
        <v>1</v>
      </c>
      <c r="I1046">
        <v>1</v>
      </c>
      <c r="J1046">
        <v>2016</v>
      </c>
      <c r="K1046">
        <v>11</v>
      </c>
      <c r="L1046" t="s">
        <v>12</v>
      </c>
      <c r="M1046">
        <f>SUM(Pharma_Sales_Data[[#This Row],[M01AB]:[R06]])</f>
        <v>57.418999999999997</v>
      </c>
      <c r="N1046" s="2">
        <f>Pharma_Sales_Data[[#This Row],[Total Drug Sales]]*150</f>
        <v>8612.85</v>
      </c>
      <c r="O1046" s="2">
        <f>Pharma_Sales_Data[[#This Row],[Total Revenue]]*0.3</f>
        <v>2583.855</v>
      </c>
      <c r="P1046" t="str">
        <f>IF(Pharma_Sales_Data[[#This Row],[Total Revenue]]&gt;20000,"High Value", IF(Pharma_Sales_Data[[#This Row],[Total Revenue]]&gt;=10000,"Medium Value","Low Value"))</f>
        <v>Low Value</v>
      </c>
    </row>
    <row r="1047" spans="1:16" x14ac:dyDescent="0.35">
      <c r="A1047" s="1">
        <v>42686</v>
      </c>
      <c r="B1047">
        <v>8</v>
      </c>
      <c r="C1047">
        <v>3.8250000000000002</v>
      </c>
      <c r="D1047">
        <v>7</v>
      </c>
      <c r="E1047">
        <v>56.5</v>
      </c>
      <c r="F1047">
        <v>10</v>
      </c>
      <c r="G1047">
        <v>0</v>
      </c>
      <c r="H1047">
        <v>1</v>
      </c>
      <c r="I1047">
        <v>1.2</v>
      </c>
      <c r="J1047">
        <v>2016</v>
      </c>
      <c r="K1047">
        <v>11</v>
      </c>
      <c r="L1047" t="s">
        <v>13</v>
      </c>
      <c r="M1047">
        <f>SUM(Pharma_Sales_Data[[#This Row],[M01AB]:[R06]])</f>
        <v>87.525000000000006</v>
      </c>
      <c r="N1047" s="2">
        <f>Pharma_Sales_Data[[#This Row],[Total Drug Sales]]*150</f>
        <v>13128.75</v>
      </c>
      <c r="O1047" s="2">
        <f>Pharma_Sales_Data[[#This Row],[Total Revenue]]*0.3</f>
        <v>3938.625</v>
      </c>
      <c r="P1047" t="str">
        <f>IF(Pharma_Sales_Data[[#This Row],[Total Revenue]]&gt;20000,"High Value", IF(Pharma_Sales_Data[[#This Row],[Total Revenue]]&gt;=10000,"Medium Value","Low Value"))</f>
        <v>Medium Value</v>
      </c>
    </row>
    <row r="1048" spans="1:16" x14ac:dyDescent="0.35">
      <c r="A1048" s="1">
        <v>42687</v>
      </c>
      <c r="B1048">
        <v>6</v>
      </c>
      <c r="C1048">
        <v>11.32</v>
      </c>
      <c r="D1048">
        <v>3.6</v>
      </c>
      <c r="E1048">
        <v>60.2</v>
      </c>
      <c r="F1048">
        <v>0</v>
      </c>
      <c r="G1048">
        <v>0</v>
      </c>
      <c r="H1048">
        <v>5</v>
      </c>
      <c r="I1048">
        <v>1</v>
      </c>
      <c r="J1048">
        <v>2016</v>
      </c>
      <c r="K1048">
        <v>11</v>
      </c>
      <c r="L1048" t="s">
        <v>14</v>
      </c>
      <c r="M1048">
        <f>SUM(Pharma_Sales_Data[[#This Row],[M01AB]:[R06]])</f>
        <v>87.12</v>
      </c>
      <c r="N1048" s="2">
        <f>Pharma_Sales_Data[[#This Row],[Total Drug Sales]]*150</f>
        <v>13068</v>
      </c>
      <c r="O1048" s="2">
        <f>Pharma_Sales_Data[[#This Row],[Total Revenue]]*0.3</f>
        <v>3920.3999999999996</v>
      </c>
      <c r="P1048" t="str">
        <f>IF(Pharma_Sales_Data[[#This Row],[Total Revenue]]&gt;20000,"High Value", IF(Pharma_Sales_Data[[#This Row],[Total Revenue]]&gt;=10000,"Medium Value","Low Value"))</f>
        <v>Medium Value</v>
      </c>
    </row>
    <row r="1049" spans="1:16" x14ac:dyDescent="0.35">
      <c r="A1049" s="1">
        <v>42688</v>
      </c>
      <c r="B1049">
        <v>10</v>
      </c>
      <c r="C1049">
        <v>4.726</v>
      </c>
      <c r="D1049">
        <v>3.8</v>
      </c>
      <c r="E1049">
        <v>50.5</v>
      </c>
      <c r="F1049">
        <v>5</v>
      </c>
      <c r="G1049">
        <v>3</v>
      </c>
      <c r="H1049">
        <v>1</v>
      </c>
      <c r="I1049">
        <v>1</v>
      </c>
      <c r="J1049">
        <v>2016</v>
      </c>
      <c r="K1049">
        <v>11</v>
      </c>
      <c r="L1049" t="s">
        <v>15</v>
      </c>
      <c r="M1049">
        <f>SUM(Pharma_Sales_Data[[#This Row],[M01AB]:[R06]])</f>
        <v>79.025999999999996</v>
      </c>
      <c r="N1049" s="2">
        <f>Pharma_Sales_Data[[#This Row],[Total Drug Sales]]*150</f>
        <v>11853.9</v>
      </c>
      <c r="O1049" s="2">
        <f>Pharma_Sales_Data[[#This Row],[Total Revenue]]*0.3</f>
        <v>3556.1699999999996</v>
      </c>
      <c r="P1049" t="str">
        <f>IF(Pharma_Sales_Data[[#This Row],[Total Revenue]]&gt;20000,"High Value", IF(Pharma_Sales_Data[[#This Row],[Total Revenue]]&gt;=10000,"Medium Value","Low Value"))</f>
        <v>Medium Value</v>
      </c>
    </row>
    <row r="1050" spans="1:16" x14ac:dyDescent="0.35">
      <c r="A1050" s="1">
        <v>42689</v>
      </c>
      <c r="B1050">
        <v>5.33</v>
      </c>
      <c r="C1050">
        <v>0.33</v>
      </c>
      <c r="D1050">
        <v>4</v>
      </c>
      <c r="E1050">
        <v>30.1</v>
      </c>
      <c r="F1050">
        <v>27</v>
      </c>
      <c r="G1050">
        <v>5</v>
      </c>
      <c r="H1050">
        <v>5</v>
      </c>
      <c r="I1050">
        <v>1</v>
      </c>
      <c r="J1050">
        <v>2016</v>
      </c>
      <c r="K1050">
        <v>11</v>
      </c>
      <c r="L1050" t="s">
        <v>16</v>
      </c>
      <c r="M1050">
        <f>SUM(Pharma_Sales_Data[[#This Row],[M01AB]:[R06]])</f>
        <v>77.760000000000005</v>
      </c>
      <c r="N1050" s="2">
        <f>Pharma_Sales_Data[[#This Row],[Total Drug Sales]]*150</f>
        <v>11664</v>
      </c>
      <c r="O1050" s="2">
        <f>Pharma_Sales_Data[[#This Row],[Total Revenue]]*0.3</f>
        <v>3499.2</v>
      </c>
      <c r="P1050" t="str">
        <f>IF(Pharma_Sales_Data[[#This Row],[Total Revenue]]&gt;20000,"High Value", IF(Pharma_Sales_Data[[#This Row],[Total Revenue]]&gt;=10000,"Medium Value","Low Value"))</f>
        <v>Medium Value</v>
      </c>
    </row>
    <row r="1051" spans="1:16" x14ac:dyDescent="0.35">
      <c r="A1051" s="1">
        <v>42690</v>
      </c>
      <c r="B1051">
        <v>4</v>
      </c>
      <c r="C1051">
        <v>3.1669999999999998</v>
      </c>
      <c r="D1051">
        <v>4</v>
      </c>
      <c r="E1051">
        <v>38.911999999999999</v>
      </c>
      <c r="F1051">
        <v>5</v>
      </c>
      <c r="G1051">
        <v>0</v>
      </c>
      <c r="H1051">
        <v>10</v>
      </c>
      <c r="I1051">
        <v>1</v>
      </c>
      <c r="J1051">
        <v>2016</v>
      </c>
      <c r="K1051">
        <v>11</v>
      </c>
      <c r="L1051" t="s">
        <v>17</v>
      </c>
      <c r="M1051">
        <f>SUM(Pharma_Sales_Data[[#This Row],[M01AB]:[R06]])</f>
        <v>66.079000000000008</v>
      </c>
      <c r="N1051" s="2">
        <f>Pharma_Sales_Data[[#This Row],[Total Drug Sales]]*150</f>
        <v>9911.85</v>
      </c>
      <c r="O1051" s="2">
        <f>Pharma_Sales_Data[[#This Row],[Total Revenue]]*0.3</f>
        <v>2973.5549999999998</v>
      </c>
      <c r="P1051" t="str">
        <f>IF(Pharma_Sales_Data[[#This Row],[Total Revenue]]&gt;20000,"High Value", IF(Pharma_Sales_Data[[#This Row],[Total Revenue]]&gt;=10000,"Medium Value","Low Value"))</f>
        <v>Low Value</v>
      </c>
    </row>
    <row r="1052" spans="1:16" x14ac:dyDescent="0.35">
      <c r="A1052" s="1">
        <v>42691</v>
      </c>
      <c r="B1052">
        <v>5</v>
      </c>
      <c r="C1052">
        <v>2.726</v>
      </c>
      <c r="D1052">
        <v>5.7</v>
      </c>
      <c r="E1052">
        <v>41.4</v>
      </c>
      <c r="F1052">
        <v>0</v>
      </c>
      <c r="G1052">
        <v>0</v>
      </c>
      <c r="H1052">
        <v>1</v>
      </c>
      <c r="I1052">
        <v>1.4</v>
      </c>
      <c r="J1052">
        <v>2016</v>
      </c>
      <c r="K1052">
        <v>11</v>
      </c>
      <c r="L1052" t="s">
        <v>11</v>
      </c>
      <c r="M1052">
        <f>SUM(Pharma_Sales_Data[[#This Row],[M01AB]:[R06]])</f>
        <v>57.225999999999999</v>
      </c>
      <c r="N1052" s="2">
        <f>Pharma_Sales_Data[[#This Row],[Total Drug Sales]]*150</f>
        <v>8583.9</v>
      </c>
      <c r="O1052" s="2">
        <f>Pharma_Sales_Data[[#This Row],[Total Revenue]]*0.3</f>
        <v>2575.1699999999996</v>
      </c>
      <c r="P1052" t="str">
        <f>IF(Pharma_Sales_Data[[#This Row],[Total Revenue]]&gt;20000,"High Value", IF(Pharma_Sales_Data[[#This Row],[Total Revenue]]&gt;=10000,"Medium Value","Low Value"))</f>
        <v>Low Value</v>
      </c>
    </row>
    <row r="1053" spans="1:16" x14ac:dyDescent="0.35">
      <c r="A1053" s="1">
        <v>42692</v>
      </c>
      <c r="B1053">
        <v>1.33</v>
      </c>
      <c r="C1053">
        <v>4.33</v>
      </c>
      <c r="D1053">
        <v>6.25</v>
      </c>
      <c r="E1053">
        <v>31</v>
      </c>
      <c r="F1053">
        <v>7</v>
      </c>
      <c r="G1053">
        <v>1</v>
      </c>
      <c r="H1053">
        <v>2</v>
      </c>
      <c r="I1053">
        <v>2</v>
      </c>
      <c r="J1053">
        <v>2016</v>
      </c>
      <c r="K1053">
        <v>11</v>
      </c>
      <c r="L1053" t="s">
        <v>12</v>
      </c>
      <c r="M1053">
        <f>SUM(Pharma_Sales_Data[[#This Row],[M01AB]:[R06]])</f>
        <v>54.91</v>
      </c>
      <c r="N1053" s="2">
        <f>Pharma_Sales_Data[[#This Row],[Total Drug Sales]]*150</f>
        <v>8236.5</v>
      </c>
      <c r="O1053" s="2">
        <f>Pharma_Sales_Data[[#This Row],[Total Revenue]]*0.3</f>
        <v>2470.9499999999998</v>
      </c>
      <c r="P1053" t="str">
        <f>IF(Pharma_Sales_Data[[#This Row],[Total Revenue]]&gt;20000,"High Value", IF(Pharma_Sales_Data[[#This Row],[Total Revenue]]&gt;=10000,"Medium Value","Low Value"))</f>
        <v>Low Value</v>
      </c>
    </row>
    <row r="1054" spans="1:16" x14ac:dyDescent="0.35">
      <c r="A1054" s="1">
        <v>42693</v>
      </c>
      <c r="B1054">
        <v>5</v>
      </c>
      <c r="C1054">
        <v>2.7</v>
      </c>
      <c r="D1054">
        <v>4</v>
      </c>
      <c r="E1054">
        <v>35.4</v>
      </c>
      <c r="F1054">
        <v>3</v>
      </c>
      <c r="G1054">
        <v>0</v>
      </c>
      <c r="H1054">
        <v>3</v>
      </c>
      <c r="I1054">
        <v>2</v>
      </c>
      <c r="J1054">
        <v>2016</v>
      </c>
      <c r="K1054">
        <v>11</v>
      </c>
      <c r="L1054" t="s">
        <v>13</v>
      </c>
      <c r="M1054">
        <f>SUM(Pharma_Sales_Data[[#This Row],[M01AB]:[R06]])</f>
        <v>55.099999999999994</v>
      </c>
      <c r="N1054" s="2">
        <f>Pharma_Sales_Data[[#This Row],[Total Drug Sales]]*150</f>
        <v>8265</v>
      </c>
      <c r="O1054" s="2">
        <f>Pharma_Sales_Data[[#This Row],[Total Revenue]]*0.3</f>
        <v>2479.5</v>
      </c>
      <c r="P1054" t="str">
        <f>IF(Pharma_Sales_Data[[#This Row],[Total Revenue]]&gt;20000,"High Value", IF(Pharma_Sales_Data[[#This Row],[Total Revenue]]&gt;=10000,"Medium Value","Low Value"))</f>
        <v>Low Value</v>
      </c>
    </row>
    <row r="1055" spans="1:16" x14ac:dyDescent="0.35">
      <c r="A1055" s="1">
        <v>42694</v>
      </c>
      <c r="B1055">
        <v>7</v>
      </c>
      <c r="C1055">
        <v>4.34</v>
      </c>
      <c r="D1055">
        <v>5</v>
      </c>
      <c r="E1055">
        <v>25.5</v>
      </c>
      <c r="F1055">
        <v>3</v>
      </c>
      <c r="G1055">
        <v>0</v>
      </c>
      <c r="H1055">
        <v>0</v>
      </c>
      <c r="I1055">
        <v>2</v>
      </c>
      <c r="J1055">
        <v>2016</v>
      </c>
      <c r="K1055">
        <v>11</v>
      </c>
      <c r="L1055" t="s">
        <v>14</v>
      </c>
      <c r="M1055">
        <f>SUM(Pharma_Sales_Data[[#This Row],[M01AB]:[R06]])</f>
        <v>46.84</v>
      </c>
      <c r="N1055" s="2">
        <f>Pharma_Sales_Data[[#This Row],[Total Drug Sales]]*150</f>
        <v>7026.0000000000009</v>
      </c>
      <c r="O1055" s="2">
        <f>Pharma_Sales_Data[[#This Row],[Total Revenue]]*0.3</f>
        <v>2107.8000000000002</v>
      </c>
      <c r="P1055" t="str">
        <f>IF(Pharma_Sales_Data[[#This Row],[Total Revenue]]&gt;20000,"High Value", IF(Pharma_Sales_Data[[#This Row],[Total Revenue]]&gt;=10000,"Medium Value","Low Value"))</f>
        <v>Low Value</v>
      </c>
    </row>
    <row r="1056" spans="1:16" x14ac:dyDescent="0.35">
      <c r="A1056" s="1">
        <v>42695</v>
      </c>
      <c r="B1056">
        <v>1.34</v>
      </c>
      <c r="C1056">
        <v>3.34</v>
      </c>
      <c r="D1056">
        <v>5.25</v>
      </c>
      <c r="E1056">
        <v>30</v>
      </c>
      <c r="F1056">
        <v>1</v>
      </c>
      <c r="G1056">
        <v>0</v>
      </c>
      <c r="H1056">
        <v>13</v>
      </c>
      <c r="I1056">
        <v>3</v>
      </c>
      <c r="J1056">
        <v>2016</v>
      </c>
      <c r="K1056">
        <v>11</v>
      </c>
      <c r="L1056" t="s">
        <v>15</v>
      </c>
      <c r="M1056">
        <f>SUM(Pharma_Sales_Data[[#This Row],[M01AB]:[R06]])</f>
        <v>56.93</v>
      </c>
      <c r="N1056" s="2">
        <f>Pharma_Sales_Data[[#This Row],[Total Drug Sales]]*150</f>
        <v>8539.5</v>
      </c>
      <c r="O1056" s="2">
        <f>Pharma_Sales_Data[[#This Row],[Total Revenue]]*0.3</f>
        <v>2561.85</v>
      </c>
      <c r="P1056" t="str">
        <f>IF(Pharma_Sales_Data[[#This Row],[Total Revenue]]&gt;20000,"High Value", IF(Pharma_Sales_Data[[#This Row],[Total Revenue]]&gt;=10000,"Medium Value","Low Value"))</f>
        <v>Low Value</v>
      </c>
    </row>
    <row r="1057" spans="1:16" x14ac:dyDescent="0.35">
      <c r="A1057" s="1">
        <v>42696</v>
      </c>
      <c r="B1057">
        <v>4.01</v>
      </c>
      <c r="C1057">
        <v>4.7030000000000003</v>
      </c>
      <c r="D1057">
        <v>1.1000000000000001</v>
      </c>
      <c r="E1057">
        <v>23</v>
      </c>
      <c r="F1057">
        <v>3</v>
      </c>
      <c r="G1057">
        <v>2</v>
      </c>
      <c r="H1057">
        <v>7</v>
      </c>
      <c r="I1057">
        <v>2</v>
      </c>
      <c r="J1057">
        <v>2016</v>
      </c>
      <c r="K1057">
        <v>11</v>
      </c>
      <c r="L1057" t="s">
        <v>16</v>
      </c>
      <c r="M1057">
        <f>SUM(Pharma_Sales_Data[[#This Row],[M01AB]:[R06]])</f>
        <v>46.813000000000002</v>
      </c>
      <c r="N1057" s="2">
        <f>Pharma_Sales_Data[[#This Row],[Total Drug Sales]]*150</f>
        <v>7021.9500000000007</v>
      </c>
      <c r="O1057" s="2">
        <f>Pharma_Sales_Data[[#This Row],[Total Revenue]]*0.3</f>
        <v>2106.585</v>
      </c>
      <c r="P1057" t="str">
        <f>IF(Pharma_Sales_Data[[#This Row],[Total Revenue]]&gt;20000,"High Value", IF(Pharma_Sales_Data[[#This Row],[Total Revenue]]&gt;=10000,"Medium Value","Low Value"))</f>
        <v>Low Value</v>
      </c>
    </row>
    <row r="1058" spans="1:16" x14ac:dyDescent="0.35">
      <c r="A1058" s="1">
        <v>42697</v>
      </c>
      <c r="B1058">
        <v>3</v>
      </c>
      <c r="C1058">
        <v>4.33</v>
      </c>
      <c r="D1058">
        <v>3.7</v>
      </c>
      <c r="E1058">
        <v>44.124000000000002</v>
      </c>
      <c r="F1058">
        <v>5</v>
      </c>
      <c r="G1058">
        <v>0</v>
      </c>
      <c r="H1058">
        <v>0</v>
      </c>
      <c r="I1058">
        <v>1</v>
      </c>
      <c r="J1058">
        <v>2016</v>
      </c>
      <c r="K1058">
        <v>11</v>
      </c>
      <c r="L1058" t="s">
        <v>17</v>
      </c>
      <c r="M1058">
        <f>SUM(Pharma_Sales_Data[[#This Row],[M01AB]:[R06]])</f>
        <v>61.154000000000003</v>
      </c>
      <c r="N1058" s="2">
        <f>Pharma_Sales_Data[[#This Row],[Total Drug Sales]]*150</f>
        <v>9173.1</v>
      </c>
      <c r="O1058" s="2">
        <f>Pharma_Sales_Data[[#This Row],[Total Revenue]]*0.3</f>
        <v>2751.93</v>
      </c>
      <c r="P1058" t="str">
        <f>IF(Pharma_Sales_Data[[#This Row],[Total Revenue]]&gt;20000,"High Value", IF(Pharma_Sales_Data[[#This Row],[Total Revenue]]&gt;=10000,"Medium Value","Low Value"))</f>
        <v>Low Value</v>
      </c>
    </row>
    <row r="1059" spans="1:16" x14ac:dyDescent="0.35">
      <c r="A1059" s="1">
        <v>42698</v>
      </c>
      <c r="B1059">
        <v>8.67</v>
      </c>
      <c r="C1059">
        <v>4.3330000000000002</v>
      </c>
      <c r="D1059">
        <v>6</v>
      </c>
      <c r="E1059">
        <v>28</v>
      </c>
      <c r="F1059">
        <v>2</v>
      </c>
      <c r="G1059">
        <v>0</v>
      </c>
      <c r="H1059">
        <v>10</v>
      </c>
      <c r="I1059">
        <v>3</v>
      </c>
      <c r="J1059">
        <v>2016</v>
      </c>
      <c r="K1059">
        <v>11</v>
      </c>
      <c r="L1059" t="s">
        <v>11</v>
      </c>
      <c r="M1059">
        <f>SUM(Pharma_Sales_Data[[#This Row],[M01AB]:[R06]])</f>
        <v>62.003</v>
      </c>
      <c r="N1059" s="2">
        <f>Pharma_Sales_Data[[#This Row],[Total Drug Sales]]*150</f>
        <v>9300.4500000000007</v>
      </c>
      <c r="O1059" s="2">
        <f>Pharma_Sales_Data[[#This Row],[Total Revenue]]*0.3</f>
        <v>2790.1350000000002</v>
      </c>
      <c r="P1059" t="str">
        <f>IF(Pharma_Sales_Data[[#This Row],[Total Revenue]]&gt;20000,"High Value", IF(Pharma_Sales_Data[[#This Row],[Total Revenue]]&gt;=10000,"Medium Value","Low Value"))</f>
        <v>Low Value</v>
      </c>
    </row>
    <row r="1060" spans="1:16" x14ac:dyDescent="0.35">
      <c r="A1060" s="1">
        <v>42699</v>
      </c>
      <c r="B1060">
        <v>7.34</v>
      </c>
      <c r="C1060">
        <v>5</v>
      </c>
      <c r="D1060">
        <v>7</v>
      </c>
      <c r="E1060">
        <v>21</v>
      </c>
      <c r="F1060">
        <v>20</v>
      </c>
      <c r="G1060">
        <v>4</v>
      </c>
      <c r="H1060">
        <v>5</v>
      </c>
      <c r="I1060">
        <v>1</v>
      </c>
      <c r="J1060">
        <v>2016</v>
      </c>
      <c r="K1060">
        <v>11</v>
      </c>
      <c r="L1060" t="s">
        <v>12</v>
      </c>
      <c r="M1060">
        <f>SUM(Pharma_Sales_Data[[#This Row],[M01AB]:[R06]])</f>
        <v>70.34</v>
      </c>
      <c r="N1060" s="2">
        <f>Pharma_Sales_Data[[#This Row],[Total Drug Sales]]*150</f>
        <v>10551</v>
      </c>
      <c r="O1060" s="2">
        <f>Pharma_Sales_Data[[#This Row],[Total Revenue]]*0.3</f>
        <v>3165.2999999999997</v>
      </c>
      <c r="P1060" t="str">
        <f>IF(Pharma_Sales_Data[[#This Row],[Total Revenue]]&gt;20000,"High Value", IF(Pharma_Sales_Data[[#This Row],[Total Revenue]]&gt;=10000,"Medium Value","Low Value"))</f>
        <v>Medium Value</v>
      </c>
    </row>
    <row r="1061" spans="1:16" x14ac:dyDescent="0.35">
      <c r="A1061" s="1">
        <v>42700</v>
      </c>
      <c r="B1061">
        <v>3.33</v>
      </c>
      <c r="C1061">
        <v>5</v>
      </c>
      <c r="D1061">
        <v>4</v>
      </c>
      <c r="E1061">
        <v>36</v>
      </c>
      <c r="F1061">
        <v>9</v>
      </c>
      <c r="G1061">
        <v>3</v>
      </c>
      <c r="H1061">
        <v>12</v>
      </c>
      <c r="I1061">
        <v>2</v>
      </c>
      <c r="J1061">
        <v>2016</v>
      </c>
      <c r="K1061">
        <v>11</v>
      </c>
      <c r="L1061" t="s">
        <v>13</v>
      </c>
      <c r="M1061">
        <f>SUM(Pharma_Sales_Data[[#This Row],[M01AB]:[R06]])</f>
        <v>74.33</v>
      </c>
      <c r="N1061" s="2">
        <f>Pharma_Sales_Data[[#This Row],[Total Drug Sales]]*150</f>
        <v>11149.5</v>
      </c>
      <c r="O1061" s="2">
        <f>Pharma_Sales_Data[[#This Row],[Total Revenue]]*0.3</f>
        <v>3344.85</v>
      </c>
      <c r="P1061" t="str">
        <f>IF(Pharma_Sales_Data[[#This Row],[Total Revenue]]&gt;20000,"High Value", IF(Pharma_Sales_Data[[#This Row],[Total Revenue]]&gt;=10000,"Medium Value","Low Value"))</f>
        <v>Medium Value</v>
      </c>
    </row>
    <row r="1062" spans="1:16" x14ac:dyDescent="0.35">
      <c r="A1062" s="1">
        <v>42701</v>
      </c>
      <c r="B1062">
        <v>9.33</v>
      </c>
      <c r="C1062">
        <v>5.6929999999999996</v>
      </c>
      <c r="D1062">
        <v>3.9</v>
      </c>
      <c r="E1062">
        <v>61</v>
      </c>
      <c r="F1062">
        <v>5</v>
      </c>
      <c r="G1062">
        <v>0</v>
      </c>
      <c r="H1062">
        <v>1</v>
      </c>
      <c r="I1062">
        <v>0</v>
      </c>
      <c r="J1062">
        <v>2016</v>
      </c>
      <c r="K1062">
        <v>11</v>
      </c>
      <c r="L1062" t="s">
        <v>14</v>
      </c>
      <c r="M1062">
        <f>SUM(Pharma_Sales_Data[[#This Row],[M01AB]:[R06]])</f>
        <v>85.923000000000002</v>
      </c>
      <c r="N1062" s="2">
        <f>Pharma_Sales_Data[[#This Row],[Total Drug Sales]]*150</f>
        <v>12888.45</v>
      </c>
      <c r="O1062" s="2">
        <f>Pharma_Sales_Data[[#This Row],[Total Revenue]]*0.3</f>
        <v>3866.5349999999999</v>
      </c>
      <c r="P1062" t="str">
        <f>IF(Pharma_Sales_Data[[#This Row],[Total Revenue]]&gt;20000,"High Value", IF(Pharma_Sales_Data[[#This Row],[Total Revenue]]&gt;=10000,"Medium Value","Low Value"))</f>
        <v>Medium Value</v>
      </c>
    </row>
    <row r="1063" spans="1:16" x14ac:dyDescent="0.35">
      <c r="A1063" s="1">
        <v>42702</v>
      </c>
      <c r="B1063">
        <v>4.5</v>
      </c>
      <c r="C1063">
        <v>1.363</v>
      </c>
      <c r="D1063">
        <v>2.0499999999999998</v>
      </c>
      <c r="E1063">
        <v>23</v>
      </c>
      <c r="F1063">
        <v>5</v>
      </c>
      <c r="G1063">
        <v>0</v>
      </c>
      <c r="H1063">
        <v>12</v>
      </c>
      <c r="I1063">
        <v>0</v>
      </c>
      <c r="J1063">
        <v>2016</v>
      </c>
      <c r="K1063">
        <v>11</v>
      </c>
      <c r="L1063" t="s">
        <v>15</v>
      </c>
      <c r="M1063">
        <f>SUM(Pharma_Sales_Data[[#This Row],[M01AB]:[R06]])</f>
        <v>47.912999999999997</v>
      </c>
      <c r="N1063" s="2">
        <f>Pharma_Sales_Data[[#This Row],[Total Drug Sales]]*150</f>
        <v>7186.95</v>
      </c>
      <c r="O1063" s="2">
        <f>Pharma_Sales_Data[[#This Row],[Total Revenue]]*0.3</f>
        <v>2156.085</v>
      </c>
      <c r="P1063" t="str">
        <f>IF(Pharma_Sales_Data[[#This Row],[Total Revenue]]&gt;20000,"High Value", IF(Pharma_Sales_Data[[#This Row],[Total Revenue]]&gt;=10000,"Medium Value","Low Value"))</f>
        <v>Low Value</v>
      </c>
    </row>
    <row r="1064" spans="1:16" x14ac:dyDescent="0.35">
      <c r="A1064" s="1">
        <v>42703</v>
      </c>
      <c r="B1064">
        <v>5.68</v>
      </c>
      <c r="C1064">
        <v>5.67</v>
      </c>
      <c r="D1064">
        <v>3</v>
      </c>
      <c r="E1064">
        <v>45.6</v>
      </c>
      <c r="F1064">
        <v>6</v>
      </c>
      <c r="G1064">
        <v>2</v>
      </c>
      <c r="H1064">
        <v>0</v>
      </c>
      <c r="I1064">
        <v>0</v>
      </c>
      <c r="J1064">
        <v>2016</v>
      </c>
      <c r="K1064">
        <v>11</v>
      </c>
      <c r="L1064" t="s">
        <v>16</v>
      </c>
      <c r="M1064">
        <f>SUM(Pharma_Sales_Data[[#This Row],[M01AB]:[R06]])</f>
        <v>67.95</v>
      </c>
      <c r="N1064" s="2">
        <f>Pharma_Sales_Data[[#This Row],[Total Drug Sales]]*150</f>
        <v>10192.5</v>
      </c>
      <c r="O1064" s="2">
        <f>Pharma_Sales_Data[[#This Row],[Total Revenue]]*0.3</f>
        <v>3057.75</v>
      </c>
      <c r="P1064" t="str">
        <f>IF(Pharma_Sales_Data[[#This Row],[Total Revenue]]&gt;20000,"High Value", IF(Pharma_Sales_Data[[#This Row],[Total Revenue]]&gt;=10000,"Medium Value","Low Value"))</f>
        <v>Medium Value</v>
      </c>
    </row>
    <row r="1065" spans="1:16" x14ac:dyDescent="0.35">
      <c r="A1065" s="1">
        <v>42704</v>
      </c>
      <c r="B1065">
        <v>3.33</v>
      </c>
      <c r="C1065">
        <v>2.99</v>
      </c>
      <c r="D1065">
        <v>4.3</v>
      </c>
      <c r="E1065">
        <v>24.6</v>
      </c>
      <c r="F1065">
        <v>13</v>
      </c>
      <c r="G1065">
        <v>0</v>
      </c>
      <c r="H1065">
        <v>7</v>
      </c>
      <c r="I1065">
        <v>0</v>
      </c>
      <c r="J1065">
        <v>2016</v>
      </c>
      <c r="K1065">
        <v>11</v>
      </c>
      <c r="L1065" t="s">
        <v>17</v>
      </c>
      <c r="M1065">
        <f>SUM(Pharma_Sales_Data[[#This Row],[M01AB]:[R06]])</f>
        <v>55.22</v>
      </c>
      <c r="N1065" s="2">
        <f>Pharma_Sales_Data[[#This Row],[Total Drug Sales]]*150</f>
        <v>8283</v>
      </c>
      <c r="O1065" s="2">
        <f>Pharma_Sales_Data[[#This Row],[Total Revenue]]*0.3</f>
        <v>2484.9</v>
      </c>
      <c r="P1065" t="str">
        <f>IF(Pharma_Sales_Data[[#This Row],[Total Revenue]]&gt;20000,"High Value", IF(Pharma_Sales_Data[[#This Row],[Total Revenue]]&gt;=10000,"Medium Value","Low Value"))</f>
        <v>Low Value</v>
      </c>
    </row>
    <row r="1066" spans="1:16" x14ac:dyDescent="0.35">
      <c r="A1066" s="1">
        <v>42705</v>
      </c>
      <c r="B1066">
        <v>4.5</v>
      </c>
      <c r="C1066">
        <v>2.363</v>
      </c>
      <c r="D1066">
        <v>1.5</v>
      </c>
      <c r="E1066">
        <v>55.661999999999999</v>
      </c>
      <c r="F1066">
        <v>8</v>
      </c>
      <c r="G1066">
        <v>0</v>
      </c>
      <c r="H1066">
        <v>9</v>
      </c>
      <c r="I1066">
        <v>0</v>
      </c>
      <c r="J1066">
        <v>2016</v>
      </c>
      <c r="K1066">
        <v>12</v>
      </c>
      <c r="L1066" t="s">
        <v>11</v>
      </c>
      <c r="M1066">
        <f>SUM(Pharma_Sales_Data[[#This Row],[M01AB]:[R06]])</f>
        <v>81.025000000000006</v>
      </c>
      <c r="N1066" s="2">
        <f>Pharma_Sales_Data[[#This Row],[Total Drug Sales]]*150</f>
        <v>12153.75</v>
      </c>
      <c r="O1066" s="2">
        <f>Pharma_Sales_Data[[#This Row],[Total Revenue]]*0.3</f>
        <v>3646.125</v>
      </c>
      <c r="P1066" t="str">
        <f>IF(Pharma_Sales_Data[[#This Row],[Total Revenue]]&gt;20000,"High Value", IF(Pharma_Sales_Data[[#This Row],[Total Revenue]]&gt;=10000,"Medium Value","Low Value"))</f>
        <v>Medium Value</v>
      </c>
    </row>
    <row r="1067" spans="1:16" x14ac:dyDescent="0.35">
      <c r="A1067" s="1">
        <v>42706</v>
      </c>
      <c r="B1067">
        <v>6</v>
      </c>
      <c r="C1067">
        <v>1.0760000000000001</v>
      </c>
      <c r="D1067">
        <v>3.2</v>
      </c>
      <c r="E1067">
        <v>43</v>
      </c>
      <c r="F1067">
        <v>14</v>
      </c>
      <c r="G1067">
        <v>0</v>
      </c>
      <c r="H1067">
        <v>26</v>
      </c>
      <c r="I1067">
        <v>0.2</v>
      </c>
      <c r="J1067">
        <v>2016</v>
      </c>
      <c r="K1067">
        <v>12</v>
      </c>
      <c r="L1067" t="s">
        <v>12</v>
      </c>
      <c r="M1067">
        <f>SUM(Pharma_Sales_Data[[#This Row],[M01AB]:[R06]])</f>
        <v>93.475999999999999</v>
      </c>
      <c r="N1067" s="2">
        <f>Pharma_Sales_Data[[#This Row],[Total Drug Sales]]*150</f>
        <v>14021.4</v>
      </c>
      <c r="O1067" s="2">
        <f>Pharma_Sales_Data[[#This Row],[Total Revenue]]*0.3</f>
        <v>4206.42</v>
      </c>
      <c r="P1067" t="str">
        <f>IF(Pharma_Sales_Data[[#This Row],[Total Revenue]]&gt;20000,"High Value", IF(Pharma_Sales_Data[[#This Row],[Total Revenue]]&gt;=10000,"Medium Value","Low Value"))</f>
        <v>Medium Value</v>
      </c>
    </row>
    <row r="1068" spans="1:16" x14ac:dyDescent="0.35">
      <c r="A1068" s="1">
        <v>42707</v>
      </c>
      <c r="B1068">
        <v>3.17</v>
      </c>
      <c r="C1068">
        <v>2.68</v>
      </c>
      <c r="D1068">
        <v>3</v>
      </c>
      <c r="E1068">
        <v>43.3</v>
      </c>
      <c r="F1068">
        <v>2</v>
      </c>
      <c r="G1068">
        <v>0</v>
      </c>
      <c r="H1068">
        <v>1</v>
      </c>
      <c r="I1068">
        <v>4</v>
      </c>
      <c r="J1068">
        <v>2016</v>
      </c>
      <c r="K1068">
        <v>12</v>
      </c>
      <c r="L1068" t="s">
        <v>13</v>
      </c>
      <c r="M1068">
        <f>SUM(Pharma_Sales_Data[[#This Row],[M01AB]:[R06]])</f>
        <v>59.15</v>
      </c>
      <c r="N1068" s="2">
        <f>Pharma_Sales_Data[[#This Row],[Total Drug Sales]]*150</f>
        <v>8872.5</v>
      </c>
      <c r="O1068" s="2">
        <f>Pharma_Sales_Data[[#This Row],[Total Revenue]]*0.3</f>
        <v>2661.75</v>
      </c>
      <c r="P1068" t="str">
        <f>IF(Pharma_Sales_Data[[#This Row],[Total Revenue]]&gt;20000,"High Value", IF(Pharma_Sales_Data[[#This Row],[Total Revenue]]&gt;=10000,"Medium Value","Low Value"))</f>
        <v>Low Value</v>
      </c>
    </row>
    <row r="1069" spans="1:16" x14ac:dyDescent="0.35">
      <c r="A1069" s="1">
        <v>42708</v>
      </c>
      <c r="B1069">
        <v>7</v>
      </c>
      <c r="C1069">
        <v>9.1229999999999993</v>
      </c>
      <c r="D1069">
        <v>2.9</v>
      </c>
      <c r="E1069">
        <v>67</v>
      </c>
      <c r="F1069">
        <v>4</v>
      </c>
      <c r="G1069">
        <v>0</v>
      </c>
      <c r="H1069">
        <v>0</v>
      </c>
      <c r="I1069">
        <v>0</v>
      </c>
      <c r="J1069">
        <v>2016</v>
      </c>
      <c r="K1069">
        <v>12</v>
      </c>
      <c r="L1069" t="s">
        <v>14</v>
      </c>
      <c r="M1069">
        <f>SUM(Pharma_Sales_Data[[#This Row],[M01AB]:[R06]])</f>
        <v>90.022999999999996</v>
      </c>
      <c r="N1069" s="2">
        <f>Pharma_Sales_Data[[#This Row],[Total Drug Sales]]*150</f>
        <v>13503.449999999999</v>
      </c>
      <c r="O1069" s="2">
        <f>Pharma_Sales_Data[[#This Row],[Total Revenue]]*0.3</f>
        <v>4051.0349999999994</v>
      </c>
      <c r="P1069" t="str">
        <f>IF(Pharma_Sales_Data[[#This Row],[Total Revenue]]&gt;20000,"High Value", IF(Pharma_Sales_Data[[#This Row],[Total Revenue]]&gt;=10000,"Medium Value","Low Value"))</f>
        <v>Medium Value</v>
      </c>
    </row>
    <row r="1070" spans="1:16" x14ac:dyDescent="0.35">
      <c r="A1070" s="1">
        <v>42709</v>
      </c>
      <c r="B1070">
        <v>9.5</v>
      </c>
      <c r="C1070">
        <v>1.68</v>
      </c>
      <c r="D1070">
        <v>4</v>
      </c>
      <c r="E1070">
        <v>23</v>
      </c>
      <c r="F1070">
        <v>6</v>
      </c>
      <c r="G1070">
        <v>1</v>
      </c>
      <c r="H1070">
        <v>13</v>
      </c>
      <c r="I1070">
        <v>2</v>
      </c>
      <c r="J1070">
        <v>2016</v>
      </c>
      <c r="K1070">
        <v>12</v>
      </c>
      <c r="L1070" t="s">
        <v>15</v>
      </c>
      <c r="M1070">
        <f>SUM(Pharma_Sales_Data[[#This Row],[M01AB]:[R06]])</f>
        <v>60.18</v>
      </c>
      <c r="N1070" s="2">
        <f>Pharma_Sales_Data[[#This Row],[Total Drug Sales]]*150</f>
        <v>9027</v>
      </c>
      <c r="O1070" s="2">
        <f>Pharma_Sales_Data[[#This Row],[Total Revenue]]*0.3</f>
        <v>2708.1</v>
      </c>
      <c r="P1070" t="str">
        <f>IF(Pharma_Sales_Data[[#This Row],[Total Revenue]]&gt;20000,"High Value", IF(Pharma_Sales_Data[[#This Row],[Total Revenue]]&gt;=10000,"Medium Value","Low Value"))</f>
        <v>Low Value</v>
      </c>
    </row>
    <row r="1071" spans="1:16" x14ac:dyDescent="0.35">
      <c r="A1071" s="1">
        <v>42710</v>
      </c>
      <c r="B1071">
        <v>6</v>
      </c>
      <c r="C1071">
        <v>5.09</v>
      </c>
      <c r="D1071">
        <v>4.4000000000000004</v>
      </c>
      <c r="E1071">
        <v>27.2</v>
      </c>
      <c r="F1071">
        <v>4</v>
      </c>
      <c r="G1071">
        <v>0</v>
      </c>
      <c r="H1071">
        <v>20</v>
      </c>
      <c r="I1071">
        <v>1</v>
      </c>
      <c r="J1071">
        <v>2016</v>
      </c>
      <c r="K1071">
        <v>12</v>
      </c>
      <c r="L1071" t="s">
        <v>16</v>
      </c>
      <c r="M1071">
        <f>SUM(Pharma_Sales_Data[[#This Row],[M01AB]:[R06]])</f>
        <v>67.69</v>
      </c>
      <c r="N1071" s="2">
        <f>Pharma_Sales_Data[[#This Row],[Total Drug Sales]]*150</f>
        <v>10153.5</v>
      </c>
      <c r="O1071" s="2">
        <f>Pharma_Sales_Data[[#This Row],[Total Revenue]]*0.3</f>
        <v>3046.0499999999997</v>
      </c>
      <c r="P1071" t="str">
        <f>IF(Pharma_Sales_Data[[#This Row],[Total Revenue]]&gt;20000,"High Value", IF(Pharma_Sales_Data[[#This Row],[Total Revenue]]&gt;=10000,"Medium Value","Low Value"))</f>
        <v>Medium Value</v>
      </c>
    </row>
    <row r="1072" spans="1:16" x14ac:dyDescent="0.35">
      <c r="A1072" s="1">
        <v>42711</v>
      </c>
      <c r="B1072">
        <v>4.34</v>
      </c>
      <c r="C1072">
        <v>2.726</v>
      </c>
      <c r="D1072">
        <v>1.7</v>
      </c>
      <c r="E1072">
        <v>47</v>
      </c>
      <c r="F1072">
        <v>8</v>
      </c>
      <c r="G1072">
        <v>3</v>
      </c>
      <c r="H1072">
        <v>7</v>
      </c>
      <c r="I1072">
        <v>3</v>
      </c>
      <c r="J1072">
        <v>2016</v>
      </c>
      <c r="K1072">
        <v>12</v>
      </c>
      <c r="L1072" t="s">
        <v>17</v>
      </c>
      <c r="M1072">
        <f>SUM(Pharma_Sales_Data[[#This Row],[M01AB]:[R06]])</f>
        <v>76.765999999999991</v>
      </c>
      <c r="N1072" s="2">
        <f>Pharma_Sales_Data[[#This Row],[Total Drug Sales]]*150</f>
        <v>11514.899999999998</v>
      </c>
      <c r="O1072" s="2">
        <f>Pharma_Sales_Data[[#This Row],[Total Revenue]]*0.3</f>
        <v>3454.4699999999993</v>
      </c>
      <c r="P1072" t="str">
        <f>IF(Pharma_Sales_Data[[#This Row],[Total Revenue]]&gt;20000,"High Value", IF(Pharma_Sales_Data[[#This Row],[Total Revenue]]&gt;=10000,"Medium Value","Low Value"))</f>
        <v>Medium Value</v>
      </c>
    </row>
    <row r="1073" spans="1:16" x14ac:dyDescent="0.35">
      <c r="A1073" s="1">
        <v>42712</v>
      </c>
      <c r="B1073">
        <v>5.67</v>
      </c>
      <c r="C1073">
        <v>1.67</v>
      </c>
      <c r="D1073">
        <v>5</v>
      </c>
      <c r="E1073">
        <v>35.700000000000003</v>
      </c>
      <c r="F1073">
        <v>9</v>
      </c>
      <c r="G1073">
        <v>0</v>
      </c>
      <c r="H1073">
        <v>2</v>
      </c>
      <c r="I1073">
        <v>0</v>
      </c>
      <c r="J1073">
        <v>2016</v>
      </c>
      <c r="K1073">
        <v>12</v>
      </c>
      <c r="L1073" t="s">
        <v>11</v>
      </c>
      <c r="M1073">
        <f>SUM(Pharma_Sales_Data[[#This Row],[M01AB]:[R06]])</f>
        <v>59.040000000000006</v>
      </c>
      <c r="N1073" s="2">
        <f>Pharma_Sales_Data[[#This Row],[Total Drug Sales]]*150</f>
        <v>8856.0000000000018</v>
      </c>
      <c r="O1073" s="2">
        <f>Pharma_Sales_Data[[#This Row],[Total Revenue]]*0.3</f>
        <v>2656.8000000000006</v>
      </c>
      <c r="P1073" t="str">
        <f>IF(Pharma_Sales_Data[[#This Row],[Total Revenue]]&gt;20000,"High Value", IF(Pharma_Sales_Data[[#This Row],[Total Revenue]]&gt;=10000,"Medium Value","Low Value"))</f>
        <v>Low Value</v>
      </c>
    </row>
    <row r="1074" spans="1:16" x14ac:dyDescent="0.35">
      <c r="A1074" s="1">
        <v>42713</v>
      </c>
      <c r="B1074">
        <v>5.66</v>
      </c>
      <c r="C1074">
        <v>1.67</v>
      </c>
      <c r="D1074">
        <v>4</v>
      </c>
      <c r="E1074">
        <v>35.061999999999998</v>
      </c>
      <c r="F1074">
        <v>2</v>
      </c>
      <c r="G1074">
        <v>0</v>
      </c>
      <c r="H1074">
        <v>0</v>
      </c>
      <c r="I1074">
        <v>2</v>
      </c>
      <c r="J1074">
        <v>2016</v>
      </c>
      <c r="K1074">
        <v>12</v>
      </c>
      <c r="L1074" t="s">
        <v>12</v>
      </c>
      <c r="M1074">
        <f>SUM(Pharma_Sales_Data[[#This Row],[M01AB]:[R06]])</f>
        <v>50.391999999999996</v>
      </c>
      <c r="N1074" s="2">
        <f>Pharma_Sales_Data[[#This Row],[Total Drug Sales]]*150</f>
        <v>7558.7999999999993</v>
      </c>
      <c r="O1074" s="2">
        <f>Pharma_Sales_Data[[#This Row],[Total Revenue]]*0.3</f>
        <v>2267.64</v>
      </c>
      <c r="P1074" t="str">
        <f>IF(Pharma_Sales_Data[[#This Row],[Total Revenue]]&gt;20000,"High Value", IF(Pharma_Sales_Data[[#This Row],[Total Revenue]]&gt;=10000,"Medium Value","Low Value"))</f>
        <v>Low Value</v>
      </c>
    </row>
    <row r="1075" spans="1:16" x14ac:dyDescent="0.35">
      <c r="A1075" s="1">
        <v>42714</v>
      </c>
      <c r="B1075">
        <v>7.34</v>
      </c>
      <c r="C1075">
        <v>6.33</v>
      </c>
      <c r="D1075">
        <v>10.1</v>
      </c>
      <c r="E1075">
        <v>45.4</v>
      </c>
      <c r="F1075">
        <v>1</v>
      </c>
      <c r="G1075">
        <v>0</v>
      </c>
      <c r="H1075">
        <v>15</v>
      </c>
      <c r="I1075">
        <v>2</v>
      </c>
      <c r="J1075">
        <v>2016</v>
      </c>
      <c r="K1075">
        <v>12</v>
      </c>
      <c r="L1075" t="s">
        <v>13</v>
      </c>
      <c r="M1075">
        <f>SUM(Pharma_Sales_Data[[#This Row],[M01AB]:[R06]])</f>
        <v>87.17</v>
      </c>
      <c r="N1075" s="2">
        <f>Pharma_Sales_Data[[#This Row],[Total Drug Sales]]*150</f>
        <v>13075.5</v>
      </c>
      <c r="O1075" s="2">
        <f>Pharma_Sales_Data[[#This Row],[Total Revenue]]*0.3</f>
        <v>3922.6499999999996</v>
      </c>
      <c r="P1075" t="str">
        <f>IF(Pharma_Sales_Data[[#This Row],[Total Revenue]]&gt;20000,"High Value", IF(Pharma_Sales_Data[[#This Row],[Total Revenue]]&gt;=10000,"Medium Value","Low Value"))</f>
        <v>Medium Value</v>
      </c>
    </row>
    <row r="1076" spans="1:16" x14ac:dyDescent="0.35">
      <c r="A1076" s="1">
        <v>42715</v>
      </c>
      <c r="B1076">
        <v>3.34</v>
      </c>
      <c r="C1076">
        <v>4.726</v>
      </c>
      <c r="D1076">
        <v>8.5500000000000007</v>
      </c>
      <c r="E1076">
        <v>62.061999999999998</v>
      </c>
      <c r="F1076">
        <v>7</v>
      </c>
      <c r="G1076">
        <v>0</v>
      </c>
      <c r="H1076">
        <v>14</v>
      </c>
      <c r="I1076">
        <v>1</v>
      </c>
      <c r="J1076">
        <v>2016</v>
      </c>
      <c r="K1076">
        <v>12</v>
      </c>
      <c r="L1076" t="s">
        <v>14</v>
      </c>
      <c r="M1076">
        <f>SUM(Pharma_Sales_Data[[#This Row],[M01AB]:[R06]])</f>
        <v>100.678</v>
      </c>
      <c r="N1076" s="2">
        <f>Pharma_Sales_Data[[#This Row],[Total Drug Sales]]*150</f>
        <v>15101.699999999999</v>
      </c>
      <c r="O1076" s="2">
        <f>Pharma_Sales_Data[[#This Row],[Total Revenue]]*0.3</f>
        <v>4530.5099999999993</v>
      </c>
      <c r="P1076" t="str">
        <f>IF(Pharma_Sales_Data[[#This Row],[Total Revenue]]&gt;20000,"High Value", IF(Pharma_Sales_Data[[#This Row],[Total Revenue]]&gt;=10000,"Medium Value","Low Value"))</f>
        <v>Medium Value</v>
      </c>
    </row>
    <row r="1077" spans="1:16" x14ac:dyDescent="0.35">
      <c r="A1077" s="1">
        <v>42716</v>
      </c>
      <c r="B1077">
        <v>3.66</v>
      </c>
      <c r="C1077">
        <v>2.4289999999999998</v>
      </c>
      <c r="D1077">
        <v>3.1</v>
      </c>
      <c r="E1077">
        <v>44.5</v>
      </c>
      <c r="F1077">
        <v>28.333333329999999</v>
      </c>
      <c r="G1077">
        <v>3</v>
      </c>
      <c r="H1077">
        <v>21</v>
      </c>
      <c r="I1077">
        <v>4</v>
      </c>
      <c r="J1077">
        <v>2016</v>
      </c>
      <c r="K1077">
        <v>12</v>
      </c>
      <c r="L1077" t="s">
        <v>15</v>
      </c>
      <c r="M1077">
        <f>SUM(Pharma_Sales_Data[[#This Row],[M01AB]:[R06]])</f>
        <v>110.02233333</v>
      </c>
      <c r="N1077" s="2">
        <f>Pharma_Sales_Data[[#This Row],[Total Drug Sales]]*150</f>
        <v>16503.349999499998</v>
      </c>
      <c r="O1077" s="2">
        <f>Pharma_Sales_Data[[#This Row],[Total Revenue]]*0.3</f>
        <v>4951.004999849999</v>
      </c>
      <c r="P1077" t="str">
        <f>IF(Pharma_Sales_Data[[#This Row],[Total Revenue]]&gt;20000,"High Value", IF(Pharma_Sales_Data[[#This Row],[Total Revenue]]&gt;=10000,"Medium Value","Low Value"))</f>
        <v>Medium Value</v>
      </c>
    </row>
    <row r="1078" spans="1:16" x14ac:dyDescent="0.35">
      <c r="A1078" s="1">
        <v>42717</v>
      </c>
      <c r="B1078">
        <v>1</v>
      </c>
      <c r="C1078">
        <v>4</v>
      </c>
      <c r="D1078">
        <v>5.0999999999999996</v>
      </c>
      <c r="E1078">
        <v>43.6</v>
      </c>
      <c r="F1078">
        <v>0</v>
      </c>
      <c r="G1078">
        <v>0</v>
      </c>
      <c r="H1078">
        <v>18</v>
      </c>
      <c r="I1078">
        <v>0</v>
      </c>
      <c r="J1078">
        <v>2016</v>
      </c>
      <c r="K1078">
        <v>12</v>
      </c>
      <c r="L1078" t="s">
        <v>16</v>
      </c>
      <c r="M1078">
        <f>SUM(Pharma_Sales_Data[[#This Row],[M01AB]:[R06]])</f>
        <v>71.7</v>
      </c>
      <c r="N1078" s="2">
        <f>Pharma_Sales_Data[[#This Row],[Total Drug Sales]]*150</f>
        <v>10755</v>
      </c>
      <c r="O1078" s="2">
        <f>Pharma_Sales_Data[[#This Row],[Total Revenue]]*0.3</f>
        <v>3226.5</v>
      </c>
      <c r="P1078" t="str">
        <f>IF(Pharma_Sales_Data[[#This Row],[Total Revenue]]&gt;20000,"High Value", IF(Pharma_Sales_Data[[#This Row],[Total Revenue]]&gt;=10000,"Medium Value","Low Value"))</f>
        <v>Medium Value</v>
      </c>
    </row>
    <row r="1079" spans="1:16" x14ac:dyDescent="0.35">
      <c r="A1079" s="1">
        <v>42718</v>
      </c>
      <c r="B1079">
        <v>5.83</v>
      </c>
      <c r="C1079">
        <v>3.78</v>
      </c>
      <c r="D1079">
        <v>5.65</v>
      </c>
      <c r="E1079">
        <v>32.200000000000003</v>
      </c>
      <c r="F1079">
        <v>21</v>
      </c>
      <c r="G1079">
        <v>0</v>
      </c>
      <c r="H1079">
        <v>10</v>
      </c>
      <c r="I1079">
        <v>1.2</v>
      </c>
      <c r="J1079">
        <v>2016</v>
      </c>
      <c r="K1079">
        <v>12</v>
      </c>
      <c r="L1079" t="s">
        <v>17</v>
      </c>
      <c r="M1079">
        <f>SUM(Pharma_Sales_Data[[#This Row],[M01AB]:[R06]])</f>
        <v>79.660000000000011</v>
      </c>
      <c r="N1079" s="2">
        <f>Pharma_Sales_Data[[#This Row],[Total Drug Sales]]*150</f>
        <v>11949.000000000002</v>
      </c>
      <c r="O1079" s="2">
        <f>Pharma_Sales_Data[[#This Row],[Total Revenue]]*0.3</f>
        <v>3584.7000000000003</v>
      </c>
      <c r="P1079" t="str">
        <f>IF(Pharma_Sales_Data[[#This Row],[Total Revenue]]&gt;20000,"High Value", IF(Pharma_Sales_Data[[#This Row],[Total Revenue]]&gt;=10000,"Medium Value","Low Value"))</f>
        <v>Medium Value</v>
      </c>
    </row>
    <row r="1080" spans="1:16" x14ac:dyDescent="0.35">
      <c r="A1080" s="1">
        <v>42719</v>
      </c>
      <c r="B1080">
        <v>9.66</v>
      </c>
      <c r="C1080">
        <v>3.33</v>
      </c>
      <c r="D1080">
        <v>1</v>
      </c>
      <c r="E1080">
        <v>22.8</v>
      </c>
      <c r="F1080">
        <v>8</v>
      </c>
      <c r="G1080">
        <v>0</v>
      </c>
      <c r="H1080">
        <v>5</v>
      </c>
      <c r="I1080">
        <v>1</v>
      </c>
      <c r="J1080">
        <v>2016</v>
      </c>
      <c r="K1080">
        <v>12</v>
      </c>
      <c r="L1080" t="s">
        <v>11</v>
      </c>
      <c r="M1080">
        <f>SUM(Pharma_Sales_Data[[#This Row],[M01AB]:[R06]])</f>
        <v>50.79</v>
      </c>
      <c r="N1080" s="2">
        <f>Pharma_Sales_Data[[#This Row],[Total Drug Sales]]*150</f>
        <v>7618.5</v>
      </c>
      <c r="O1080" s="2">
        <f>Pharma_Sales_Data[[#This Row],[Total Revenue]]*0.3</f>
        <v>2285.5499999999997</v>
      </c>
      <c r="P1080" t="str">
        <f>IF(Pharma_Sales_Data[[#This Row],[Total Revenue]]&gt;20000,"High Value", IF(Pharma_Sales_Data[[#This Row],[Total Revenue]]&gt;=10000,"Medium Value","Low Value"))</f>
        <v>Low Value</v>
      </c>
    </row>
    <row r="1081" spans="1:16" x14ac:dyDescent="0.35">
      <c r="A1081" s="1">
        <v>42720</v>
      </c>
      <c r="B1081">
        <v>7.33</v>
      </c>
      <c r="C1081">
        <v>6.32</v>
      </c>
      <c r="D1081">
        <v>2.2000000000000002</v>
      </c>
      <c r="E1081">
        <v>39.774999999999999</v>
      </c>
      <c r="F1081">
        <v>8</v>
      </c>
      <c r="G1081">
        <v>3</v>
      </c>
      <c r="H1081">
        <v>23</v>
      </c>
      <c r="I1081">
        <v>1</v>
      </c>
      <c r="J1081">
        <v>2016</v>
      </c>
      <c r="K1081">
        <v>12</v>
      </c>
      <c r="L1081" t="s">
        <v>12</v>
      </c>
      <c r="M1081">
        <f>SUM(Pharma_Sales_Data[[#This Row],[M01AB]:[R06]])</f>
        <v>90.625</v>
      </c>
      <c r="N1081" s="2">
        <f>Pharma_Sales_Data[[#This Row],[Total Drug Sales]]*150</f>
        <v>13593.75</v>
      </c>
      <c r="O1081" s="2">
        <f>Pharma_Sales_Data[[#This Row],[Total Revenue]]*0.3</f>
        <v>4078.125</v>
      </c>
      <c r="P1081" t="str">
        <f>IF(Pharma_Sales_Data[[#This Row],[Total Revenue]]&gt;20000,"High Value", IF(Pharma_Sales_Data[[#This Row],[Total Revenue]]&gt;=10000,"Medium Value","Low Value"))</f>
        <v>Medium Value</v>
      </c>
    </row>
    <row r="1082" spans="1:16" x14ac:dyDescent="0.35">
      <c r="A1082" s="1">
        <v>42721</v>
      </c>
      <c r="B1082">
        <v>5.99</v>
      </c>
      <c r="C1082">
        <v>2.66</v>
      </c>
      <c r="D1082">
        <v>4.1500000000000004</v>
      </c>
      <c r="E1082">
        <v>59.95</v>
      </c>
      <c r="F1082">
        <v>10</v>
      </c>
      <c r="G1082">
        <v>0</v>
      </c>
      <c r="H1082">
        <v>6</v>
      </c>
      <c r="I1082">
        <v>1</v>
      </c>
      <c r="J1082">
        <v>2016</v>
      </c>
      <c r="K1082">
        <v>12</v>
      </c>
      <c r="L1082" t="s">
        <v>13</v>
      </c>
      <c r="M1082">
        <f>SUM(Pharma_Sales_Data[[#This Row],[M01AB]:[R06]])</f>
        <v>89.75</v>
      </c>
      <c r="N1082" s="2">
        <f>Pharma_Sales_Data[[#This Row],[Total Drug Sales]]*150</f>
        <v>13462.5</v>
      </c>
      <c r="O1082" s="2">
        <f>Pharma_Sales_Data[[#This Row],[Total Revenue]]*0.3</f>
        <v>4038.75</v>
      </c>
      <c r="P1082" t="str">
        <f>IF(Pharma_Sales_Data[[#This Row],[Total Revenue]]&gt;20000,"High Value", IF(Pharma_Sales_Data[[#This Row],[Total Revenue]]&gt;=10000,"Medium Value","Low Value"))</f>
        <v>Medium Value</v>
      </c>
    </row>
    <row r="1083" spans="1:16" x14ac:dyDescent="0.35">
      <c r="A1083" s="1">
        <v>42722</v>
      </c>
      <c r="B1083">
        <v>1.67</v>
      </c>
      <c r="C1083">
        <v>5.0199999999999996</v>
      </c>
      <c r="D1083">
        <v>4.2</v>
      </c>
      <c r="E1083">
        <v>60.7</v>
      </c>
      <c r="F1083">
        <v>13</v>
      </c>
      <c r="G1083">
        <v>0</v>
      </c>
      <c r="H1083">
        <v>5</v>
      </c>
      <c r="I1083">
        <v>1</v>
      </c>
      <c r="J1083">
        <v>2016</v>
      </c>
      <c r="K1083">
        <v>12</v>
      </c>
      <c r="L1083" t="s">
        <v>14</v>
      </c>
      <c r="M1083">
        <f>SUM(Pharma_Sales_Data[[#This Row],[M01AB]:[R06]])</f>
        <v>90.59</v>
      </c>
      <c r="N1083" s="2">
        <f>Pharma_Sales_Data[[#This Row],[Total Drug Sales]]*150</f>
        <v>13588.5</v>
      </c>
      <c r="O1083" s="2">
        <f>Pharma_Sales_Data[[#This Row],[Total Revenue]]*0.3</f>
        <v>4076.5499999999997</v>
      </c>
      <c r="P1083" t="str">
        <f>IF(Pharma_Sales_Data[[#This Row],[Total Revenue]]&gt;20000,"High Value", IF(Pharma_Sales_Data[[#This Row],[Total Revenue]]&gt;=10000,"Medium Value","Low Value"))</f>
        <v>Medium Value</v>
      </c>
    </row>
    <row r="1084" spans="1:16" x14ac:dyDescent="0.35">
      <c r="A1084" s="1">
        <v>42723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2016</v>
      </c>
      <c r="K1084">
        <v>12</v>
      </c>
      <c r="L1084" t="s">
        <v>15</v>
      </c>
      <c r="M1084">
        <f>SUM(Pharma_Sales_Data[[#This Row],[M01AB]:[R06]])</f>
        <v>0</v>
      </c>
      <c r="N1084" s="2">
        <f>Pharma_Sales_Data[[#This Row],[Total Drug Sales]]*150</f>
        <v>0</v>
      </c>
      <c r="O1084" s="2">
        <f>Pharma_Sales_Data[[#This Row],[Total Revenue]]*0.3</f>
        <v>0</v>
      </c>
      <c r="P1084" t="str">
        <f>IF(Pharma_Sales_Data[[#This Row],[Total Revenue]]&gt;20000,"High Value", IF(Pharma_Sales_Data[[#This Row],[Total Revenue]]&gt;=10000,"Medium Value","Low Value"))</f>
        <v>Low Value</v>
      </c>
    </row>
    <row r="1085" spans="1:16" x14ac:dyDescent="0.35">
      <c r="A1085" s="1">
        <v>42724</v>
      </c>
      <c r="B1085">
        <v>6.33</v>
      </c>
      <c r="C1085">
        <v>3.66</v>
      </c>
      <c r="D1085">
        <v>4</v>
      </c>
      <c r="E1085">
        <v>46</v>
      </c>
      <c r="F1085">
        <v>12</v>
      </c>
      <c r="G1085">
        <v>2</v>
      </c>
      <c r="H1085">
        <v>1</v>
      </c>
      <c r="I1085">
        <v>0</v>
      </c>
      <c r="J1085">
        <v>2016</v>
      </c>
      <c r="K1085">
        <v>12</v>
      </c>
      <c r="L1085" t="s">
        <v>16</v>
      </c>
      <c r="M1085">
        <f>SUM(Pharma_Sales_Data[[#This Row],[M01AB]:[R06]])</f>
        <v>74.990000000000009</v>
      </c>
      <c r="N1085" s="2">
        <f>Pharma_Sales_Data[[#This Row],[Total Drug Sales]]*150</f>
        <v>11248.500000000002</v>
      </c>
      <c r="O1085" s="2">
        <f>Pharma_Sales_Data[[#This Row],[Total Revenue]]*0.3</f>
        <v>3374.5500000000006</v>
      </c>
      <c r="P1085" t="str">
        <f>IF(Pharma_Sales_Data[[#This Row],[Total Revenue]]&gt;20000,"High Value", IF(Pharma_Sales_Data[[#This Row],[Total Revenue]]&gt;=10000,"Medium Value","Low Value"))</f>
        <v>Medium Value</v>
      </c>
    </row>
    <row r="1086" spans="1:16" x14ac:dyDescent="0.35">
      <c r="A1086" s="1">
        <v>42725</v>
      </c>
      <c r="B1086">
        <v>1.34</v>
      </c>
      <c r="C1086">
        <v>2.8119999999999998</v>
      </c>
      <c r="D1086">
        <v>0.25</v>
      </c>
      <c r="E1086">
        <v>37</v>
      </c>
      <c r="F1086">
        <v>5</v>
      </c>
      <c r="G1086">
        <v>0</v>
      </c>
      <c r="H1086">
        <v>6</v>
      </c>
      <c r="I1086">
        <v>2.5</v>
      </c>
      <c r="J1086">
        <v>2016</v>
      </c>
      <c r="K1086">
        <v>12</v>
      </c>
      <c r="L1086" t="s">
        <v>17</v>
      </c>
      <c r="M1086">
        <f>SUM(Pharma_Sales_Data[[#This Row],[M01AB]:[R06]])</f>
        <v>54.902000000000001</v>
      </c>
      <c r="N1086" s="2">
        <f>Pharma_Sales_Data[[#This Row],[Total Drug Sales]]*150</f>
        <v>8235.2999999999993</v>
      </c>
      <c r="O1086" s="2">
        <f>Pharma_Sales_Data[[#This Row],[Total Revenue]]*0.3</f>
        <v>2470.5899999999997</v>
      </c>
      <c r="P1086" t="str">
        <f>IF(Pharma_Sales_Data[[#This Row],[Total Revenue]]&gt;20000,"High Value", IF(Pharma_Sales_Data[[#This Row],[Total Revenue]]&gt;=10000,"Medium Value","Low Value"))</f>
        <v>Low Value</v>
      </c>
    </row>
    <row r="1087" spans="1:16" x14ac:dyDescent="0.35">
      <c r="A1087" s="1">
        <v>42726</v>
      </c>
      <c r="B1087">
        <v>4.34</v>
      </c>
      <c r="C1087">
        <v>4.165</v>
      </c>
      <c r="D1087">
        <v>3.8</v>
      </c>
      <c r="E1087">
        <v>38.4</v>
      </c>
      <c r="F1087">
        <v>1</v>
      </c>
      <c r="G1087">
        <v>0</v>
      </c>
      <c r="H1087">
        <v>5</v>
      </c>
      <c r="I1087">
        <v>0</v>
      </c>
      <c r="J1087">
        <v>2016</v>
      </c>
      <c r="K1087">
        <v>12</v>
      </c>
      <c r="L1087" t="s">
        <v>11</v>
      </c>
      <c r="M1087">
        <f>SUM(Pharma_Sales_Data[[#This Row],[M01AB]:[R06]])</f>
        <v>56.704999999999998</v>
      </c>
      <c r="N1087" s="2">
        <f>Pharma_Sales_Data[[#This Row],[Total Drug Sales]]*150</f>
        <v>8505.75</v>
      </c>
      <c r="O1087" s="2">
        <f>Pharma_Sales_Data[[#This Row],[Total Revenue]]*0.3</f>
        <v>2551.7249999999999</v>
      </c>
      <c r="P1087" t="str">
        <f>IF(Pharma_Sales_Data[[#This Row],[Total Revenue]]&gt;20000,"High Value", IF(Pharma_Sales_Data[[#This Row],[Total Revenue]]&gt;=10000,"Medium Value","Low Value"))</f>
        <v>Low Value</v>
      </c>
    </row>
    <row r="1088" spans="1:16" x14ac:dyDescent="0.35">
      <c r="A1088" s="1">
        <v>42727</v>
      </c>
      <c r="B1088">
        <v>5.33</v>
      </c>
      <c r="C1088">
        <v>4.67</v>
      </c>
      <c r="D1088">
        <v>1.1499999999999999</v>
      </c>
      <c r="E1088">
        <v>32</v>
      </c>
      <c r="F1088">
        <v>6</v>
      </c>
      <c r="G1088">
        <v>0</v>
      </c>
      <c r="H1088">
        <v>8</v>
      </c>
      <c r="I1088">
        <v>2</v>
      </c>
      <c r="J1088">
        <v>2016</v>
      </c>
      <c r="K1088">
        <v>12</v>
      </c>
      <c r="L1088" t="s">
        <v>12</v>
      </c>
      <c r="M1088">
        <f>SUM(Pharma_Sales_Data[[#This Row],[M01AB]:[R06]])</f>
        <v>59.15</v>
      </c>
      <c r="N1088" s="2">
        <f>Pharma_Sales_Data[[#This Row],[Total Drug Sales]]*150</f>
        <v>8872.5</v>
      </c>
      <c r="O1088" s="2">
        <f>Pharma_Sales_Data[[#This Row],[Total Revenue]]*0.3</f>
        <v>2661.75</v>
      </c>
      <c r="P1088" t="str">
        <f>IF(Pharma_Sales_Data[[#This Row],[Total Revenue]]&gt;20000,"High Value", IF(Pharma_Sales_Data[[#This Row],[Total Revenue]]&gt;=10000,"Medium Value","Low Value"))</f>
        <v>Low Value</v>
      </c>
    </row>
    <row r="1089" spans="1:16" x14ac:dyDescent="0.35">
      <c r="A1089" s="1">
        <v>42728</v>
      </c>
      <c r="B1089">
        <v>6.33</v>
      </c>
      <c r="C1089">
        <v>6.7</v>
      </c>
      <c r="D1089">
        <v>4.2</v>
      </c>
      <c r="E1089">
        <v>82</v>
      </c>
      <c r="F1089">
        <v>4</v>
      </c>
      <c r="G1089">
        <v>1</v>
      </c>
      <c r="H1089">
        <v>2</v>
      </c>
      <c r="I1089">
        <v>1</v>
      </c>
      <c r="J1089">
        <v>2016</v>
      </c>
      <c r="K1089">
        <v>12</v>
      </c>
      <c r="L1089" t="s">
        <v>13</v>
      </c>
      <c r="M1089">
        <f>SUM(Pharma_Sales_Data[[#This Row],[M01AB]:[R06]])</f>
        <v>107.23</v>
      </c>
      <c r="N1089" s="2">
        <f>Pharma_Sales_Data[[#This Row],[Total Drug Sales]]*150</f>
        <v>16084.5</v>
      </c>
      <c r="O1089" s="2">
        <f>Pharma_Sales_Data[[#This Row],[Total Revenue]]*0.3</f>
        <v>4825.3499999999995</v>
      </c>
      <c r="P1089" t="str">
        <f>IF(Pharma_Sales_Data[[#This Row],[Total Revenue]]&gt;20000,"High Value", IF(Pharma_Sales_Data[[#This Row],[Total Revenue]]&gt;=10000,"Medium Value","Low Value"))</f>
        <v>Medium Value</v>
      </c>
    </row>
    <row r="1090" spans="1:16" x14ac:dyDescent="0.35">
      <c r="A1090" s="1">
        <v>42729</v>
      </c>
      <c r="B1090">
        <v>2.33</v>
      </c>
      <c r="C1090">
        <v>7.6269999999999998</v>
      </c>
      <c r="D1090">
        <v>5.7</v>
      </c>
      <c r="E1090">
        <v>79.8</v>
      </c>
      <c r="F1090">
        <v>0</v>
      </c>
      <c r="G1090">
        <v>0</v>
      </c>
      <c r="H1090">
        <v>9</v>
      </c>
      <c r="I1090">
        <v>1</v>
      </c>
      <c r="J1090">
        <v>2016</v>
      </c>
      <c r="K1090">
        <v>12</v>
      </c>
      <c r="L1090" t="s">
        <v>14</v>
      </c>
      <c r="M1090">
        <f>SUM(Pharma_Sales_Data[[#This Row],[M01AB]:[R06]])</f>
        <v>105.45699999999999</v>
      </c>
      <c r="N1090" s="2">
        <f>Pharma_Sales_Data[[#This Row],[Total Drug Sales]]*150</f>
        <v>15818.55</v>
      </c>
      <c r="O1090" s="2">
        <f>Pharma_Sales_Data[[#This Row],[Total Revenue]]*0.3</f>
        <v>4745.5649999999996</v>
      </c>
      <c r="P1090" t="str">
        <f>IF(Pharma_Sales_Data[[#This Row],[Total Revenue]]&gt;20000,"High Value", IF(Pharma_Sales_Data[[#This Row],[Total Revenue]]&gt;=10000,"Medium Value","Low Value"))</f>
        <v>Medium Value</v>
      </c>
    </row>
    <row r="1091" spans="1:16" x14ac:dyDescent="0.35">
      <c r="A1091" s="1">
        <v>42730</v>
      </c>
      <c r="B1091">
        <v>10.33</v>
      </c>
      <c r="C1091">
        <v>4.66</v>
      </c>
      <c r="D1091">
        <v>2</v>
      </c>
      <c r="E1091">
        <v>58.923999999999999</v>
      </c>
      <c r="F1091">
        <v>6</v>
      </c>
      <c r="G1091">
        <v>0</v>
      </c>
      <c r="H1091">
        <v>2</v>
      </c>
      <c r="I1091">
        <v>2</v>
      </c>
      <c r="J1091">
        <v>2016</v>
      </c>
      <c r="K1091">
        <v>12</v>
      </c>
      <c r="L1091" t="s">
        <v>15</v>
      </c>
      <c r="M1091">
        <f>SUM(Pharma_Sales_Data[[#This Row],[M01AB]:[R06]])</f>
        <v>85.914000000000001</v>
      </c>
      <c r="N1091" s="2">
        <f>Pharma_Sales_Data[[#This Row],[Total Drug Sales]]*150</f>
        <v>12887.1</v>
      </c>
      <c r="O1091" s="2">
        <f>Pharma_Sales_Data[[#This Row],[Total Revenue]]*0.3</f>
        <v>3866.13</v>
      </c>
      <c r="P1091" t="str">
        <f>IF(Pharma_Sales_Data[[#This Row],[Total Revenue]]&gt;20000,"High Value", IF(Pharma_Sales_Data[[#This Row],[Total Revenue]]&gt;=10000,"Medium Value","Low Value"))</f>
        <v>Medium Value</v>
      </c>
    </row>
    <row r="1092" spans="1:16" x14ac:dyDescent="0.35">
      <c r="A1092" s="1">
        <v>42731</v>
      </c>
      <c r="B1092">
        <v>6</v>
      </c>
      <c r="C1092">
        <v>5</v>
      </c>
      <c r="D1092">
        <v>0.41666666699999999</v>
      </c>
      <c r="E1092">
        <v>54.2</v>
      </c>
      <c r="F1092">
        <v>8</v>
      </c>
      <c r="G1092">
        <v>2</v>
      </c>
      <c r="H1092">
        <v>13</v>
      </c>
      <c r="I1092">
        <v>0</v>
      </c>
      <c r="J1092">
        <v>2016</v>
      </c>
      <c r="K1092">
        <v>12</v>
      </c>
      <c r="L1092" t="s">
        <v>16</v>
      </c>
      <c r="M1092">
        <f>SUM(Pharma_Sales_Data[[#This Row],[M01AB]:[R06]])</f>
        <v>88.616666667000004</v>
      </c>
      <c r="N1092" s="2">
        <f>Pharma_Sales_Data[[#This Row],[Total Drug Sales]]*150</f>
        <v>13292.50000005</v>
      </c>
      <c r="O1092" s="2">
        <f>Pharma_Sales_Data[[#This Row],[Total Revenue]]*0.3</f>
        <v>3987.7500000149998</v>
      </c>
      <c r="P1092" t="str">
        <f>IF(Pharma_Sales_Data[[#This Row],[Total Revenue]]&gt;20000,"High Value", IF(Pharma_Sales_Data[[#This Row],[Total Revenue]]&gt;=10000,"Medium Value","Low Value"))</f>
        <v>Medium Value</v>
      </c>
    </row>
    <row r="1093" spans="1:16" x14ac:dyDescent="0.35">
      <c r="A1093" s="1">
        <v>42732</v>
      </c>
      <c r="B1093">
        <v>4.34</v>
      </c>
      <c r="C1093">
        <v>6.33</v>
      </c>
      <c r="D1093">
        <v>6.45</v>
      </c>
      <c r="E1093">
        <v>57.2</v>
      </c>
      <c r="F1093">
        <v>7</v>
      </c>
      <c r="G1093">
        <v>0</v>
      </c>
      <c r="H1093">
        <v>13</v>
      </c>
      <c r="I1093">
        <v>0</v>
      </c>
      <c r="J1093">
        <v>2016</v>
      </c>
      <c r="K1093">
        <v>12</v>
      </c>
      <c r="L1093" t="s">
        <v>17</v>
      </c>
      <c r="M1093">
        <f>SUM(Pharma_Sales_Data[[#This Row],[M01AB]:[R06]])</f>
        <v>94.320000000000007</v>
      </c>
      <c r="N1093" s="2">
        <f>Pharma_Sales_Data[[#This Row],[Total Drug Sales]]*150</f>
        <v>14148.000000000002</v>
      </c>
      <c r="O1093" s="2">
        <f>Pharma_Sales_Data[[#This Row],[Total Revenue]]*0.3</f>
        <v>4244.4000000000005</v>
      </c>
      <c r="P1093" t="str">
        <f>IF(Pharma_Sales_Data[[#This Row],[Total Revenue]]&gt;20000,"High Value", IF(Pharma_Sales_Data[[#This Row],[Total Revenue]]&gt;=10000,"Medium Value","Low Value"))</f>
        <v>Medium Value</v>
      </c>
    </row>
    <row r="1094" spans="1:16" x14ac:dyDescent="0.35">
      <c r="A1094" s="1">
        <v>42733</v>
      </c>
      <c r="B1094">
        <v>11</v>
      </c>
      <c r="C1094">
        <v>6.01</v>
      </c>
      <c r="D1094">
        <v>6.35</v>
      </c>
      <c r="E1094">
        <v>81.2</v>
      </c>
      <c r="F1094">
        <v>4</v>
      </c>
      <c r="G1094">
        <v>3</v>
      </c>
      <c r="H1094">
        <v>6</v>
      </c>
      <c r="I1094">
        <v>2</v>
      </c>
      <c r="J1094">
        <v>2016</v>
      </c>
      <c r="K1094">
        <v>12</v>
      </c>
      <c r="L1094" t="s">
        <v>11</v>
      </c>
      <c r="M1094">
        <f>SUM(Pharma_Sales_Data[[#This Row],[M01AB]:[R06]])</f>
        <v>119.56</v>
      </c>
      <c r="N1094" s="2">
        <f>Pharma_Sales_Data[[#This Row],[Total Drug Sales]]*150</f>
        <v>17934</v>
      </c>
      <c r="O1094" s="2">
        <f>Pharma_Sales_Data[[#This Row],[Total Revenue]]*0.3</f>
        <v>5380.2</v>
      </c>
      <c r="P1094" t="str">
        <f>IF(Pharma_Sales_Data[[#This Row],[Total Revenue]]&gt;20000,"High Value", IF(Pharma_Sales_Data[[#This Row],[Total Revenue]]&gt;=10000,"Medium Value","Low Value"))</f>
        <v>Medium Value</v>
      </c>
    </row>
    <row r="1095" spans="1:16" x14ac:dyDescent="0.35">
      <c r="A1095" s="1">
        <v>42734</v>
      </c>
      <c r="B1095">
        <v>5.66</v>
      </c>
      <c r="C1095">
        <v>8.99</v>
      </c>
      <c r="D1095">
        <v>7.3</v>
      </c>
      <c r="E1095">
        <v>161</v>
      </c>
      <c r="F1095">
        <v>13</v>
      </c>
      <c r="G1095">
        <v>0</v>
      </c>
      <c r="H1095">
        <v>3</v>
      </c>
      <c r="I1095">
        <v>0</v>
      </c>
      <c r="J1095">
        <v>2016</v>
      </c>
      <c r="K1095">
        <v>12</v>
      </c>
      <c r="L1095" t="s">
        <v>12</v>
      </c>
      <c r="M1095">
        <f>SUM(Pharma_Sales_Data[[#This Row],[M01AB]:[R06]])</f>
        <v>198.95</v>
      </c>
      <c r="N1095" s="2">
        <f>Pharma_Sales_Data[[#This Row],[Total Drug Sales]]*150</f>
        <v>29842.5</v>
      </c>
      <c r="O1095" s="2">
        <f>Pharma_Sales_Data[[#This Row],[Total Revenue]]*0.3</f>
        <v>8952.75</v>
      </c>
      <c r="P1095" t="str">
        <f>IF(Pharma_Sales_Data[[#This Row],[Total Revenue]]&gt;20000,"High Value", IF(Pharma_Sales_Data[[#This Row],[Total Revenue]]&gt;=10000,"Medium Value","Low Value"))</f>
        <v>High Value</v>
      </c>
    </row>
    <row r="1096" spans="1:16" x14ac:dyDescent="0.35">
      <c r="A1096" s="1">
        <v>42735</v>
      </c>
      <c r="B1096">
        <v>8.33</v>
      </c>
      <c r="C1096">
        <v>7.7590000000000003</v>
      </c>
      <c r="D1096">
        <v>7.45</v>
      </c>
      <c r="E1096">
        <v>108.7</v>
      </c>
      <c r="F1096">
        <v>7</v>
      </c>
      <c r="G1096">
        <v>0</v>
      </c>
      <c r="H1096">
        <v>12</v>
      </c>
      <c r="I1096">
        <v>0</v>
      </c>
      <c r="J1096">
        <v>2016</v>
      </c>
      <c r="K1096">
        <v>12</v>
      </c>
      <c r="L1096" t="s">
        <v>13</v>
      </c>
      <c r="M1096">
        <f>SUM(Pharma_Sales_Data[[#This Row],[M01AB]:[R06]])</f>
        <v>151.239</v>
      </c>
      <c r="N1096" s="2">
        <f>Pharma_Sales_Data[[#This Row],[Total Drug Sales]]*150</f>
        <v>22685.850000000002</v>
      </c>
      <c r="O1096" s="2">
        <f>Pharma_Sales_Data[[#This Row],[Total Revenue]]*0.3</f>
        <v>6805.7550000000001</v>
      </c>
      <c r="P1096" t="str">
        <f>IF(Pharma_Sales_Data[[#This Row],[Total Revenue]]&gt;20000,"High Value", IF(Pharma_Sales_Data[[#This Row],[Total Revenue]]&gt;=10000,"Medium Value","Low Value"))</f>
        <v>High Value</v>
      </c>
    </row>
    <row r="1097" spans="1:16" x14ac:dyDescent="0.35">
      <c r="A1097" s="1">
        <v>42736</v>
      </c>
      <c r="B1097">
        <v>3.5437500000000002</v>
      </c>
      <c r="C1097">
        <v>3.9562499999999998</v>
      </c>
      <c r="D1097">
        <v>1.5625</v>
      </c>
      <c r="E1097">
        <v>25.675000000000001</v>
      </c>
      <c r="F1097">
        <v>8.75</v>
      </c>
      <c r="G1097">
        <v>1.875</v>
      </c>
      <c r="H1097">
        <v>6.25</v>
      </c>
      <c r="I1097">
        <v>0.625</v>
      </c>
      <c r="J1097">
        <v>2017</v>
      </c>
      <c r="K1097">
        <v>1</v>
      </c>
      <c r="L1097" t="s">
        <v>14</v>
      </c>
      <c r="M1097">
        <f>SUM(Pharma_Sales_Data[[#This Row],[M01AB]:[R06]])</f>
        <v>52.237499999999997</v>
      </c>
      <c r="N1097" s="2">
        <f>Pharma_Sales_Data[[#This Row],[Total Drug Sales]]*150</f>
        <v>7835.625</v>
      </c>
      <c r="O1097" s="2">
        <f>Pharma_Sales_Data[[#This Row],[Total Revenue]]*0.3</f>
        <v>2350.6875</v>
      </c>
      <c r="P1097" t="str">
        <f>IF(Pharma_Sales_Data[[#This Row],[Total Revenue]]&gt;20000,"High Value", IF(Pharma_Sales_Data[[#This Row],[Total Revenue]]&gt;=10000,"Medium Value","Low Value"))</f>
        <v>Low Value</v>
      </c>
    </row>
    <row r="1098" spans="1:16" x14ac:dyDescent="0.35">
      <c r="A1098" s="1">
        <v>42737</v>
      </c>
      <c r="B1098">
        <v>0.21249999999999999</v>
      </c>
      <c r="C1098">
        <v>0.63749999999999996</v>
      </c>
      <c r="D1098">
        <v>0.625</v>
      </c>
      <c r="E1098">
        <v>32</v>
      </c>
      <c r="F1098">
        <v>0</v>
      </c>
      <c r="G1098">
        <v>0.625</v>
      </c>
      <c r="H1098">
        <v>3.125</v>
      </c>
      <c r="I1098">
        <v>3.125</v>
      </c>
      <c r="J1098">
        <v>2017</v>
      </c>
      <c r="K1098">
        <v>1</v>
      </c>
      <c r="L1098" t="s">
        <v>15</v>
      </c>
      <c r="M1098">
        <f>SUM(Pharma_Sales_Data[[#This Row],[M01AB]:[R06]])</f>
        <v>40.35</v>
      </c>
      <c r="N1098" s="2">
        <f>Pharma_Sales_Data[[#This Row],[Total Drug Sales]]*150</f>
        <v>6052.5</v>
      </c>
      <c r="O1098" s="2">
        <f>Pharma_Sales_Data[[#This Row],[Total Revenue]]*0.3</f>
        <v>1815.75</v>
      </c>
      <c r="P1098" t="str">
        <f>IF(Pharma_Sales_Data[[#This Row],[Total Revenue]]&gt;20000,"High Value", IF(Pharma_Sales_Data[[#This Row],[Total Revenue]]&gt;=10000,"Medium Value","Low Value"))</f>
        <v>Low Value</v>
      </c>
    </row>
    <row r="1099" spans="1:16" x14ac:dyDescent="0.35">
      <c r="A1099" s="1">
        <v>42738</v>
      </c>
      <c r="B1099">
        <v>6.25</v>
      </c>
      <c r="C1099">
        <v>5.8312499999999998</v>
      </c>
      <c r="D1099">
        <v>4.625</v>
      </c>
      <c r="E1099">
        <v>66.8125</v>
      </c>
      <c r="F1099">
        <v>8.75</v>
      </c>
      <c r="G1099">
        <v>0</v>
      </c>
      <c r="H1099">
        <v>7.03125</v>
      </c>
      <c r="I1099">
        <v>1.875</v>
      </c>
      <c r="J1099">
        <v>2017</v>
      </c>
      <c r="K1099">
        <v>1</v>
      </c>
      <c r="L1099" t="s">
        <v>16</v>
      </c>
      <c r="M1099">
        <f>SUM(Pharma_Sales_Data[[#This Row],[M01AB]:[R06]])</f>
        <v>101.175</v>
      </c>
      <c r="N1099" s="2">
        <f>Pharma_Sales_Data[[#This Row],[Total Drug Sales]]*150</f>
        <v>15176.25</v>
      </c>
      <c r="O1099" s="2">
        <f>Pharma_Sales_Data[[#This Row],[Total Revenue]]*0.3</f>
        <v>4552.875</v>
      </c>
      <c r="P1099" t="str">
        <f>IF(Pharma_Sales_Data[[#This Row],[Total Revenue]]&gt;20000,"High Value", IF(Pharma_Sales_Data[[#This Row],[Total Revenue]]&gt;=10000,"Medium Value","Low Value"))</f>
        <v>Medium Value</v>
      </c>
    </row>
    <row r="1100" spans="1:16" x14ac:dyDescent="0.35">
      <c r="A1100" s="1">
        <v>42739</v>
      </c>
      <c r="B1100">
        <v>6.8041666669999996</v>
      </c>
      <c r="C1100">
        <v>5.9708333329999999</v>
      </c>
      <c r="D1100">
        <v>6.4166666670000003</v>
      </c>
      <c r="E1100">
        <v>56.766666669999999</v>
      </c>
      <c r="F1100">
        <v>10</v>
      </c>
      <c r="G1100">
        <v>1.25</v>
      </c>
      <c r="H1100">
        <v>5</v>
      </c>
      <c r="I1100">
        <v>2.9166666669999999</v>
      </c>
      <c r="J1100">
        <v>2017</v>
      </c>
      <c r="K1100">
        <v>1</v>
      </c>
      <c r="L1100" t="s">
        <v>17</v>
      </c>
      <c r="M1100">
        <f>SUM(Pharma_Sales_Data[[#This Row],[M01AB]:[R06]])</f>
        <v>95.125000004</v>
      </c>
      <c r="N1100" s="2">
        <f>Pharma_Sales_Data[[#This Row],[Total Drug Sales]]*150</f>
        <v>14268.750000600001</v>
      </c>
      <c r="O1100" s="2">
        <f>Pharma_Sales_Data[[#This Row],[Total Revenue]]*0.3</f>
        <v>4280.6250001799999</v>
      </c>
      <c r="P1100" t="str">
        <f>IF(Pharma_Sales_Data[[#This Row],[Total Revenue]]&gt;20000,"High Value", IF(Pharma_Sales_Data[[#This Row],[Total Revenue]]&gt;=10000,"Medium Value","Low Value"))</f>
        <v>Medium Value</v>
      </c>
    </row>
    <row r="1101" spans="1:16" x14ac:dyDescent="0.35">
      <c r="A1101" s="1">
        <v>42740</v>
      </c>
      <c r="B1101">
        <v>7.5041666669999998</v>
      </c>
      <c r="C1101">
        <v>7.8791666669999998</v>
      </c>
      <c r="D1101">
        <v>5.2083333329999997</v>
      </c>
      <c r="E1101">
        <v>62.208333330000002</v>
      </c>
      <c r="F1101">
        <v>14.58333333</v>
      </c>
      <c r="G1101">
        <v>0</v>
      </c>
      <c r="H1101">
        <v>11.25</v>
      </c>
      <c r="I1101">
        <v>2.5</v>
      </c>
      <c r="J1101">
        <v>2017</v>
      </c>
      <c r="K1101">
        <v>1</v>
      </c>
      <c r="L1101" t="s">
        <v>11</v>
      </c>
      <c r="M1101">
        <f>SUM(Pharma_Sales_Data[[#This Row],[M01AB]:[R06]])</f>
        <v>111.133333327</v>
      </c>
      <c r="N1101" s="2">
        <f>Pharma_Sales_Data[[#This Row],[Total Drug Sales]]*150</f>
        <v>16669.99999905</v>
      </c>
      <c r="O1101" s="2">
        <f>Pharma_Sales_Data[[#This Row],[Total Revenue]]*0.3</f>
        <v>5000.9999997149998</v>
      </c>
      <c r="P1101" t="str">
        <f>IF(Pharma_Sales_Data[[#This Row],[Total Revenue]]&gt;20000,"High Value", IF(Pharma_Sales_Data[[#This Row],[Total Revenue]]&gt;=10000,"Medium Value","Low Value"))</f>
        <v>Medium Value</v>
      </c>
    </row>
    <row r="1102" spans="1:16" x14ac:dyDescent="0.35">
      <c r="A1102" s="1">
        <v>42741</v>
      </c>
      <c r="B1102">
        <v>4.5833333329999997</v>
      </c>
      <c r="C1102">
        <v>3.05</v>
      </c>
      <c r="D1102">
        <v>5.625</v>
      </c>
      <c r="E1102">
        <v>65.5625</v>
      </c>
      <c r="F1102">
        <v>10.83333333</v>
      </c>
      <c r="G1102">
        <v>0</v>
      </c>
      <c r="H1102">
        <v>15.41666667</v>
      </c>
      <c r="I1102">
        <v>2.5</v>
      </c>
      <c r="J1102">
        <v>2017</v>
      </c>
      <c r="K1102">
        <v>1</v>
      </c>
      <c r="L1102" t="s">
        <v>12</v>
      </c>
      <c r="M1102">
        <f>SUM(Pharma_Sales_Data[[#This Row],[M01AB]:[R06]])</f>
        <v>107.570833333</v>
      </c>
      <c r="N1102" s="2">
        <f>Pharma_Sales_Data[[#This Row],[Total Drug Sales]]*150</f>
        <v>16135.62499995</v>
      </c>
      <c r="O1102" s="2">
        <f>Pharma_Sales_Data[[#This Row],[Total Revenue]]*0.3</f>
        <v>4840.6874999849997</v>
      </c>
      <c r="P1102" t="str">
        <f>IF(Pharma_Sales_Data[[#This Row],[Total Revenue]]&gt;20000,"High Value", IF(Pharma_Sales_Data[[#This Row],[Total Revenue]]&gt;=10000,"Medium Value","Low Value"))</f>
        <v>Medium Value</v>
      </c>
    </row>
    <row r="1103" spans="1:16" x14ac:dyDescent="0.35">
      <c r="A1103" s="1">
        <v>42742</v>
      </c>
      <c r="B1103">
        <v>2.9166666669999999</v>
      </c>
      <c r="C1103">
        <v>5.1541666670000001</v>
      </c>
      <c r="D1103">
        <v>5.9583333329999997</v>
      </c>
      <c r="E1103">
        <v>34.625</v>
      </c>
      <c r="F1103">
        <v>8.75</v>
      </c>
      <c r="G1103">
        <v>0</v>
      </c>
      <c r="H1103">
        <v>2.5</v>
      </c>
      <c r="I1103">
        <v>0</v>
      </c>
      <c r="J1103">
        <v>2017</v>
      </c>
      <c r="K1103">
        <v>1</v>
      </c>
      <c r="L1103" t="s">
        <v>13</v>
      </c>
      <c r="M1103">
        <f>SUM(Pharma_Sales_Data[[#This Row],[M01AB]:[R06]])</f>
        <v>59.904166666999998</v>
      </c>
      <c r="N1103" s="2">
        <f>Pharma_Sales_Data[[#This Row],[Total Drug Sales]]*150</f>
        <v>8985.6250000500004</v>
      </c>
      <c r="O1103" s="2">
        <f>Pharma_Sales_Data[[#This Row],[Total Revenue]]*0.3</f>
        <v>2695.6875000149998</v>
      </c>
      <c r="P1103" t="str">
        <f>IF(Pharma_Sales_Data[[#This Row],[Total Revenue]]&gt;20000,"High Value", IF(Pharma_Sales_Data[[#This Row],[Total Revenue]]&gt;=10000,"Medium Value","Low Value"))</f>
        <v>Low Value</v>
      </c>
    </row>
    <row r="1104" spans="1:16" x14ac:dyDescent="0.35">
      <c r="A1104" s="1">
        <v>42743</v>
      </c>
      <c r="B1104">
        <v>5.4166666670000003</v>
      </c>
      <c r="C1104">
        <v>1.859583333</v>
      </c>
      <c r="D1104">
        <v>5.0833333329999997</v>
      </c>
      <c r="E1104">
        <v>25.375</v>
      </c>
      <c r="F1104">
        <v>10</v>
      </c>
      <c r="G1104">
        <v>2.0833333330000001</v>
      </c>
      <c r="H1104">
        <v>3.3333333330000001</v>
      </c>
      <c r="I1104">
        <v>1.6666666670000001</v>
      </c>
      <c r="J1104">
        <v>2017</v>
      </c>
      <c r="K1104">
        <v>1</v>
      </c>
      <c r="L1104" t="s">
        <v>14</v>
      </c>
      <c r="M1104">
        <f>SUM(Pharma_Sales_Data[[#This Row],[M01AB]:[R06]])</f>
        <v>54.817916666000002</v>
      </c>
      <c r="N1104" s="2">
        <f>Pharma_Sales_Data[[#This Row],[Total Drug Sales]]*150</f>
        <v>8222.6874999000011</v>
      </c>
      <c r="O1104" s="2">
        <f>Pharma_Sales_Data[[#This Row],[Total Revenue]]*0.3</f>
        <v>2466.8062499700004</v>
      </c>
      <c r="P1104" t="str">
        <f>IF(Pharma_Sales_Data[[#This Row],[Total Revenue]]&gt;20000,"High Value", IF(Pharma_Sales_Data[[#This Row],[Total Revenue]]&gt;=10000,"Medium Value","Low Value"))</f>
        <v>Low Value</v>
      </c>
    </row>
    <row r="1105" spans="1:16" x14ac:dyDescent="0.35">
      <c r="A1105" s="1">
        <v>42744</v>
      </c>
      <c r="B1105">
        <v>3.8875000000000002</v>
      </c>
      <c r="C1105">
        <v>4.0570833329999996</v>
      </c>
      <c r="D1105">
        <v>2.5833333330000001</v>
      </c>
      <c r="E1105">
        <v>56.125</v>
      </c>
      <c r="F1105">
        <v>9.1666666669999994</v>
      </c>
      <c r="G1105">
        <v>0.41666666699999999</v>
      </c>
      <c r="H1105">
        <v>1.6666666670000001</v>
      </c>
      <c r="I1105">
        <v>2.0833333330000001</v>
      </c>
      <c r="J1105">
        <v>2017</v>
      </c>
      <c r="K1105">
        <v>1</v>
      </c>
      <c r="L1105" t="s">
        <v>15</v>
      </c>
      <c r="M1105">
        <f>SUM(Pharma_Sales_Data[[#This Row],[M01AB]:[R06]])</f>
        <v>79.986249999999998</v>
      </c>
      <c r="N1105" s="2">
        <f>Pharma_Sales_Data[[#This Row],[Total Drug Sales]]*150</f>
        <v>11997.9375</v>
      </c>
      <c r="O1105" s="2">
        <f>Pharma_Sales_Data[[#This Row],[Total Revenue]]*0.3</f>
        <v>3599.3812499999999</v>
      </c>
      <c r="P1105" t="str">
        <f>IF(Pharma_Sales_Data[[#This Row],[Total Revenue]]&gt;20000,"High Value", IF(Pharma_Sales_Data[[#This Row],[Total Revenue]]&gt;=10000,"Medium Value","Low Value"))</f>
        <v>Medium Value</v>
      </c>
    </row>
    <row r="1106" spans="1:16" x14ac:dyDescent="0.35">
      <c r="A1106" s="1">
        <v>42745</v>
      </c>
      <c r="B1106">
        <v>6.3875000000000002</v>
      </c>
      <c r="C1106">
        <v>4.7387499999999996</v>
      </c>
      <c r="D1106">
        <v>13.29166667</v>
      </c>
      <c r="E1106">
        <v>54.25</v>
      </c>
      <c r="F1106">
        <v>25</v>
      </c>
      <c r="G1106">
        <v>1.6666666670000001</v>
      </c>
      <c r="H1106">
        <v>7.5</v>
      </c>
      <c r="I1106">
        <v>0.83333333300000001</v>
      </c>
      <c r="J1106">
        <v>2017</v>
      </c>
      <c r="K1106">
        <v>1</v>
      </c>
      <c r="L1106" t="s">
        <v>16</v>
      </c>
      <c r="M1106">
        <f>SUM(Pharma_Sales_Data[[#This Row],[M01AB]:[R06]])</f>
        <v>113.66791667</v>
      </c>
      <c r="N1106" s="2">
        <f>Pharma_Sales_Data[[#This Row],[Total Drug Sales]]*150</f>
        <v>17050.1875005</v>
      </c>
      <c r="O1106" s="2">
        <f>Pharma_Sales_Data[[#This Row],[Total Revenue]]*0.3</f>
        <v>5115.0562501499999</v>
      </c>
      <c r="P1106" t="str">
        <f>IF(Pharma_Sales_Data[[#This Row],[Total Revenue]]&gt;20000,"High Value", IF(Pharma_Sales_Data[[#This Row],[Total Revenue]]&gt;=10000,"Medium Value","Low Value"))</f>
        <v>Medium Value</v>
      </c>
    </row>
    <row r="1107" spans="1:16" x14ac:dyDescent="0.35">
      <c r="A1107" s="1">
        <v>42746</v>
      </c>
      <c r="B1107">
        <v>9.3083333330000002</v>
      </c>
      <c r="C1107">
        <v>5.5016666670000003</v>
      </c>
      <c r="D1107">
        <v>9.1666666669999994</v>
      </c>
      <c r="E1107">
        <v>51.041666669999998</v>
      </c>
      <c r="F1107">
        <v>20</v>
      </c>
      <c r="G1107">
        <v>1.25</v>
      </c>
      <c r="H1107">
        <v>1.6666666670000001</v>
      </c>
      <c r="I1107">
        <v>2.9166666669999999</v>
      </c>
      <c r="J1107">
        <v>2017</v>
      </c>
      <c r="K1107">
        <v>1</v>
      </c>
      <c r="L1107" t="s">
        <v>17</v>
      </c>
      <c r="M1107">
        <f>SUM(Pharma_Sales_Data[[#This Row],[M01AB]:[R06]])</f>
        <v>100.851666671</v>
      </c>
      <c r="N1107" s="2">
        <f>Pharma_Sales_Data[[#This Row],[Total Drug Sales]]*150</f>
        <v>15127.750000650001</v>
      </c>
      <c r="O1107" s="2">
        <f>Pharma_Sales_Data[[#This Row],[Total Revenue]]*0.3</f>
        <v>4538.325000195</v>
      </c>
      <c r="P1107" t="str">
        <f>IF(Pharma_Sales_Data[[#This Row],[Total Revenue]]&gt;20000,"High Value", IF(Pharma_Sales_Data[[#This Row],[Total Revenue]]&gt;=10000,"Medium Value","Low Value"))</f>
        <v>Medium Value</v>
      </c>
    </row>
    <row r="1108" spans="1:16" x14ac:dyDescent="0.35">
      <c r="A1108" s="1">
        <v>42747</v>
      </c>
      <c r="B1108">
        <v>8.3333333330000006</v>
      </c>
      <c r="C1108">
        <v>5.1966666669999997</v>
      </c>
      <c r="D1108">
        <v>8.75</v>
      </c>
      <c r="E1108">
        <v>65.9375</v>
      </c>
      <c r="F1108">
        <v>14.16666667</v>
      </c>
      <c r="G1108">
        <v>1.25</v>
      </c>
      <c r="H1108">
        <v>4.5833333329999997</v>
      </c>
      <c r="I1108">
        <v>1.6666666670000001</v>
      </c>
      <c r="J1108">
        <v>2017</v>
      </c>
      <c r="K1108">
        <v>1</v>
      </c>
      <c r="L1108" t="s">
        <v>11</v>
      </c>
      <c r="M1108">
        <f>SUM(Pharma_Sales_Data[[#This Row],[M01AB]:[R06]])</f>
        <v>109.88416667</v>
      </c>
      <c r="N1108" s="2">
        <f>Pharma_Sales_Data[[#This Row],[Total Drug Sales]]*150</f>
        <v>16482.6250005</v>
      </c>
      <c r="O1108" s="2">
        <f>Pharma_Sales_Data[[#This Row],[Total Revenue]]*0.3</f>
        <v>4944.7875001499997</v>
      </c>
      <c r="P1108" t="str">
        <f>IF(Pharma_Sales_Data[[#This Row],[Total Revenue]]&gt;20000,"High Value", IF(Pharma_Sales_Data[[#This Row],[Total Revenue]]&gt;=10000,"Medium Value","Low Value"))</f>
        <v>Medium Value</v>
      </c>
    </row>
    <row r="1109" spans="1:16" x14ac:dyDescent="0.35">
      <c r="A1109" s="1">
        <v>42748</v>
      </c>
      <c r="B1109">
        <v>6.8041666669999996</v>
      </c>
      <c r="C1109">
        <v>3.891666667</v>
      </c>
      <c r="D1109">
        <v>9.5416666669999994</v>
      </c>
      <c r="E1109">
        <v>54.416666669999998</v>
      </c>
      <c r="F1109">
        <v>19.583333329999999</v>
      </c>
      <c r="G1109">
        <v>0</v>
      </c>
      <c r="H1109">
        <v>3.3333333330000001</v>
      </c>
      <c r="I1109">
        <v>1.3333333329999999</v>
      </c>
      <c r="J1109">
        <v>2017</v>
      </c>
      <c r="K1109">
        <v>1</v>
      </c>
      <c r="L1109" t="s">
        <v>12</v>
      </c>
      <c r="M1109">
        <f>SUM(Pharma_Sales_Data[[#This Row],[M01AB]:[R06]])</f>
        <v>98.904166666999998</v>
      </c>
      <c r="N1109" s="2">
        <f>Pharma_Sales_Data[[#This Row],[Total Drug Sales]]*150</f>
        <v>14835.62500005</v>
      </c>
      <c r="O1109" s="2">
        <f>Pharma_Sales_Data[[#This Row],[Total Revenue]]*0.3</f>
        <v>4450.6875000150003</v>
      </c>
      <c r="P1109" t="str">
        <f>IF(Pharma_Sales_Data[[#This Row],[Total Revenue]]&gt;20000,"High Value", IF(Pharma_Sales_Data[[#This Row],[Total Revenue]]&gt;=10000,"Medium Value","Low Value"))</f>
        <v>Medium Value</v>
      </c>
    </row>
    <row r="1110" spans="1:16" x14ac:dyDescent="0.35">
      <c r="A1110" s="1">
        <v>42749</v>
      </c>
      <c r="B1110">
        <v>5.9749999999999996</v>
      </c>
      <c r="C1110">
        <v>4.3645833329999997</v>
      </c>
      <c r="D1110">
        <v>7.7083333329999997</v>
      </c>
      <c r="E1110">
        <v>47.916666669999998</v>
      </c>
      <c r="F1110">
        <v>16.666666670000001</v>
      </c>
      <c r="G1110">
        <v>0.83333333300000001</v>
      </c>
      <c r="H1110">
        <v>5.4166666670000003</v>
      </c>
      <c r="I1110">
        <v>2.0833333330000001</v>
      </c>
      <c r="J1110">
        <v>2017</v>
      </c>
      <c r="K1110">
        <v>1</v>
      </c>
      <c r="L1110" t="s">
        <v>13</v>
      </c>
      <c r="M1110">
        <f>SUM(Pharma_Sales_Data[[#This Row],[M01AB]:[R06]])</f>
        <v>90.964583339000001</v>
      </c>
      <c r="N1110" s="2">
        <f>Pharma_Sales_Data[[#This Row],[Total Drug Sales]]*150</f>
        <v>13644.687500849999</v>
      </c>
      <c r="O1110" s="2">
        <f>Pharma_Sales_Data[[#This Row],[Total Revenue]]*0.3</f>
        <v>4093.4062502549996</v>
      </c>
      <c r="P1110" t="str">
        <f>IF(Pharma_Sales_Data[[#This Row],[Total Revenue]]&gt;20000,"High Value", IF(Pharma_Sales_Data[[#This Row],[Total Revenue]]&gt;=10000,"Medium Value","Low Value"))</f>
        <v>Medium Value</v>
      </c>
    </row>
    <row r="1111" spans="1:16" x14ac:dyDescent="0.35">
      <c r="A1111" s="1">
        <v>42750</v>
      </c>
      <c r="B1111">
        <v>8.0500000000000007</v>
      </c>
      <c r="C1111">
        <v>6.5250000000000004</v>
      </c>
      <c r="D1111">
        <v>9.0833333330000006</v>
      </c>
      <c r="E1111">
        <v>38.791666669999998</v>
      </c>
      <c r="F1111">
        <v>15.41666667</v>
      </c>
      <c r="G1111">
        <v>0</v>
      </c>
      <c r="H1111">
        <v>7.5</v>
      </c>
      <c r="I1111">
        <v>1.25</v>
      </c>
      <c r="J1111">
        <v>2017</v>
      </c>
      <c r="K1111">
        <v>1</v>
      </c>
      <c r="L1111" t="s">
        <v>14</v>
      </c>
      <c r="M1111">
        <f>SUM(Pharma_Sales_Data[[#This Row],[M01AB]:[R06]])</f>
        <v>86.616666672999997</v>
      </c>
      <c r="N1111" s="2">
        <f>Pharma_Sales_Data[[#This Row],[Total Drug Sales]]*150</f>
        <v>12992.50000095</v>
      </c>
      <c r="O1111" s="2">
        <f>Pharma_Sales_Data[[#This Row],[Total Revenue]]*0.3</f>
        <v>3897.7500002849997</v>
      </c>
      <c r="P1111" t="str">
        <f>IF(Pharma_Sales_Data[[#This Row],[Total Revenue]]&gt;20000,"High Value", IF(Pharma_Sales_Data[[#This Row],[Total Revenue]]&gt;=10000,"Medium Value","Low Value"))</f>
        <v>Medium Value</v>
      </c>
    </row>
    <row r="1112" spans="1:16" x14ac:dyDescent="0.35">
      <c r="A1112" s="1">
        <v>42751</v>
      </c>
      <c r="B1112">
        <v>6.670833333</v>
      </c>
      <c r="C1112">
        <v>4.0291666670000001</v>
      </c>
      <c r="D1112">
        <v>8.0416666669999994</v>
      </c>
      <c r="E1112">
        <v>63.5625</v>
      </c>
      <c r="F1112">
        <v>12.5</v>
      </c>
      <c r="G1112">
        <v>0.41666666699999999</v>
      </c>
      <c r="H1112">
        <v>7.0833333329999997</v>
      </c>
      <c r="I1112">
        <v>2.0833333330000001</v>
      </c>
      <c r="J1112">
        <v>2017</v>
      </c>
      <c r="K1112">
        <v>1</v>
      </c>
      <c r="L1112" t="s">
        <v>15</v>
      </c>
      <c r="M1112">
        <f>SUM(Pharma_Sales_Data[[#This Row],[M01AB]:[R06]])</f>
        <v>104.3875</v>
      </c>
      <c r="N1112" s="2">
        <f>Pharma_Sales_Data[[#This Row],[Total Drug Sales]]*150</f>
        <v>15658.125</v>
      </c>
      <c r="O1112" s="2">
        <f>Pharma_Sales_Data[[#This Row],[Total Revenue]]*0.3</f>
        <v>4697.4375</v>
      </c>
      <c r="P1112" t="str">
        <f>IF(Pharma_Sales_Data[[#This Row],[Total Revenue]]&gt;20000,"High Value", IF(Pharma_Sales_Data[[#This Row],[Total Revenue]]&gt;=10000,"Medium Value","Low Value"))</f>
        <v>Medium Value</v>
      </c>
    </row>
    <row r="1113" spans="1:16" x14ac:dyDescent="0.35">
      <c r="A1113" s="1">
        <v>42752</v>
      </c>
      <c r="B1113">
        <v>7.2249999999999996</v>
      </c>
      <c r="C1113">
        <v>4.1391666669999996</v>
      </c>
      <c r="D1113">
        <v>5.2916666670000003</v>
      </c>
      <c r="E1113">
        <v>48.458333330000002</v>
      </c>
      <c r="F1113">
        <v>13.33333333</v>
      </c>
      <c r="G1113">
        <v>1.6666666670000001</v>
      </c>
      <c r="H1113">
        <v>3.75</v>
      </c>
      <c r="I1113">
        <v>2.5</v>
      </c>
      <c r="J1113">
        <v>2017</v>
      </c>
      <c r="K1113">
        <v>1</v>
      </c>
      <c r="L1113" t="s">
        <v>16</v>
      </c>
      <c r="M1113">
        <f>SUM(Pharma_Sales_Data[[#This Row],[M01AB]:[R06]])</f>
        <v>86.364166661000013</v>
      </c>
      <c r="N1113" s="2">
        <f>Pharma_Sales_Data[[#This Row],[Total Drug Sales]]*150</f>
        <v>12954.624999150003</v>
      </c>
      <c r="O1113" s="2">
        <f>Pharma_Sales_Data[[#This Row],[Total Revenue]]*0.3</f>
        <v>3886.3874997450007</v>
      </c>
      <c r="P1113" t="str">
        <f>IF(Pharma_Sales_Data[[#This Row],[Total Revenue]]&gt;20000,"High Value", IF(Pharma_Sales_Data[[#This Row],[Total Revenue]]&gt;=10000,"Medium Value","Low Value"))</f>
        <v>Medium Value</v>
      </c>
    </row>
    <row r="1114" spans="1:16" x14ac:dyDescent="0.35">
      <c r="A1114" s="1">
        <v>42753</v>
      </c>
      <c r="B1114">
        <v>6.7416666669999996</v>
      </c>
      <c r="C1114">
        <v>4.4458333330000004</v>
      </c>
      <c r="D1114">
        <v>6.5</v>
      </c>
      <c r="E1114">
        <v>45.958333330000002</v>
      </c>
      <c r="F1114">
        <v>16.666666670000001</v>
      </c>
      <c r="G1114">
        <v>1.25</v>
      </c>
      <c r="H1114">
        <v>5.8333333329999997</v>
      </c>
      <c r="I1114">
        <v>0.83333333300000001</v>
      </c>
      <c r="J1114">
        <v>2017</v>
      </c>
      <c r="K1114">
        <v>1</v>
      </c>
      <c r="L1114" t="s">
        <v>17</v>
      </c>
      <c r="M1114">
        <f>SUM(Pharma_Sales_Data[[#This Row],[M01AB]:[R06]])</f>
        <v>88.229166665999998</v>
      </c>
      <c r="N1114" s="2">
        <f>Pharma_Sales_Data[[#This Row],[Total Drug Sales]]*150</f>
        <v>13234.374999899999</v>
      </c>
      <c r="O1114" s="2">
        <f>Pharma_Sales_Data[[#This Row],[Total Revenue]]*0.3</f>
        <v>3970.3124999699994</v>
      </c>
      <c r="P1114" t="str">
        <f>IF(Pharma_Sales_Data[[#This Row],[Total Revenue]]&gt;20000,"High Value", IF(Pharma_Sales_Data[[#This Row],[Total Revenue]]&gt;=10000,"Medium Value","Low Value"))</f>
        <v>Medium Value</v>
      </c>
    </row>
    <row r="1115" spans="1:16" x14ac:dyDescent="0.35">
      <c r="A1115" s="1">
        <v>42754</v>
      </c>
      <c r="B1115">
        <v>5</v>
      </c>
      <c r="C1115">
        <v>5.7</v>
      </c>
      <c r="D1115">
        <v>7.8333333329999997</v>
      </c>
      <c r="E1115">
        <v>37.75</v>
      </c>
      <c r="F1115">
        <v>15.83333333</v>
      </c>
      <c r="G1115">
        <v>0</v>
      </c>
      <c r="H1115">
        <v>2.5</v>
      </c>
      <c r="I1115">
        <v>3.3333333330000001</v>
      </c>
      <c r="J1115">
        <v>2017</v>
      </c>
      <c r="K1115">
        <v>1</v>
      </c>
      <c r="L1115" t="s">
        <v>11</v>
      </c>
      <c r="M1115">
        <f>SUM(Pharma_Sales_Data[[#This Row],[M01AB]:[R06]])</f>
        <v>77.949999996000003</v>
      </c>
      <c r="N1115" s="2">
        <f>Pharma_Sales_Data[[#This Row],[Total Drug Sales]]*150</f>
        <v>11692.499999400001</v>
      </c>
      <c r="O1115" s="2">
        <f>Pharma_Sales_Data[[#This Row],[Total Revenue]]*0.3</f>
        <v>3507.7499998200001</v>
      </c>
      <c r="P1115" t="str">
        <f>IF(Pharma_Sales_Data[[#This Row],[Total Revenue]]&gt;20000,"High Value", IF(Pharma_Sales_Data[[#This Row],[Total Revenue]]&gt;=10000,"Medium Value","Low Value"))</f>
        <v>Medium Value</v>
      </c>
    </row>
    <row r="1116" spans="1:16" x14ac:dyDescent="0.35">
      <c r="A1116" s="1">
        <v>42755</v>
      </c>
      <c r="B1116">
        <v>3.608333333</v>
      </c>
      <c r="C1116">
        <v>4.7387499999999996</v>
      </c>
      <c r="D1116">
        <v>4.125</v>
      </c>
      <c r="E1116">
        <v>37.625</v>
      </c>
      <c r="F1116">
        <v>23.333333329999999</v>
      </c>
      <c r="G1116">
        <v>2.9166666669999999</v>
      </c>
      <c r="H1116">
        <v>12.5</v>
      </c>
      <c r="I1116">
        <v>2.5</v>
      </c>
      <c r="J1116">
        <v>2017</v>
      </c>
      <c r="K1116">
        <v>1</v>
      </c>
      <c r="L1116" t="s">
        <v>12</v>
      </c>
      <c r="M1116">
        <f>SUM(Pharma_Sales_Data[[#This Row],[M01AB]:[R06]])</f>
        <v>91.347083330000004</v>
      </c>
      <c r="N1116" s="2">
        <f>Pharma_Sales_Data[[#This Row],[Total Drug Sales]]*150</f>
        <v>13702.0624995</v>
      </c>
      <c r="O1116" s="2">
        <f>Pharma_Sales_Data[[#This Row],[Total Revenue]]*0.3</f>
        <v>4110.6187498499994</v>
      </c>
      <c r="P1116" t="str">
        <f>IF(Pharma_Sales_Data[[#This Row],[Total Revenue]]&gt;20000,"High Value", IF(Pharma_Sales_Data[[#This Row],[Total Revenue]]&gt;=10000,"Medium Value","Low Value"))</f>
        <v>Medium Value</v>
      </c>
    </row>
    <row r="1117" spans="1:16" x14ac:dyDescent="0.35">
      <c r="A1117" s="1">
        <v>42756</v>
      </c>
      <c r="B1117">
        <v>5.6958333330000004</v>
      </c>
      <c r="C1117">
        <v>2.4</v>
      </c>
      <c r="D1117">
        <v>4.5833333329999997</v>
      </c>
      <c r="E1117">
        <v>50.208333330000002</v>
      </c>
      <c r="F1117">
        <v>15</v>
      </c>
      <c r="G1117">
        <v>2.0833333330000001</v>
      </c>
      <c r="H1117">
        <v>4.5833333329999997</v>
      </c>
      <c r="I1117">
        <v>2.9166666669999999</v>
      </c>
      <c r="J1117">
        <v>2017</v>
      </c>
      <c r="K1117">
        <v>1</v>
      </c>
      <c r="L1117" t="s">
        <v>13</v>
      </c>
      <c r="M1117">
        <f>SUM(Pharma_Sales_Data[[#This Row],[M01AB]:[R06]])</f>
        <v>87.470833329000001</v>
      </c>
      <c r="N1117" s="2">
        <f>Pharma_Sales_Data[[#This Row],[Total Drug Sales]]*150</f>
        <v>13120.624999350001</v>
      </c>
      <c r="O1117" s="2">
        <f>Pharma_Sales_Data[[#This Row],[Total Revenue]]*0.3</f>
        <v>3936.1874998049998</v>
      </c>
      <c r="P1117" t="str">
        <f>IF(Pharma_Sales_Data[[#This Row],[Total Revenue]]&gt;20000,"High Value", IF(Pharma_Sales_Data[[#This Row],[Total Revenue]]&gt;=10000,"Medium Value","Low Value"))</f>
        <v>Medium Value</v>
      </c>
    </row>
    <row r="1118" spans="1:16" x14ac:dyDescent="0.35">
      <c r="A1118" s="1">
        <v>42757</v>
      </c>
      <c r="B1118">
        <v>4.5125000000000002</v>
      </c>
      <c r="C1118">
        <v>5.0075000000000003</v>
      </c>
      <c r="D1118">
        <v>5.125</v>
      </c>
      <c r="E1118">
        <v>37.020833330000002</v>
      </c>
      <c r="F1118">
        <v>19.166666670000001</v>
      </c>
      <c r="G1118">
        <v>1.25</v>
      </c>
      <c r="H1118">
        <v>9.1666666669999994</v>
      </c>
      <c r="I1118">
        <v>1.6666666670000001</v>
      </c>
      <c r="J1118">
        <v>2017</v>
      </c>
      <c r="K1118">
        <v>1</v>
      </c>
      <c r="L1118" t="s">
        <v>14</v>
      </c>
      <c r="M1118">
        <f>SUM(Pharma_Sales_Data[[#This Row],[M01AB]:[R06]])</f>
        <v>82.915833333999998</v>
      </c>
      <c r="N1118" s="2">
        <f>Pharma_Sales_Data[[#This Row],[Total Drug Sales]]*150</f>
        <v>12437.375000099999</v>
      </c>
      <c r="O1118" s="2">
        <f>Pharma_Sales_Data[[#This Row],[Total Revenue]]*0.3</f>
        <v>3731.2125000299993</v>
      </c>
      <c r="P1118" t="str">
        <f>IF(Pharma_Sales_Data[[#This Row],[Total Revenue]]&gt;20000,"High Value", IF(Pharma_Sales_Data[[#This Row],[Total Revenue]]&gt;=10000,"Medium Value","Low Value"))</f>
        <v>Medium Value</v>
      </c>
    </row>
    <row r="1119" spans="1:16" x14ac:dyDescent="0.35">
      <c r="A1119" s="1">
        <v>42758</v>
      </c>
      <c r="B1119">
        <v>5.1375000000000002</v>
      </c>
      <c r="C1119">
        <v>4.5049999999999999</v>
      </c>
      <c r="D1119">
        <v>6.2916666670000003</v>
      </c>
      <c r="E1119">
        <v>41.75</v>
      </c>
      <c r="F1119">
        <v>15.83333333</v>
      </c>
      <c r="G1119">
        <v>0.83333333300000001</v>
      </c>
      <c r="H1119">
        <v>2.5</v>
      </c>
      <c r="I1119">
        <v>1.6666666670000001</v>
      </c>
      <c r="J1119">
        <v>2017</v>
      </c>
      <c r="K1119">
        <v>1</v>
      </c>
      <c r="L1119" t="s">
        <v>15</v>
      </c>
      <c r="M1119">
        <f>SUM(Pharma_Sales_Data[[#This Row],[M01AB]:[R06]])</f>
        <v>78.517499997000002</v>
      </c>
      <c r="N1119" s="2">
        <f>Pharma_Sales_Data[[#This Row],[Total Drug Sales]]*150</f>
        <v>11777.62499955</v>
      </c>
      <c r="O1119" s="2">
        <f>Pharma_Sales_Data[[#This Row],[Total Revenue]]*0.3</f>
        <v>3533.287499865</v>
      </c>
      <c r="P1119" t="str">
        <f>IF(Pharma_Sales_Data[[#This Row],[Total Revenue]]&gt;20000,"High Value", IF(Pharma_Sales_Data[[#This Row],[Total Revenue]]&gt;=10000,"Medium Value","Low Value"))</f>
        <v>Medium Value</v>
      </c>
    </row>
    <row r="1120" spans="1:16" x14ac:dyDescent="0.35">
      <c r="A1120" s="1">
        <v>42759</v>
      </c>
      <c r="B1120">
        <v>6.1124999999999998</v>
      </c>
      <c r="C1120">
        <v>5.7708333329999997</v>
      </c>
      <c r="D1120">
        <v>10.95833333</v>
      </c>
      <c r="E1120">
        <v>40.083333330000002</v>
      </c>
      <c r="F1120">
        <v>11.25</v>
      </c>
      <c r="G1120">
        <v>0</v>
      </c>
      <c r="H1120">
        <v>10</v>
      </c>
      <c r="I1120">
        <v>2.9166666669999999</v>
      </c>
      <c r="J1120">
        <v>2017</v>
      </c>
      <c r="K1120">
        <v>1</v>
      </c>
      <c r="L1120" t="s">
        <v>16</v>
      </c>
      <c r="M1120">
        <f>SUM(Pharma_Sales_Data[[#This Row],[M01AB]:[R06]])</f>
        <v>87.091666660000001</v>
      </c>
      <c r="N1120" s="2">
        <f>Pharma_Sales_Data[[#This Row],[Total Drug Sales]]*150</f>
        <v>13063.749999</v>
      </c>
      <c r="O1120" s="2">
        <f>Pharma_Sales_Data[[#This Row],[Total Revenue]]*0.3</f>
        <v>3919.1249996999995</v>
      </c>
      <c r="P1120" t="str">
        <f>IF(Pharma_Sales_Data[[#This Row],[Total Revenue]]&gt;20000,"High Value", IF(Pharma_Sales_Data[[#This Row],[Total Revenue]]&gt;=10000,"Medium Value","Low Value"))</f>
        <v>Medium Value</v>
      </c>
    </row>
    <row r="1121" spans="1:16" x14ac:dyDescent="0.35">
      <c r="A1121" s="1">
        <v>42760</v>
      </c>
      <c r="B1121">
        <v>7.7791666670000001</v>
      </c>
      <c r="C1121">
        <v>5.108333333</v>
      </c>
      <c r="D1121">
        <v>7.6666666670000003</v>
      </c>
      <c r="E1121">
        <v>51.1875</v>
      </c>
      <c r="F1121">
        <v>18.75</v>
      </c>
      <c r="G1121">
        <v>2.0833333330000001</v>
      </c>
      <c r="H1121">
        <v>13.75</v>
      </c>
      <c r="I1121">
        <v>2.2916666669999999</v>
      </c>
      <c r="J1121">
        <v>2017</v>
      </c>
      <c r="K1121">
        <v>1</v>
      </c>
      <c r="L1121" t="s">
        <v>17</v>
      </c>
      <c r="M1121">
        <f>SUM(Pharma_Sales_Data[[#This Row],[M01AB]:[R06]])</f>
        <v>108.616666667</v>
      </c>
      <c r="N1121" s="2">
        <f>Pharma_Sales_Data[[#This Row],[Total Drug Sales]]*150</f>
        <v>16292.50000005</v>
      </c>
      <c r="O1121" s="2">
        <f>Pharma_Sales_Data[[#This Row],[Total Revenue]]*0.3</f>
        <v>4887.7500000150003</v>
      </c>
      <c r="P1121" t="str">
        <f>IF(Pharma_Sales_Data[[#This Row],[Total Revenue]]&gt;20000,"High Value", IF(Pharma_Sales_Data[[#This Row],[Total Revenue]]&gt;=10000,"Medium Value","Low Value"))</f>
        <v>Medium Value</v>
      </c>
    </row>
    <row r="1122" spans="1:16" x14ac:dyDescent="0.35">
      <c r="A1122" s="1">
        <v>42761</v>
      </c>
      <c r="B1122">
        <v>5.9791666670000003</v>
      </c>
      <c r="C1122">
        <v>5.224583333</v>
      </c>
      <c r="D1122">
        <v>7.0416666670000003</v>
      </c>
      <c r="E1122">
        <v>36.625</v>
      </c>
      <c r="F1122">
        <v>13.75</v>
      </c>
      <c r="G1122">
        <v>0.83333333300000001</v>
      </c>
      <c r="H1122">
        <v>8.3333333330000006</v>
      </c>
      <c r="I1122">
        <v>0</v>
      </c>
      <c r="J1122">
        <v>2017</v>
      </c>
      <c r="K1122">
        <v>1</v>
      </c>
      <c r="L1122" t="s">
        <v>11</v>
      </c>
      <c r="M1122">
        <f>SUM(Pharma_Sales_Data[[#This Row],[M01AB]:[R06]])</f>
        <v>77.787083332999998</v>
      </c>
      <c r="N1122" s="2">
        <f>Pharma_Sales_Data[[#This Row],[Total Drug Sales]]*150</f>
        <v>11668.06249995</v>
      </c>
      <c r="O1122" s="2">
        <f>Pharma_Sales_Data[[#This Row],[Total Revenue]]*0.3</f>
        <v>3500.418749985</v>
      </c>
      <c r="P1122" t="str">
        <f>IF(Pharma_Sales_Data[[#This Row],[Total Revenue]]&gt;20000,"High Value", IF(Pharma_Sales_Data[[#This Row],[Total Revenue]]&gt;=10000,"Medium Value","Low Value"))</f>
        <v>Medium Value</v>
      </c>
    </row>
    <row r="1123" spans="1:16" x14ac:dyDescent="0.35">
      <c r="A1123" s="1">
        <v>42762</v>
      </c>
      <c r="B1123">
        <v>7.85</v>
      </c>
      <c r="C1123">
        <v>7.5412499999999998</v>
      </c>
      <c r="D1123">
        <v>5.1666666670000003</v>
      </c>
      <c r="E1123">
        <v>42.60916667</v>
      </c>
      <c r="F1123">
        <v>21.25</v>
      </c>
      <c r="G1123">
        <v>2.0833333330000001</v>
      </c>
      <c r="H1123">
        <v>9.5833333330000006</v>
      </c>
      <c r="I1123">
        <v>1.25</v>
      </c>
      <c r="J1123">
        <v>2017</v>
      </c>
      <c r="K1123">
        <v>1</v>
      </c>
      <c r="L1123" t="s">
        <v>12</v>
      </c>
      <c r="M1123">
        <f>SUM(Pharma_Sales_Data[[#This Row],[M01AB]:[R06]])</f>
        <v>97.333750003000006</v>
      </c>
      <c r="N1123" s="2">
        <f>Pharma_Sales_Data[[#This Row],[Total Drug Sales]]*150</f>
        <v>14600.062500450002</v>
      </c>
      <c r="O1123" s="2">
        <f>Pharma_Sales_Data[[#This Row],[Total Revenue]]*0.3</f>
        <v>4380.0187501350001</v>
      </c>
      <c r="P1123" t="str">
        <f>IF(Pharma_Sales_Data[[#This Row],[Total Revenue]]&gt;20000,"High Value", IF(Pharma_Sales_Data[[#This Row],[Total Revenue]]&gt;=10000,"Medium Value","Low Value"))</f>
        <v>Medium Value</v>
      </c>
    </row>
    <row r="1124" spans="1:16" x14ac:dyDescent="0.35">
      <c r="A1124" s="1">
        <v>42763</v>
      </c>
      <c r="B1124">
        <v>5.9708333329999999</v>
      </c>
      <c r="C1124">
        <v>6.1124999999999998</v>
      </c>
      <c r="D1124">
        <v>2.25</v>
      </c>
      <c r="E1124">
        <v>32.083333330000002</v>
      </c>
      <c r="F1124">
        <v>9.1666666669999994</v>
      </c>
      <c r="G1124">
        <v>0</v>
      </c>
      <c r="H1124">
        <v>1.6666666670000001</v>
      </c>
      <c r="I1124">
        <v>1.25</v>
      </c>
      <c r="J1124">
        <v>2017</v>
      </c>
      <c r="K1124">
        <v>1</v>
      </c>
      <c r="L1124" t="s">
        <v>13</v>
      </c>
      <c r="M1124">
        <f>SUM(Pharma_Sales_Data[[#This Row],[M01AB]:[R06]])</f>
        <v>58.499999997000003</v>
      </c>
      <c r="N1124" s="2">
        <f>Pharma_Sales_Data[[#This Row],[Total Drug Sales]]*150</f>
        <v>8774.9999995500002</v>
      </c>
      <c r="O1124" s="2">
        <f>Pharma_Sales_Data[[#This Row],[Total Revenue]]*0.3</f>
        <v>2632.4999998650001</v>
      </c>
      <c r="P1124" t="str">
        <f>IF(Pharma_Sales_Data[[#This Row],[Total Revenue]]&gt;20000,"High Value", IF(Pharma_Sales_Data[[#This Row],[Total Revenue]]&gt;=10000,"Medium Value","Low Value"))</f>
        <v>Low Value</v>
      </c>
    </row>
    <row r="1125" spans="1:16" x14ac:dyDescent="0.35">
      <c r="A1125" s="1">
        <v>42764</v>
      </c>
      <c r="B1125">
        <v>5.141666667</v>
      </c>
      <c r="C1125">
        <v>7.7833333329999999</v>
      </c>
      <c r="D1125">
        <v>5.3333333329999997</v>
      </c>
      <c r="E1125">
        <v>54.166666669999998</v>
      </c>
      <c r="F1125">
        <v>15.83333333</v>
      </c>
      <c r="G1125">
        <v>2.5</v>
      </c>
      <c r="H1125">
        <v>9.5833333330000006</v>
      </c>
      <c r="I1125">
        <v>3.3333333330000001</v>
      </c>
      <c r="J1125">
        <v>2017</v>
      </c>
      <c r="K1125">
        <v>1</v>
      </c>
      <c r="L1125" t="s">
        <v>14</v>
      </c>
      <c r="M1125">
        <f>SUM(Pharma_Sales_Data[[#This Row],[M01AB]:[R06]])</f>
        <v>103.67499999899999</v>
      </c>
      <c r="N1125" s="2">
        <f>Pharma_Sales_Data[[#This Row],[Total Drug Sales]]*150</f>
        <v>15551.249999849999</v>
      </c>
      <c r="O1125" s="2">
        <f>Pharma_Sales_Data[[#This Row],[Total Revenue]]*0.3</f>
        <v>4665.3749999549991</v>
      </c>
      <c r="P1125" t="str">
        <f>IF(Pharma_Sales_Data[[#This Row],[Total Revenue]]&gt;20000,"High Value", IF(Pharma_Sales_Data[[#This Row],[Total Revenue]]&gt;=10000,"Medium Value","Low Value"))</f>
        <v>Medium Value</v>
      </c>
    </row>
    <row r="1126" spans="1:16" x14ac:dyDescent="0.35">
      <c r="A1126" s="1">
        <v>42765</v>
      </c>
      <c r="B1126">
        <v>8.0583333330000002</v>
      </c>
      <c r="C1126">
        <v>5.61625</v>
      </c>
      <c r="D1126">
        <v>7</v>
      </c>
      <c r="E1126">
        <v>35.517499999999998</v>
      </c>
      <c r="F1126">
        <v>17.083333329999999</v>
      </c>
      <c r="G1126">
        <v>4.1666666670000003</v>
      </c>
      <c r="H1126">
        <v>7.0833333329999997</v>
      </c>
      <c r="I1126">
        <v>4.1666666670000003</v>
      </c>
      <c r="J1126">
        <v>2017</v>
      </c>
      <c r="K1126">
        <v>1</v>
      </c>
      <c r="L1126" t="s">
        <v>15</v>
      </c>
      <c r="M1126">
        <f>SUM(Pharma_Sales_Data[[#This Row],[M01AB]:[R06]])</f>
        <v>88.692083330000003</v>
      </c>
      <c r="N1126" s="2">
        <f>Pharma_Sales_Data[[#This Row],[Total Drug Sales]]*150</f>
        <v>13303.8124995</v>
      </c>
      <c r="O1126" s="2">
        <f>Pharma_Sales_Data[[#This Row],[Total Revenue]]*0.3</f>
        <v>3991.1437498499999</v>
      </c>
      <c r="P1126" t="str">
        <f>IF(Pharma_Sales_Data[[#This Row],[Total Revenue]]&gt;20000,"High Value", IF(Pharma_Sales_Data[[#This Row],[Total Revenue]]&gt;=10000,"Medium Value","Low Value"))</f>
        <v>Medium Value</v>
      </c>
    </row>
    <row r="1127" spans="1:16" x14ac:dyDescent="0.35">
      <c r="A1127" s="1">
        <v>42766</v>
      </c>
      <c r="B1127">
        <v>4.4416666669999998</v>
      </c>
      <c r="C1127">
        <v>4.2545833330000002</v>
      </c>
      <c r="D1127">
        <v>2.8333333330000001</v>
      </c>
      <c r="E1127">
        <v>47.25</v>
      </c>
      <c r="F1127">
        <v>13.33333333</v>
      </c>
      <c r="G1127">
        <v>0.83333333300000001</v>
      </c>
      <c r="H1127">
        <v>2.9166666669999999</v>
      </c>
      <c r="I1127">
        <v>1.6666666670000001</v>
      </c>
      <c r="J1127">
        <v>2017</v>
      </c>
      <c r="K1127">
        <v>1</v>
      </c>
      <c r="L1127" t="s">
        <v>16</v>
      </c>
      <c r="M1127">
        <f>SUM(Pharma_Sales_Data[[#This Row],[M01AB]:[R06]])</f>
        <v>77.529583329999994</v>
      </c>
      <c r="N1127" s="2">
        <f>Pharma_Sales_Data[[#This Row],[Total Drug Sales]]*150</f>
        <v>11629.4374995</v>
      </c>
      <c r="O1127" s="2">
        <f>Pharma_Sales_Data[[#This Row],[Total Revenue]]*0.3</f>
        <v>3488.8312498499999</v>
      </c>
      <c r="P1127" t="str">
        <f>IF(Pharma_Sales_Data[[#This Row],[Total Revenue]]&gt;20000,"High Value", IF(Pharma_Sales_Data[[#This Row],[Total Revenue]]&gt;=10000,"Medium Value","Low Value"))</f>
        <v>Medium Value</v>
      </c>
    </row>
    <row r="1128" spans="1:16" x14ac:dyDescent="0.35">
      <c r="A1128" s="1">
        <v>42767</v>
      </c>
      <c r="B1128">
        <v>7.375</v>
      </c>
      <c r="C1128">
        <v>5.1883333330000001</v>
      </c>
      <c r="D1128">
        <v>6.0416666670000003</v>
      </c>
      <c r="E1128">
        <v>31.625</v>
      </c>
      <c r="F1128">
        <v>10.83333333</v>
      </c>
      <c r="G1128">
        <v>0.41666666699999999</v>
      </c>
      <c r="H1128">
        <v>8.3333333330000006</v>
      </c>
      <c r="I1128">
        <v>2.0833333330000001</v>
      </c>
      <c r="J1128">
        <v>2017</v>
      </c>
      <c r="K1128">
        <v>2</v>
      </c>
      <c r="L1128" t="s">
        <v>17</v>
      </c>
      <c r="M1128">
        <f>SUM(Pharma_Sales_Data[[#This Row],[M01AB]:[R06]])</f>
        <v>71.896666663000005</v>
      </c>
      <c r="N1128" s="2">
        <f>Pharma_Sales_Data[[#This Row],[Total Drug Sales]]*150</f>
        <v>10784.499999450001</v>
      </c>
      <c r="O1128" s="2">
        <f>Pharma_Sales_Data[[#This Row],[Total Revenue]]*0.3</f>
        <v>3235.3499998350003</v>
      </c>
      <c r="P1128" t="str">
        <f>IF(Pharma_Sales_Data[[#This Row],[Total Revenue]]&gt;20000,"High Value", IF(Pharma_Sales_Data[[#This Row],[Total Revenue]]&gt;=10000,"Medium Value","Low Value"))</f>
        <v>Medium Value</v>
      </c>
    </row>
    <row r="1129" spans="1:16" x14ac:dyDescent="0.35">
      <c r="A1129" s="1">
        <v>42768</v>
      </c>
      <c r="B1129">
        <v>8.1958333329999995</v>
      </c>
      <c r="C1129">
        <v>6.2116666670000003</v>
      </c>
      <c r="D1129">
        <v>6.4166666670000003</v>
      </c>
      <c r="E1129">
        <v>42.291666669999998</v>
      </c>
      <c r="F1129">
        <v>9.1666666669999994</v>
      </c>
      <c r="G1129">
        <v>0.41666666699999999</v>
      </c>
      <c r="H1129">
        <v>0.41666666699999999</v>
      </c>
      <c r="I1129">
        <v>0.83333333300000001</v>
      </c>
      <c r="J1129">
        <v>2017</v>
      </c>
      <c r="K1129">
        <v>2</v>
      </c>
      <c r="L1129" t="s">
        <v>11</v>
      </c>
      <c r="M1129">
        <f>SUM(Pharma_Sales_Data[[#This Row],[M01AB]:[R06]])</f>
        <v>73.949166671</v>
      </c>
      <c r="N1129" s="2">
        <f>Pharma_Sales_Data[[#This Row],[Total Drug Sales]]*150</f>
        <v>11092.375000649999</v>
      </c>
      <c r="O1129" s="2">
        <f>Pharma_Sales_Data[[#This Row],[Total Revenue]]*0.3</f>
        <v>3327.7125001949998</v>
      </c>
      <c r="P1129" t="str">
        <f>IF(Pharma_Sales_Data[[#This Row],[Total Revenue]]&gt;20000,"High Value", IF(Pharma_Sales_Data[[#This Row],[Total Revenue]]&gt;=10000,"Medium Value","Low Value"))</f>
        <v>Medium Value</v>
      </c>
    </row>
    <row r="1130" spans="1:16" x14ac:dyDescent="0.35">
      <c r="A1130" s="1">
        <v>42769</v>
      </c>
      <c r="B1130">
        <v>7.6375000000000002</v>
      </c>
      <c r="C1130">
        <v>6.2554166670000004</v>
      </c>
      <c r="D1130">
        <v>9</v>
      </c>
      <c r="E1130">
        <v>42.900833329999998</v>
      </c>
      <c r="F1130">
        <v>15.83333333</v>
      </c>
      <c r="G1130">
        <v>2.5</v>
      </c>
      <c r="H1130">
        <v>7.0833333329999997</v>
      </c>
      <c r="I1130">
        <v>0.83333333300000001</v>
      </c>
      <c r="J1130">
        <v>2017</v>
      </c>
      <c r="K1130">
        <v>2</v>
      </c>
      <c r="L1130" t="s">
        <v>12</v>
      </c>
      <c r="M1130">
        <f>SUM(Pharma_Sales_Data[[#This Row],[M01AB]:[R06]])</f>
        <v>92.043749992999992</v>
      </c>
      <c r="N1130" s="2">
        <f>Pharma_Sales_Data[[#This Row],[Total Drug Sales]]*150</f>
        <v>13806.562498949999</v>
      </c>
      <c r="O1130" s="2">
        <f>Pharma_Sales_Data[[#This Row],[Total Revenue]]*0.3</f>
        <v>4141.9687496849992</v>
      </c>
      <c r="P1130" t="str">
        <f>IF(Pharma_Sales_Data[[#This Row],[Total Revenue]]&gt;20000,"High Value", IF(Pharma_Sales_Data[[#This Row],[Total Revenue]]&gt;=10000,"Medium Value","Low Value"))</f>
        <v>Medium Value</v>
      </c>
    </row>
    <row r="1131" spans="1:16" x14ac:dyDescent="0.35">
      <c r="A1131" s="1">
        <v>42770</v>
      </c>
      <c r="B1131">
        <v>7.7791666670000001</v>
      </c>
      <c r="C1131">
        <v>4.1666666670000003</v>
      </c>
      <c r="D1131">
        <v>4.4166666670000003</v>
      </c>
      <c r="E1131">
        <v>27.708333329999999</v>
      </c>
      <c r="F1131">
        <v>12.08333333</v>
      </c>
      <c r="G1131">
        <v>0.83333333300000001</v>
      </c>
      <c r="H1131">
        <v>7.5</v>
      </c>
      <c r="I1131">
        <v>3.75</v>
      </c>
      <c r="J1131">
        <v>2017</v>
      </c>
      <c r="K1131">
        <v>2</v>
      </c>
      <c r="L1131" t="s">
        <v>13</v>
      </c>
      <c r="M1131">
        <f>SUM(Pharma_Sales_Data[[#This Row],[M01AB]:[R06]])</f>
        <v>68.237499994000004</v>
      </c>
      <c r="N1131" s="2">
        <f>Pharma_Sales_Data[[#This Row],[Total Drug Sales]]*150</f>
        <v>10235.6249991</v>
      </c>
      <c r="O1131" s="2">
        <f>Pharma_Sales_Data[[#This Row],[Total Revenue]]*0.3</f>
        <v>3070.6874997300001</v>
      </c>
      <c r="P1131" t="str">
        <f>IF(Pharma_Sales_Data[[#This Row],[Total Revenue]]&gt;20000,"High Value", IF(Pharma_Sales_Data[[#This Row],[Total Revenue]]&gt;=10000,"Medium Value","Low Value"))</f>
        <v>Medium Value</v>
      </c>
    </row>
    <row r="1132" spans="1:16" x14ac:dyDescent="0.35">
      <c r="A1132" s="1">
        <v>42771</v>
      </c>
      <c r="B1132">
        <v>10.67</v>
      </c>
      <c r="C1132">
        <v>10.725</v>
      </c>
      <c r="D1132">
        <v>5</v>
      </c>
      <c r="E1132">
        <v>38.6</v>
      </c>
      <c r="F1132">
        <v>1</v>
      </c>
      <c r="G1132">
        <v>0</v>
      </c>
      <c r="H1132">
        <v>11</v>
      </c>
      <c r="I1132">
        <v>1.1000000000000001</v>
      </c>
      <c r="J1132">
        <v>2017</v>
      </c>
      <c r="K1132">
        <v>2</v>
      </c>
      <c r="L1132" t="s">
        <v>14</v>
      </c>
      <c r="M1132">
        <f>SUM(Pharma_Sales_Data[[#This Row],[M01AB]:[R06]])</f>
        <v>78.094999999999999</v>
      </c>
      <c r="N1132" s="2">
        <f>Pharma_Sales_Data[[#This Row],[Total Drug Sales]]*150</f>
        <v>11714.25</v>
      </c>
      <c r="O1132" s="2">
        <f>Pharma_Sales_Data[[#This Row],[Total Revenue]]*0.3</f>
        <v>3514.2750000000001</v>
      </c>
      <c r="P1132" t="str">
        <f>IF(Pharma_Sales_Data[[#This Row],[Total Revenue]]&gt;20000,"High Value", IF(Pharma_Sales_Data[[#This Row],[Total Revenue]]&gt;=10000,"Medium Value","Low Value"))</f>
        <v>Medium Value</v>
      </c>
    </row>
    <row r="1133" spans="1:16" x14ac:dyDescent="0.35">
      <c r="A1133" s="1">
        <v>42772</v>
      </c>
      <c r="B1133">
        <v>10</v>
      </c>
      <c r="C1133">
        <v>5</v>
      </c>
      <c r="D1133">
        <v>4.4000000000000004</v>
      </c>
      <c r="E1133">
        <v>13</v>
      </c>
      <c r="F1133">
        <v>3</v>
      </c>
      <c r="G1133">
        <v>2</v>
      </c>
      <c r="H1133">
        <v>5</v>
      </c>
      <c r="I1133">
        <v>0</v>
      </c>
      <c r="J1133">
        <v>2017</v>
      </c>
      <c r="K1133">
        <v>2</v>
      </c>
      <c r="L1133" t="s">
        <v>15</v>
      </c>
      <c r="M1133">
        <f>SUM(Pharma_Sales_Data[[#This Row],[M01AB]:[R06]])</f>
        <v>42.4</v>
      </c>
      <c r="N1133" s="2">
        <f>Pharma_Sales_Data[[#This Row],[Total Drug Sales]]*150</f>
        <v>6360</v>
      </c>
      <c r="O1133" s="2">
        <f>Pharma_Sales_Data[[#This Row],[Total Revenue]]*0.3</f>
        <v>1908</v>
      </c>
      <c r="P1133" t="str">
        <f>IF(Pharma_Sales_Data[[#This Row],[Total Revenue]]&gt;20000,"High Value", IF(Pharma_Sales_Data[[#This Row],[Total Revenue]]&gt;=10000,"Medium Value","Low Value"))</f>
        <v>Low Value</v>
      </c>
    </row>
    <row r="1134" spans="1:16" x14ac:dyDescent="0.35">
      <c r="A1134" s="1">
        <v>42773</v>
      </c>
      <c r="B1134">
        <v>3</v>
      </c>
      <c r="C1134">
        <v>0.33</v>
      </c>
      <c r="D1134">
        <v>3.5</v>
      </c>
      <c r="E1134">
        <v>13.8</v>
      </c>
      <c r="F1134">
        <v>3</v>
      </c>
      <c r="G1134">
        <v>0</v>
      </c>
      <c r="H1134">
        <v>7</v>
      </c>
      <c r="I1134">
        <v>2</v>
      </c>
      <c r="J1134">
        <v>2017</v>
      </c>
      <c r="K1134">
        <v>2</v>
      </c>
      <c r="L1134" t="s">
        <v>16</v>
      </c>
      <c r="M1134">
        <f>SUM(Pharma_Sales_Data[[#This Row],[M01AB]:[R06]])</f>
        <v>32.630000000000003</v>
      </c>
      <c r="N1134" s="2">
        <f>Pharma_Sales_Data[[#This Row],[Total Drug Sales]]*150</f>
        <v>4894.5</v>
      </c>
      <c r="O1134" s="2">
        <f>Pharma_Sales_Data[[#This Row],[Total Revenue]]*0.3</f>
        <v>1468.35</v>
      </c>
      <c r="P1134" t="str">
        <f>IF(Pharma_Sales_Data[[#This Row],[Total Revenue]]&gt;20000,"High Value", IF(Pharma_Sales_Data[[#This Row],[Total Revenue]]&gt;=10000,"Medium Value","Low Value"))</f>
        <v>Low Value</v>
      </c>
    </row>
    <row r="1135" spans="1:16" x14ac:dyDescent="0.35">
      <c r="A1135" s="1">
        <v>42774</v>
      </c>
      <c r="B1135">
        <v>11</v>
      </c>
      <c r="C1135">
        <v>1.67</v>
      </c>
      <c r="D1135">
        <v>4</v>
      </c>
      <c r="E1135">
        <v>36</v>
      </c>
      <c r="F1135">
        <v>7</v>
      </c>
      <c r="G1135">
        <v>0</v>
      </c>
      <c r="H1135">
        <v>10</v>
      </c>
      <c r="I1135">
        <v>2</v>
      </c>
      <c r="J1135">
        <v>2017</v>
      </c>
      <c r="K1135">
        <v>2</v>
      </c>
      <c r="L1135" t="s">
        <v>17</v>
      </c>
      <c r="M1135">
        <f>SUM(Pharma_Sales_Data[[#This Row],[M01AB]:[R06]])</f>
        <v>71.67</v>
      </c>
      <c r="N1135" s="2">
        <f>Pharma_Sales_Data[[#This Row],[Total Drug Sales]]*150</f>
        <v>10750.5</v>
      </c>
      <c r="O1135" s="2">
        <f>Pharma_Sales_Data[[#This Row],[Total Revenue]]*0.3</f>
        <v>3225.15</v>
      </c>
      <c r="P1135" t="str">
        <f>IF(Pharma_Sales_Data[[#This Row],[Total Revenue]]&gt;20000,"High Value", IF(Pharma_Sales_Data[[#This Row],[Total Revenue]]&gt;=10000,"Medium Value","Low Value"))</f>
        <v>Medium Value</v>
      </c>
    </row>
    <row r="1136" spans="1:16" x14ac:dyDescent="0.35">
      <c r="A1136" s="1">
        <v>42775</v>
      </c>
      <c r="B1136">
        <v>3.9824999999999999</v>
      </c>
      <c r="C1136">
        <v>1.76</v>
      </c>
      <c r="D1136">
        <v>4</v>
      </c>
      <c r="E1136">
        <v>20.399999999999999</v>
      </c>
      <c r="F1136">
        <v>6</v>
      </c>
      <c r="G1136">
        <v>0</v>
      </c>
      <c r="H1136">
        <v>0</v>
      </c>
      <c r="I1136">
        <v>1</v>
      </c>
      <c r="J1136">
        <v>2017</v>
      </c>
      <c r="K1136">
        <v>2</v>
      </c>
      <c r="L1136" t="s">
        <v>11</v>
      </c>
      <c r="M1136">
        <f>SUM(Pharma_Sales_Data[[#This Row],[M01AB]:[R06]])</f>
        <v>37.142499999999998</v>
      </c>
      <c r="N1136" s="2">
        <f>Pharma_Sales_Data[[#This Row],[Total Drug Sales]]*150</f>
        <v>5571.375</v>
      </c>
      <c r="O1136" s="2">
        <f>Pharma_Sales_Data[[#This Row],[Total Revenue]]*0.3</f>
        <v>1671.4124999999999</v>
      </c>
      <c r="P1136" t="str">
        <f>IF(Pharma_Sales_Data[[#This Row],[Total Revenue]]&gt;20000,"High Value", IF(Pharma_Sales_Data[[#This Row],[Total Revenue]]&gt;=10000,"Medium Value","Low Value"))</f>
        <v>Low Value</v>
      </c>
    </row>
    <row r="1137" spans="1:16" x14ac:dyDescent="0.35">
      <c r="A1137" s="1">
        <v>42776</v>
      </c>
      <c r="B1137">
        <v>4.01</v>
      </c>
      <c r="C1137">
        <v>3.34</v>
      </c>
      <c r="D1137">
        <v>4.75</v>
      </c>
      <c r="E1137">
        <v>23.2</v>
      </c>
      <c r="F1137">
        <v>5</v>
      </c>
      <c r="G1137">
        <v>0</v>
      </c>
      <c r="H1137">
        <v>2</v>
      </c>
      <c r="I1137">
        <v>0</v>
      </c>
      <c r="J1137">
        <v>2017</v>
      </c>
      <c r="K1137">
        <v>2</v>
      </c>
      <c r="L1137" t="s">
        <v>12</v>
      </c>
      <c r="M1137">
        <f>SUM(Pharma_Sales_Data[[#This Row],[M01AB]:[R06]])</f>
        <v>42.3</v>
      </c>
      <c r="N1137" s="2">
        <f>Pharma_Sales_Data[[#This Row],[Total Drug Sales]]*150</f>
        <v>6345</v>
      </c>
      <c r="O1137" s="2">
        <f>Pharma_Sales_Data[[#This Row],[Total Revenue]]*0.3</f>
        <v>1903.5</v>
      </c>
      <c r="P1137" t="str">
        <f>IF(Pharma_Sales_Data[[#This Row],[Total Revenue]]&gt;20000,"High Value", IF(Pharma_Sales_Data[[#This Row],[Total Revenue]]&gt;=10000,"Medium Value","Low Value"))</f>
        <v>Low Value</v>
      </c>
    </row>
    <row r="1138" spans="1:16" x14ac:dyDescent="0.35">
      <c r="A1138" s="1">
        <v>42777</v>
      </c>
      <c r="B1138">
        <v>5.33</v>
      </c>
      <c r="C1138">
        <v>6.32</v>
      </c>
      <c r="D1138">
        <v>5.0999999999999996</v>
      </c>
      <c r="E1138">
        <v>12.4</v>
      </c>
      <c r="F1138">
        <v>11</v>
      </c>
      <c r="G1138">
        <v>1</v>
      </c>
      <c r="H1138">
        <v>1</v>
      </c>
      <c r="I1138">
        <v>3</v>
      </c>
      <c r="J1138">
        <v>2017</v>
      </c>
      <c r="K1138">
        <v>2</v>
      </c>
      <c r="L1138" t="s">
        <v>13</v>
      </c>
      <c r="M1138">
        <f>SUM(Pharma_Sales_Data[[#This Row],[M01AB]:[R06]])</f>
        <v>45.15</v>
      </c>
      <c r="N1138" s="2">
        <f>Pharma_Sales_Data[[#This Row],[Total Drug Sales]]*150</f>
        <v>6772.5</v>
      </c>
      <c r="O1138" s="2">
        <f>Pharma_Sales_Data[[#This Row],[Total Revenue]]*0.3</f>
        <v>2031.75</v>
      </c>
      <c r="P1138" t="str">
        <f>IF(Pharma_Sales_Data[[#This Row],[Total Revenue]]&gt;20000,"High Value", IF(Pharma_Sales_Data[[#This Row],[Total Revenue]]&gt;=10000,"Medium Value","Low Value"))</f>
        <v>Low Value</v>
      </c>
    </row>
    <row r="1139" spans="1:16" x14ac:dyDescent="0.35">
      <c r="A1139" s="1">
        <v>42778</v>
      </c>
      <c r="B1139">
        <v>10</v>
      </c>
      <c r="C1139">
        <v>10.67</v>
      </c>
      <c r="D1139">
        <v>7.8</v>
      </c>
      <c r="E1139">
        <v>27.4</v>
      </c>
      <c r="F1139">
        <v>4</v>
      </c>
      <c r="G1139">
        <v>0</v>
      </c>
      <c r="H1139">
        <v>2</v>
      </c>
      <c r="I1139">
        <v>1</v>
      </c>
      <c r="J1139">
        <v>2017</v>
      </c>
      <c r="K1139">
        <v>2</v>
      </c>
      <c r="L1139" t="s">
        <v>14</v>
      </c>
      <c r="M1139">
        <f>SUM(Pharma_Sales_Data[[#This Row],[M01AB]:[R06]])</f>
        <v>62.870000000000005</v>
      </c>
      <c r="N1139" s="2">
        <f>Pharma_Sales_Data[[#This Row],[Total Drug Sales]]*150</f>
        <v>9430.5</v>
      </c>
      <c r="O1139" s="2">
        <f>Pharma_Sales_Data[[#This Row],[Total Revenue]]*0.3</f>
        <v>2829.15</v>
      </c>
      <c r="P1139" t="str">
        <f>IF(Pharma_Sales_Data[[#This Row],[Total Revenue]]&gt;20000,"High Value", IF(Pharma_Sales_Data[[#This Row],[Total Revenue]]&gt;=10000,"Medium Value","Low Value"))</f>
        <v>Low Value</v>
      </c>
    </row>
    <row r="1140" spans="1:16" x14ac:dyDescent="0.35">
      <c r="A1140" s="1">
        <v>42779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2017</v>
      </c>
      <c r="K1140">
        <v>2</v>
      </c>
      <c r="L1140" t="s">
        <v>15</v>
      </c>
      <c r="M1140">
        <f>SUM(Pharma_Sales_Data[[#This Row],[M01AB]:[R06]])</f>
        <v>0</v>
      </c>
      <c r="N1140" s="2">
        <f>Pharma_Sales_Data[[#This Row],[Total Drug Sales]]*150</f>
        <v>0</v>
      </c>
      <c r="O1140" s="2">
        <f>Pharma_Sales_Data[[#This Row],[Total Revenue]]*0.3</f>
        <v>0</v>
      </c>
      <c r="P1140" t="str">
        <f>IF(Pharma_Sales_Data[[#This Row],[Total Revenue]]&gt;20000,"High Value", IF(Pharma_Sales_Data[[#This Row],[Total Revenue]]&gt;=10000,"Medium Value","Low Value"))</f>
        <v>Low Value</v>
      </c>
    </row>
    <row r="1141" spans="1:16" x14ac:dyDescent="0.35">
      <c r="A1141" s="1">
        <v>42780</v>
      </c>
      <c r="B1141">
        <v>4.33</v>
      </c>
      <c r="C1141">
        <v>5</v>
      </c>
      <c r="D1141">
        <v>2.1</v>
      </c>
      <c r="E1141">
        <v>22</v>
      </c>
      <c r="F1141">
        <v>0</v>
      </c>
      <c r="G1141">
        <v>0</v>
      </c>
      <c r="H1141">
        <v>1</v>
      </c>
      <c r="I1141">
        <v>1</v>
      </c>
      <c r="J1141">
        <v>2017</v>
      </c>
      <c r="K1141">
        <v>2</v>
      </c>
      <c r="L1141" t="s">
        <v>16</v>
      </c>
      <c r="M1141">
        <f>SUM(Pharma_Sales_Data[[#This Row],[M01AB]:[R06]])</f>
        <v>35.43</v>
      </c>
      <c r="N1141" s="2">
        <f>Pharma_Sales_Data[[#This Row],[Total Drug Sales]]*150</f>
        <v>5314.5</v>
      </c>
      <c r="O1141" s="2">
        <f>Pharma_Sales_Data[[#This Row],[Total Revenue]]*0.3</f>
        <v>1594.35</v>
      </c>
      <c r="P1141" t="str">
        <f>IF(Pharma_Sales_Data[[#This Row],[Total Revenue]]&gt;20000,"High Value", IF(Pharma_Sales_Data[[#This Row],[Total Revenue]]&gt;=10000,"Medium Value","Low Value"))</f>
        <v>Low Value</v>
      </c>
    </row>
    <row r="1142" spans="1:16" x14ac:dyDescent="0.35">
      <c r="A1142" s="1">
        <v>42781</v>
      </c>
      <c r="B1142">
        <v>6</v>
      </c>
      <c r="C1142">
        <v>2.67</v>
      </c>
      <c r="D1142">
        <v>2</v>
      </c>
      <c r="E1142">
        <v>19.2</v>
      </c>
      <c r="F1142">
        <v>1</v>
      </c>
      <c r="G1142">
        <v>0</v>
      </c>
      <c r="H1142">
        <v>1</v>
      </c>
      <c r="I1142">
        <v>1</v>
      </c>
      <c r="J1142">
        <v>2017</v>
      </c>
      <c r="K1142">
        <v>2</v>
      </c>
      <c r="L1142" t="s">
        <v>17</v>
      </c>
      <c r="M1142">
        <f>SUM(Pharma_Sales_Data[[#This Row],[M01AB]:[R06]])</f>
        <v>32.869999999999997</v>
      </c>
      <c r="N1142" s="2">
        <f>Pharma_Sales_Data[[#This Row],[Total Drug Sales]]*150</f>
        <v>4930.5</v>
      </c>
      <c r="O1142" s="2">
        <f>Pharma_Sales_Data[[#This Row],[Total Revenue]]*0.3</f>
        <v>1479.1499999999999</v>
      </c>
      <c r="P1142" t="str">
        <f>IF(Pharma_Sales_Data[[#This Row],[Total Revenue]]&gt;20000,"High Value", IF(Pharma_Sales_Data[[#This Row],[Total Revenue]]&gt;=10000,"Medium Value","Low Value"))</f>
        <v>Low Value</v>
      </c>
    </row>
    <row r="1143" spans="1:16" x14ac:dyDescent="0.35">
      <c r="A1143" s="1">
        <v>42782</v>
      </c>
      <c r="B1143">
        <v>3.66</v>
      </c>
      <c r="C1143">
        <v>4.66</v>
      </c>
      <c r="D1143">
        <v>1</v>
      </c>
      <c r="E1143">
        <v>31.6</v>
      </c>
      <c r="F1143">
        <v>2</v>
      </c>
      <c r="G1143">
        <v>0</v>
      </c>
      <c r="H1143">
        <v>0</v>
      </c>
      <c r="I1143">
        <v>3</v>
      </c>
      <c r="J1143">
        <v>2017</v>
      </c>
      <c r="K1143">
        <v>2</v>
      </c>
      <c r="L1143" t="s">
        <v>11</v>
      </c>
      <c r="M1143">
        <f>SUM(Pharma_Sales_Data[[#This Row],[M01AB]:[R06]])</f>
        <v>45.92</v>
      </c>
      <c r="N1143" s="2">
        <f>Pharma_Sales_Data[[#This Row],[Total Drug Sales]]*150</f>
        <v>6888</v>
      </c>
      <c r="O1143" s="2">
        <f>Pharma_Sales_Data[[#This Row],[Total Revenue]]*0.3</f>
        <v>2066.4</v>
      </c>
      <c r="P1143" t="str">
        <f>IF(Pharma_Sales_Data[[#This Row],[Total Revenue]]&gt;20000,"High Value", IF(Pharma_Sales_Data[[#This Row],[Total Revenue]]&gt;=10000,"Medium Value","Low Value"))</f>
        <v>Low Value</v>
      </c>
    </row>
    <row r="1144" spans="1:16" x14ac:dyDescent="0.35">
      <c r="A1144" s="1">
        <v>42783</v>
      </c>
      <c r="B1144">
        <v>3</v>
      </c>
      <c r="C1144">
        <v>2.802</v>
      </c>
      <c r="D1144">
        <v>2.1</v>
      </c>
      <c r="E1144">
        <v>12.25</v>
      </c>
      <c r="F1144">
        <v>4</v>
      </c>
      <c r="G1144">
        <v>0</v>
      </c>
      <c r="H1144">
        <v>8</v>
      </c>
      <c r="I1144">
        <v>1.2</v>
      </c>
      <c r="J1144">
        <v>2017</v>
      </c>
      <c r="K1144">
        <v>2</v>
      </c>
      <c r="L1144" t="s">
        <v>12</v>
      </c>
      <c r="M1144">
        <f>SUM(Pharma_Sales_Data[[#This Row],[M01AB]:[R06]])</f>
        <v>33.352000000000004</v>
      </c>
      <c r="N1144" s="2">
        <f>Pharma_Sales_Data[[#This Row],[Total Drug Sales]]*150</f>
        <v>5002.8</v>
      </c>
      <c r="O1144" s="2">
        <f>Pharma_Sales_Data[[#This Row],[Total Revenue]]*0.3</f>
        <v>1500.84</v>
      </c>
      <c r="P1144" t="str">
        <f>IF(Pharma_Sales_Data[[#This Row],[Total Revenue]]&gt;20000,"High Value", IF(Pharma_Sales_Data[[#This Row],[Total Revenue]]&gt;=10000,"Medium Value","Low Value"))</f>
        <v>Low Value</v>
      </c>
    </row>
    <row r="1145" spans="1:16" x14ac:dyDescent="0.35">
      <c r="A1145" s="1">
        <v>42784</v>
      </c>
      <c r="B1145">
        <v>7</v>
      </c>
      <c r="C1145">
        <v>4</v>
      </c>
      <c r="D1145">
        <v>2.35</v>
      </c>
      <c r="E1145">
        <v>30</v>
      </c>
      <c r="F1145">
        <v>10</v>
      </c>
      <c r="G1145">
        <v>0</v>
      </c>
      <c r="H1145">
        <v>0</v>
      </c>
      <c r="I1145">
        <v>3.1</v>
      </c>
      <c r="J1145">
        <v>2017</v>
      </c>
      <c r="K1145">
        <v>2</v>
      </c>
      <c r="L1145" t="s">
        <v>13</v>
      </c>
      <c r="M1145">
        <f>SUM(Pharma_Sales_Data[[#This Row],[M01AB]:[R06]])</f>
        <v>56.45</v>
      </c>
      <c r="N1145" s="2">
        <f>Pharma_Sales_Data[[#This Row],[Total Drug Sales]]*150</f>
        <v>8467.5</v>
      </c>
      <c r="O1145" s="2">
        <f>Pharma_Sales_Data[[#This Row],[Total Revenue]]*0.3</f>
        <v>2540.25</v>
      </c>
      <c r="P1145" t="str">
        <f>IF(Pharma_Sales_Data[[#This Row],[Total Revenue]]&gt;20000,"High Value", IF(Pharma_Sales_Data[[#This Row],[Total Revenue]]&gt;=10000,"Medium Value","Low Value"))</f>
        <v>Low Value</v>
      </c>
    </row>
    <row r="1146" spans="1:16" x14ac:dyDescent="0.35">
      <c r="A1146" s="1">
        <v>42785</v>
      </c>
      <c r="B1146">
        <v>3.34</v>
      </c>
      <c r="C1146">
        <v>3.516</v>
      </c>
      <c r="D1146">
        <v>2.2000000000000002</v>
      </c>
      <c r="E1146">
        <v>13</v>
      </c>
      <c r="F1146">
        <v>1</v>
      </c>
      <c r="G1146">
        <v>0</v>
      </c>
      <c r="H1146">
        <v>8</v>
      </c>
      <c r="I1146">
        <v>1</v>
      </c>
      <c r="J1146">
        <v>2017</v>
      </c>
      <c r="K1146">
        <v>2</v>
      </c>
      <c r="L1146" t="s">
        <v>14</v>
      </c>
      <c r="M1146">
        <f>SUM(Pharma_Sales_Data[[#This Row],[M01AB]:[R06]])</f>
        <v>32.055999999999997</v>
      </c>
      <c r="N1146" s="2">
        <f>Pharma_Sales_Data[[#This Row],[Total Drug Sales]]*150</f>
        <v>4808.3999999999996</v>
      </c>
      <c r="O1146" s="2">
        <f>Pharma_Sales_Data[[#This Row],[Total Revenue]]*0.3</f>
        <v>1442.5199999999998</v>
      </c>
      <c r="P1146" t="str">
        <f>IF(Pharma_Sales_Data[[#This Row],[Total Revenue]]&gt;20000,"High Value", IF(Pharma_Sales_Data[[#This Row],[Total Revenue]]&gt;=10000,"Medium Value","Low Value"))</f>
        <v>Low Value</v>
      </c>
    </row>
    <row r="1147" spans="1:16" x14ac:dyDescent="0.35">
      <c r="A1147" s="1">
        <v>42786</v>
      </c>
      <c r="B1147">
        <v>5</v>
      </c>
      <c r="C1147">
        <v>3.76</v>
      </c>
      <c r="D1147">
        <v>4.5</v>
      </c>
      <c r="E1147">
        <v>33.1</v>
      </c>
      <c r="F1147">
        <v>2</v>
      </c>
      <c r="G1147">
        <v>0</v>
      </c>
      <c r="H1147">
        <v>1</v>
      </c>
      <c r="I1147">
        <v>3</v>
      </c>
      <c r="J1147">
        <v>2017</v>
      </c>
      <c r="K1147">
        <v>2</v>
      </c>
      <c r="L1147" t="s">
        <v>15</v>
      </c>
      <c r="M1147">
        <f>SUM(Pharma_Sales_Data[[#This Row],[M01AB]:[R06]])</f>
        <v>52.36</v>
      </c>
      <c r="N1147" s="2">
        <f>Pharma_Sales_Data[[#This Row],[Total Drug Sales]]*150</f>
        <v>7854</v>
      </c>
      <c r="O1147" s="2">
        <f>Pharma_Sales_Data[[#This Row],[Total Revenue]]*0.3</f>
        <v>2356.1999999999998</v>
      </c>
      <c r="P1147" t="str">
        <f>IF(Pharma_Sales_Data[[#This Row],[Total Revenue]]&gt;20000,"High Value", IF(Pharma_Sales_Data[[#This Row],[Total Revenue]]&gt;=10000,"Medium Value","Low Value"))</f>
        <v>Low Value</v>
      </c>
    </row>
    <row r="1148" spans="1:16" x14ac:dyDescent="0.35">
      <c r="A1148" s="1">
        <v>42787</v>
      </c>
      <c r="B1148">
        <v>5</v>
      </c>
      <c r="C1148">
        <v>4.1550000000000002</v>
      </c>
      <c r="D1148">
        <v>4</v>
      </c>
      <c r="E1148">
        <v>22.9</v>
      </c>
      <c r="F1148">
        <v>14</v>
      </c>
      <c r="G1148">
        <v>0</v>
      </c>
      <c r="H1148">
        <v>8</v>
      </c>
      <c r="I1148">
        <v>1</v>
      </c>
      <c r="J1148">
        <v>2017</v>
      </c>
      <c r="K1148">
        <v>2</v>
      </c>
      <c r="L1148" t="s">
        <v>16</v>
      </c>
      <c r="M1148">
        <f>SUM(Pharma_Sales_Data[[#This Row],[M01AB]:[R06]])</f>
        <v>59.055</v>
      </c>
      <c r="N1148" s="2">
        <f>Pharma_Sales_Data[[#This Row],[Total Drug Sales]]*150</f>
        <v>8858.25</v>
      </c>
      <c r="O1148" s="2">
        <f>Pharma_Sales_Data[[#This Row],[Total Revenue]]*0.3</f>
        <v>2657.4749999999999</v>
      </c>
      <c r="P1148" t="str">
        <f>IF(Pharma_Sales_Data[[#This Row],[Total Revenue]]&gt;20000,"High Value", IF(Pharma_Sales_Data[[#This Row],[Total Revenue]]&gt;=10000,"Medium Value","Low Value"))</f>
        <v>Low Value</v>
      </c>
    </row>
    <row r="1149" spans="1:16" x14ac:dyDescent="0.35">
      <c r="A1149" s="1">
        <v>42788</v>
      </c>
      <c r="B1149">
        <v>3.67</v>
      </c>
      <c r="C1149">
        <v>2.4289999999999998</v>
      </c>
      <c r="D1149">
        <v>7.2</v>
      </c>
      <c r="E1149">
        <v>21.1</v>
      </c>
      <c r="F1149">
        <v>9</v>
      </c>
      <c r="G1149">
        <v>0</v>
      </c>
      <c r="H1149">
        <v>5</v>
      </c>
      <c r="I1149">
        <v>0</v>
      </c>
      <c r="J1149">
        <v>2017</v>
      </c>
      <c r="K1149">
        <v>2</v>
      </c>
      <c r="L1149" t="s">
        <v>17</v>
      </c>
      <c r="M1149">
        <f>SUM(Pharma_Sales_Data[[#This Row],[M01AB]:[R06]])</f>
        <v>48.399000000000001</v>
      </c>
      <c r="N1149" s="2">
        <f>Pharma_Sales_Data[[#This Row],[Total Drug Sales]]*150</f>
        <v>7259.85</v>
      </c>
      <c r="O1149" s="2">
        <f>Pharma_Sales_Data[[#This Row],[Total Revenue]]*0.3</f>
        <v>2177.9549999999999</v>
      </c>
      <c r="P1149" t="str">
        <f>IF(Pharma_Sales_Data[[#This Row],[Total Revenue]]&gt;20000,"High Value", IF(Pharma_Sales_Data[[#This Row],[Total Revenue]]&gt;=10000,"Medium Value","Low Value"))</f>
        <v>Low Value</v>
      </c>
    </row>
    <row r="1150" spans="1:16" x14ac:dyDescent="0.35">
      <c r="A1150" s="1">
        <v>42789</v>
      </c>
      <c r="B1150">
        <v>6.67</v>
      </c>
      <c r="C1150">
        <v>5.67</v>
      </c>
      <c r="D1150">
        <v>4.05</v>
      </c>
      <c r="E1150">
        <v>24.1</v>
      </c>
      <c r="F1150">
        <v>5</v>
      </c>
      <c r="G1150">
        <v>1</v>
      </c>
      <c r="H1150">
        <v>8</v>
      </c>
      <c r="I1150">
        <v>2</v>
      </c>
      <c r="J1150">
        <v>2017</v>
      </c>
      <c r="K1150">
        <v>2</v>
      </c>
      <c r="L1150" t="s">
        <v>11</v>
      </c>
      <c r="M1150">
        <f>SUM(Pharma_Sales_Data[[#This Row],[M01AB]:[R06]])</f>
        <v>56.49</v>
      </c>
      <c r="N1150" s="2">
        <f>Pharma_Sales_Data[[#This Row],[Total Drug Sales]]*150</f>
        <v>8473.5</v>
      </c>
      <c r="O1150" s="2">
        <f>Pharma_Sales_Data[[#This Row],[Total Revenue]]*0.3</f>
        <v>2542.0499999999997</v>
      </c>
      <c r="P1150" t="str">
        <f>IF(Pharma_Sales_Data[[#This Row],[Total Revenue]]&gt;20000,"High Value", IF(Pharma_Sales_Data[[#This Row],[Total Revenue]]&gt;=10000,"Medium Value","Low Value"))</f>
        <v>Low Value</v>
      </c>
    </row>
    <row r="1151" spans="1:16" x14ac:dyDescent="0.35">
      <c r="A1151" s="1">
        <v>42790</v>
      </c>
      <c r="B1151">
        <v>1</v>
      </c>
      <c r="C1151">
        <v>4.67</v>
      </c>
      <c r="D1151">
        <v>4</v>
      </c>
      <c r="E1151">
        <v>29.8</v>
      </c>
      <c r="F1151">
        <v>10</v>
      </c>
      <c r="G1151">
        <v>1</v>
      </c>
      <c r="H1151">
        <v>7</v>
      </c>
      <c r="I1151">
        <v>1</v>
      </c>
      <c r="J1151">
        <v>2017</v>
      </c>
      <c r="K1151">
        <v>2</v>
      </c>
      <c r="L1151" t="s">
        <v>12</v>
      </c>
      <c r="M1151">
        <f>SUM(Pharma_Sales_Data[[#This Row],[M01AB]:[R06]])</f>
        <v>58.47</v>
      </c>
      <c r="N1151" s="2">
        <f>Pharma_Sales_Data[[#This Row],[Total Drug Sales]]*150</f>
        <v>8770.5</v>
      </c>
      <c r="O1151" s="2">
        <f>Pharma_Sales_Data[[#This Row],[Total Revenue]]*0.3</f>
        <v>2631.15</v>
      </c>
      <c r="P1151" t="str">
        <f>IF(Pharma_Sales_Data[[#This Row],[Total Revenue]]&gt;20000,"High Value", IF(Pharma_Sales_Data[[#This Row],[Total Revenue]]&gt;=10000,"Medium Value","Low Value"))</f>
        <v>Low Value</v>
      </c>
    </row>
    <row r="1152" spans="1:16" x14ac:dyDescent="0.35">
      <c r="A1152" s="1">
        <v>42791</v>
      </c>
      <c r="B1152">
        <v>6</v>
      </c>
      <c r="C1152">
        <v>6.34</v>
      </c>
      <c r="D1152">
        <v>5.25</v>
      </c>
      <c r="E1152">
        <v>24</v>
      </c>
      <c r="F1152">
        <v>6.875</v>
      </c>
      <c r="G1152">
        <v>0</v>
      </c>
      <c r="H1152">
        <v>2</v>
      </c>
      <c r="I1152">
        <v>0</v>
      </c>
      <c r="J1152">
        <v>2017</v>
      </c>
      <c r="K1152">
        <v>2</v>
      </c>
      <c r="L1152" t="s">
        <v>13</v>
      </c>
      <c r="M1152">
        <f>SUM(Pharma_Sales_Data[[#This Row],[M01AB]:[R06]])</f>
        <v>50.465000000000003</v>
      </c>
      <c r="N1152" s="2">
        <f>Pharma_Sales_Data[[#This Row],[Total Drug Sales]]*150</f>
        <v>7569.7500000000009</v>
      </c>
      <c r="O1152" s="2">
        <f>Pharma_Sales_Data[[#This Row],[Total Revenue]]*0.3</f>
        <v>2270.9250000000002</v>
      </c>
      <c r="P1152" t="str">
        <f>IF(Pharma_Sales_Data[[#This Row],[Total Revenue]]&gt;20000,"High Value", IF(Pharma_Sales_Data[[#This Row],[Total Revenue]]&gt;=10000,"Medium Value","Low Value"))</f>
        <v>Low Value</v>
      </c>
    </row>
    <row r="1153" spans="1:16" x14ac:dyDescent="0.35">
      <c r="A1153" s="1">
        <v>42792</v>
      </c>
      <c r="B1153">
        <v>5.33</v>
      </c>
      <c r="C1153">
        <v>5.33</v>
      </c>
      <c r="D1153">
        <v>3.2</v>
      </c>
      <c r="E1153">
        <v>15.7</v>
      </c>
      <c r="F1153">
        <v>3</v>
      </c>
      <c r="G1153">
        <v>0</v>
      </c>
      <c r="H1153">
        <v>5</v>
      </c>
      <c r="I1153">
        <v>1.2</v>
      </c>
      <c r="J1153">
        <v>2017</v>
      </c>
      <c r="K1153">
        <v>2</v>
      </c>
      <c r="L1153" t="s">
        <v>14</v>
      </c>
      <c r="M1153">
        <f>SUM(Pharma_Sales_Data[[#This Row],[M01AB]:[R06]])</f>
        <v>38.760000000000005</v>
      </c>
      <c r="N1153" s="2">
        <f>Pharma_Sales_Data[[#This Row],[Total Drug Sales]]*150</f>
        <v>5814.0000000000009</v>
      </c>
      <c r="O1153" s="2">
        <f>Pharma_Sales_Data[[#This Row],[Total Revenue]]*0.3</f>
        <v>1744.2000000000003</v>
      </c>
      <c r="P1153" t="str">
        <f>IF(Pharma_Sales_Data[[#This Row],[Total Revenue]]&gt;20000,"High Value", IF(Pharma_Sales_Data[[#This Row],[Total Revenue]]&gt;=10000,"Medium Value","Low Value"))</f>
        <v>Low Value</v>
      </c>
    </row>
    <row r="1154" spans="1:16" x14ac:dyDescent="0.35">
      <c r="A1154" s="1">
        <v>42793</v>
      </c>
      <c r="B1154">
        <v>5.67</v>
      </c>
      <c r="C1154">
        <v>3.68</v>
      </c>
      <c r="D1154">
        <v>7</v>
      </c>
      <c r="E1154">
        <v>16.399999999999999</v>
      </c>
      <c r="F1154">
        <v>14</v>
      </c>
      <c r="G1154">
        <v>0</v>
      </c>
      <c r="H1154">
        <v>7</v>
      </c>
      <c r="I1154">
        <v>2</v>
      </c>
      <c r="J1154">
        <v>2017</v>
      </c>
      <c r="K1154">
        <v>2</v>
      </c>
      <c r="L1154" t="s">
        <v>15</v>
      </c>
      <c r="M1154">
        <f>SUM(Pharma_Sales_Data[[#This Row],[M01AB]:[R06]])</f>
        <v>55.75</v>
      </c>
      <c r="N1154" s="2">
        <f>Pharma_Sales_Data[[#This Row],[Total Drug Sales]]*150</f>
        <v>8362.5</v>
      </c>
      <c r="O1154" s="2">
        <f>Pharma_Sales_Data[[#This Row],[Total Revenue]]*0.3</f>
        <v>2508.75</v>
      </c>
      <c r="P1154" t="str">
        <f>IF(Pharma_Sales_Data[[#This Row],[Total Revenue]]&gt;20000,"High Value", IF(Pharma_Sales_Data[[#This Row],[Total Revenue]]&gt;=10000,"Medium Value","Low Value"))</f>
        <v>Low Value</v>
      </c>
    </row>
    <row r="1155" spans="1:16" x14ac:dyDescent="0.35">
      <c r="A1155" s="1">
        <v>42794</v>
      </c>
      <c r="B1155">
        <v>5.34</v>
      </c>
      <c r="C1155">
        <v>5.0199999999999996</v>
      </c>
      <c r="D1155">
        <v>7.5</v>
      </c>
      <c r="E1155">
        <v>26.4</v>
      </c>
      <c r="F1155">
        <v>9</v>
      </c>
      <c r="G1155">
        <v>2</v>
      </c>
      <c r="H1155">
        <v>18</v>
      </c>
      <c r="I1155">
        <v>0</v>
      </c>
      <c r="J1155">
        <v>2017</v>
      </c>
      <c r="K1155">
        <v>2</v>
      </c>
      <c r="L1155" t="s">
        <v>16</v>
      </c>
      <c r="M1155">
        <f>SUM(Pharma_Sales_Data[[#This Row],[M01AB]:[R06]])</f>
        <v>73.259999999999991</v>
      </c>
      <c r="N1155" s="2">
        <f>Pharma_Sales_Data[[#This Row],[Total Drug Sales]]*150</f>
        <v>10988.999999999998</v>
      </c>
      <c r="O1155" s="2">
        <f>Pharma_Sales_Data[[#This Row],[Total Revenue]]*0.3</f>
        <v>3296.6999999999994</v>
      </c>
      <c r="P1155" t="str">
        <f>IF(Pharma_Sales_Data[[#This Row],[Total Revenue]]&gt;20000,"High Value", IF(Pharma_Sales_Data[[#This Row],[Total Revenue]]&gt;=10000,"Medium Value","Low Value"))</f>
        <v>Medium Value</v>
      </c>
    </row>
    <row r="1156" spans="1:16" x14ac:dyDescent="0.35">
      <c r="A1156" s="1">
        <v>42795</v>
      </c>
      <c r="B1156">
        <v>4</v>
      </c>
      <c r="C1156">
        <v>4.66</v>
      </c>
      <c r="D1156">
        <v>5</v>
      </c>
      <c r="E1156">
        <v>15.1</v>
      </c>
      <c r="F1156">
        <v>17</v>
      </c>
      <c r="G1156">
        <v>0</v>
      </c>
      <c r="H1156">
        <v>5</v>
      </c>
      <c r="I1156">
        <v>2</v>
      </c>
      <c r="J1156">
        <v>2017</v>
      </c>
      <c r="K1156">
        <v>3</v>
      </c>
      <c r="L1156" t="s">
        <v>17</v>
      </c>
      <c r="M1156">
        <f>SUM(Pharma_Sales_Data[[#This Row],[M01AB]:[R06]])</f>
        <v>52.76</v>
      </c>
      <c r="N1156" s="2">
        <f>Pharma_Sales_Data[[#This Row],[Total Drug Sales]]*150</f>
        <v>7914</v>
      </c>
      <c r="O1156" s="2">
        <f>Pharma_Sales_Data[[#This Row],[Total Revenue]]*0.3</f>
        <v>2374.1999999999998</v>
      </c>
      <c r="P1156" t="str">
        <f>IF(Pharma_Sales_Data[[#This Row],[Total Revenue]]&gt;20000,"High Value", IF(Pharma_Sales_Data[[#This Row],[Total Revenue]]&gt;=10000,"Medium Value","Low Value"))</f>
        <v>Low Value</v>
      </c>
    </row>
    <row r="1157" spans="1:16" x14ac:dyDescent="0.35">
      <c r="A1157" s="1">
        <v>42796</v>
      </c>
      <c r="B1157">
        <v>5</v>
      </c>
      <c r="C1157">
        <v>7.13</v>
      </c>
      <c r="D1157">
        <v>3</v>
      </c>
      <c r="E1157">
        <v>13</v>
      </c>
      <c r="F1157">
        <v>1</v>
      </c>
      <c r="G1157">
        <v>1</v>
      </c>
      <c r="H1157">
        <v>1</v>
      </c>
      <c r="I1157">
        <v>2</v>
      </c>
      <c r="J1157">
        <v>2017</v>
      </c>
      <c r="K1157">
        <v>3</v>
      </c>
      <c r="L1157" t="s">
        <v>11</v>
      </c>
      <c r="M1157">
        <f>SUM(Pharma_Sales_Data[[#This Row],[M01AB]:[R06]])</f>
        <v>33.129999999999995</v>
      </c>
      <c r="N1157" s="2">
        <f>Pharma_Sales_Data[[#This Row],[Total Drug Sales]]*150</f>
        <v>4969.4999999999991</v>
      </c>
      <c r="O1157" s="2">
        <f>Pharma_Sales_Data[[#This Row],[Total Revenue]]*0.3</f>
        <v>1490.8499999999997</v>
      </c>
      <c r="P1157" t="str">
        <f>IF(Pharma_Sales_Data[[#This Row],[Total Revenue]]&gt;20000,"High Value", IF(Pharma_Sales_Data[[#This Row],[Total Revenue]]&gt;=10000,"Medium Value","Low Value"))</f>
        <v>Low Value</v>
      </c>
    </row>
    <row r="1158" spans="1:16" x14ac:dyDescent="0.35">
      <c r="A1158" s="1">
        <v>42797</v>
      </c>
      <c r="B1158">
        <v>9</v>
      </c>
      <c r="C1158">
        <v>2.99</v>
      </c>
      <c r="D1158">
        <v>4</v>
      </c>
      <c r="E1158">
        <v>12.9</v>
      </c>
      <c r="F1158">
        <v>9</v>
      </c>
      <c r="G1158">
        <v>1</v>
      </c>
      <c r="H1158">
        <v>6</v>
      </c>
      <c r="I1158">
        <v>4</v>
      </c>
      <c r="J1158">
        <v>2017</v>
      </c>
      <c r="K1158">
        <v>3</v>
      </c>
      <c r="L1158" t="s">
        <v>12</v>
      </c>
      <c r="M1158">
        <f>SUM(Pharma_Sales_Data[[#This Row],[M01AB]:[R06]])</f>
        <v>48.89</v>
      </c>
      <c r="N1158" s="2">
        <f>Pharma_Sales_Data[[#This Row],[Total Drug Sales]]*150</f>
        <v>7333.5</v>
      </c>
      <c r="O1158" s="2">
        <f>Pharma_Sales_Data[[#This Row],[Total Revenue]]*0.3</f>
        <v>2200.0499999999997</v>
      </c>
      <c r="P1158" t="str">
        <f>IF(Pharma_Sales_Data[[#This Row],[Total Revenue]]&gt;20000,"High Value", IF(Pharma_Sales_Data[[#This Row],[Total Revenue]]&gt;=10000,"Medium Value","Low Value"))</f>
        <v>Low Value</v>
      </c>
    </row>
    <row r="1159" spans="1:16" x14ac:dyDescent="0.35">
      <c r="A1159" s="1">
        <v>42798</v>
      </c>
      <c r="B1159">
        <v>5.01</v>
      </c>
      <c r="C1159">
        <v>3.67</v>
      </c>
      <c r="D1159">
        <v>3.1</v>
      </c>
      <c r="E1159">
        <v>17</v>
      </c>
      <c r="F1159">
        <v>0</v>
      </c>
      <c r="G1159">
        <v>0</v>
      </c>
      <c r="H1159">
        <v>5</v>
      </c>
      <c r="I1159">
        <v>4.5</v>
      </c>
      <c r="J1159">
        <v>2017</v>
      </c>
      <c r="K1159">
        <v>3</v>
      </c>
      <c r="L1159" t="s">
        <v>13</v>
      </c>
      <c r="M1159">
        <f>SUM(Pharma_Sales_Data[[#This Row],[M01AB]:[R06]])</f>
        <v>38.28</v>
      </c>
      <c r="N1159" s="2">
        <f>Pharma_Sales_Data[[#This Row],[Total Drug Sales]]*150</f>
        <v>5742</v>
      </c>
      <c r="O1159" s="2">
        <f>Pharma_Sales_Data[[#This Row],[Total Revenue]]*0.3</f>
        <v>1722.6</v>
      </c>
      <c r="P1159" t="str">
        <f>IF(Pharma_Sales_Data[[#This Row],[Total Revenue]]&gt;20000,"High Value", IF(Pharma_Sales_Data[[#This Row],[Total Revenue]]&gt;=10000,"Medium Value","Low Value"))</f>
        <v>Low Value</v>
      </c>
    </row>
    <row r="1160" spans="1:16" x14ac:dyDescent="0.35">
      <c r="A1160" s="1">
        <v>42799</v>
      </c>
      <c r="B1160">
        <v>12.33</v>
      </c>
      <c r="C1160">
        <v>4.33</v>
      </c>
      <c r="D1160">
        <v>5</v>
      </c>
      <c r="E1160">
        <v>33.9</v>
      </c>
      <c r="F1160">
        <v>3</v>
      </c>
      <c r="G1160">
        <v>0</v>
      </c>
      <c r="H1160">
        <v>6</v>
      </c>
      <c r="I1160">
        <v>5</v>
      </c>
      <c r="J1160">
        <v>2017</v>
      </c>
      <c r="K1160">
        <v>3</v>
      </c>
      <c r="L1160" t="s">
        <v>14</v>
      </c>
      <c r="M1160">
        <f>SUM(Pharma_Sales_Data[[#This Row],[M01AB]:[R06]])</f>
        <v>69.56</v>
      </c>
      <c r="N1160" s="2">
        <f>Pharma_Sales_Data[[#This Row],[Total Drug Sales]]*150</f>
        <v>10434</v>
      </c>
      <c r="O1160" s="2">
        <f>Pharma_Sales_Data[[#This Row],[Total Revenue]]*0.3</f>
        <v>3130.2</v>
      </c>
      <c r="P1160" t="str">
        <f>IF(Pharma_Sales_Data[[#This Row],[Total Revenue]]&gt;20000,"High Value", IF(Pharma_Sales_Data[[#This Row],[Total Revenue]]&gt;=10000,"Medium Value","Low Value"))</f>
        <v>Medium Value</v>
      </c>
    </row>
    <row r="1161" spans="1:16" x14ac:dyDescent="0.35">
      <c r="A1161" s="1">
        <v>42800</v>
      </c>
      <c r="B1161">
        <v>6.83</v>
      </c>
      <c r="C1161">
        <v>2.33</v>
      </c>
      <c r="D1161">
        <v>1.1000000000000001</v>
      </c>
      <c r="E1161">
        <v>19.600000000000001</v>
      </c>
      <c r="F1161">
        <v>1</v>
      </c>
      <c r="G1161">
        <v>0</v>
      </c>
      <c r="H1161">
        <v>0</v>
      </c>
      <c r="I1161">
        <v>3</v>
      </c>
      <c r="J1161">
        <v>2017</v>
      </c>
      <c r="K1161">
        <v>3</v>
      </c>
      <c r="L1161" t="s">
        <v>15</v>
      </c>
      <c r="M1161">
        <f>SUM(Pharma_Sales_Data[[#This Row],[M01AB]:[R06]])</f>
        <v>33.86</v>
      </c>
      <c r="N1161" s="2">
        <f>Pharma_Sales_Data[[#This Row],[Total Drug Sales]]*150</f>
        <v>5079</v>
      </c>
      <c r="O1161" s="2">
        <f>Pharma_Sales_Data[[#This Row],[Total Revenue]]*0.3</f>
        <v>1523.7</v>
      </c>
      <c r="P1161" t="str">
        <f>IF(Pharma_Sales_Data[[#This Row],[Total Revenue]]&gt;20000,"High Value", IF(Pharma_Sales_Data[[#This Row],[Total Revenue]]&gt;=10000,"Medium Value","Low Value"))</f>
        <v>Low Value</v>
      </c>
    </row>
    <row r="1162" spans="1:16" x14ac:dyDescent="0.35">
      <c r="A1162" s="1">
        <v>42801</v>
      </c>
      <c r="B1162">
        <v>2.34</v>
      </c>
      <c r="C1162">
        <v>5.33</v>
      </c>
      <c r="D1162">
        <v>6.5</v>
      </c>
      <c r="E1162">
        <v>15</v>
      </c>
      <c r="F1162">
        <v>4</v>
      </c>
      <c r="G1162">
        <v>0</v>
      </c>
      <c r="H1162">
        <v>0</v>
      </c>
      <c r="I1162">
        <v>2</v>
      </c>
      <c r="J1162">
        <v>2017</v>
      </c>
      <c r="K1162">
        <v>3</v>
      </c>
      <c r="L1162" t="s">
        <v>16</v>
      </c>
      <c r="M1162">
        <f>SUM(Pharma_Sales_Data[[#This Row],[M01AB]:[R06]])</f>
        <v>35.17</v>
      </c>
      <c r="N1162" s="2">
        <f>Pharma_Sales_Data[[#This Row],[Total Drug Sales]]*150</f>
        <v>5275.5</v>
      </c>
      <c r="O1162" s="2">
        <f>Pharma_Sales_Data[[#This Row],[Total Revenue]]*0.3</f>
        <v>1582.6499999999999</v>
      </c>
      <c r="P1162" t="str">
        <f>IF(Pharma_Sales_Data[[#This Row],[Total Revenue]]&gt;20000,"High Value", IF(Pharma_Sales_Data[[#This Row],[Total Revenue]]&gt;=10000,"Medium Value","Low Value"))</f>
        <v>Low Value</v>
      </c>
    </row>
    <row r="1163" spans="1:16" x14ac:dyDescent="0.35">
      <c r="A1163" s="1">
        <v>42802</v>
      </c>
      <c r="B1163">
        <v>1</v>
      </c>
      <c r="C1163">
        <v>2.34</v>
      </c>
      <c r="D1163">
        <v>0</v>
      </c>
      <c r="E1163">
        <v>15.2</v>
      </c>
      <c r="F1163">
        <v>4</v>
      </c>
      <c r="G1163">
        <v>0</v>
      </c>
      <c r="H1163">
        <v>0</v>
      </c>
      <c r="I1163">
        <v>3</v>
      </c>
      <c r="J1163">
        <v>2017</v>
      </c>
      <c r="K1163">
        <v>3</v>
      </c>
      <c r="L1163" t="s">
        <v>17</v>
      </c>
      <c r="M1163">
        <f>SUM(Pharma_Sales_Data[[#This Row],[M01AB]:[R06]])</f>
        <v>25.54</v>
      </c>
      <c r="N1163" s="2">
        <f>Pharma_Sales_Data[[#This Row],[Total Drug Sales]]*150</f>
        <v>3831</v>
      </c>
      <c r="O1163" s="2">
        <f>Pharma_Sales_Data[[#This Row],[Total Revenue]]*0.3</f>
        <v>1149.3</v>
      </c>
      <c r="P1163" t="str">
        <f>IF(Pharma_Sales_Data[[#This Row],[Total Revenue]]&gt;20000,"High Value", IF(Pharma_Sales_Data[[#This Row],[Total Revenue]]&gt;=10000,"Medium Value","Low Value"))</f>
        <v>Low Value</v>
      </c>
    </row>
    <row r="1164" spans="1:16" x14ac:dyDescent="0.35">
      <c r="A1164" s="1">
        <v>42803</v>
      </c>
      <c r="B1164">
        <v>11.33</v>
      </c>
      <c r="C1164">
        <v>2.33</v>
      </c>
      <c r="D1164">
        <v>6</v>
      </c>
      <c r="E1164">
        <v>26.9</v>
      </c>
      <c r="F1164">
        <v>6</v>
      </c>
      <c r="G1164">
        <v>1</v>
      </c>
      <c r="H1164">
        <v>0</v>
      </c>
      <c r="I1164">
        <v>2.5</v>
      </c>
      <c r="J1164">
        <v>2017</v>
      </c>
      <c r="K1164">
        <v>3</v>
      </c>
      <c r="L1164" t="s">
        <v>11</v>
      </c>
      <c r="M1164">
        <f>SUM(Pharma_Sales_Data[[#This Row],[M01AB]:[R06]])</f>
        <v>56.06</v>
      </c>
      <c r="N1164" s="2">
        <f>Pharma_Sales_Data[[#This Row],[Total Drug Sales]]*150</f>
        <v>8409</v>
      </c>
      <c r="O1164" s="2">
        <f>Pharma_Sales_Data[[#This Row],[Total Revenue]]*0.3</f>
        <v>2522.6999999999998</v>
      </c>
      <c r="P1164" t="str">
        <f>IF(Pharma_Sales_Data[[#This Row],[Total Revenue]]&gt;20000,"High Value", IF(Pharma_Sales_Data[[#This Row],[Total Revenue]]&gt;=10000,"Medium Value","Low Value"))</f>
        <v>Low Value</v>
      </c>
    </row>
    <row r="1165" spans="1:16" x14ac:dyDescent="0.35">
      <c r="A1165" s="1">
        <v>42804</v>
      </c>
      <c r="B1165">
        <v>2</v>
      </c>
      <c r="C1165">
        <v>4.33</v>
      </c>
      <c r="D1165">
        <v>4.5999999999999996</v>
      </c>
      <c r="E1165">
        <v>26.3</v>
      </c>
      <c r="F1165">
        <v>8</v>
      </c>
      <c r="G1165">
        <v>1</v>
      </c>
      <c r="H1165">
        <v>0</v>
      </c>
      <c r="I1165">
        <v>1</v>
      </c>
      <c r="J1165">
        <v>2017</v>
      </c>
      <c r="K1165">
        <v>3</v>
      </c>
      <c r="L1165" t="s">
        <v>12</v>
      </c>
      <c r="M1165">
        <f>SUM(Pharma_Sales_Data[[#This Row],[M01AB]:[R06]])</f>
        <v>47.230000000000004</v>
      </c>
      <c r="N1165" s="2">
        <f>Pharma_Sales_Data[[#This Row],[Total Drug Sales]]*150</f>
        <v>7084.5000000000009</v>
      </c>
      <c r="O1165" s="2">
        <f>Pharma_Sales_Data[[#This Row],[Total Revenue]]*0.3</f>
        <v>2125.3500000000004</v>
      </c>
      <c r="P1165" t="str">
        <f>IF(Pharma_Sales_Data[[#This Row],[Total Revenue]]&gt;20000,"High Value", IF(Pharma_Sales_Data[[#This Row],[Total Revenue]]&gt;=10000,"Medium Value","Low Value"))</f>
        <v>Low Value</v>
      </c>
    </row>
    <row r="1166" spans="1:16" x14ac:dyDescent="0.35">
      <c r="A1166" s="1">
        <v>42805</v>
      </c>
      <c r="B1166">
        <v>6.33</v>
      </c>
      <c r="C1166">
        <v>4.0659999999999998</v>
      </c>
      <c r="D1166">
        <v>6</v>
      </c>
      <c r="E1166">
        <v>20.100000000000001</v>
      </c>
      <c r="F1166">
        <v>2</v>
      </c>
      <c r="G1166">
        <v>1</v>
      </c>
      <c r="H1166">
        <v>5</v>
      </c>
      <c r="I1166">
        <v>3.5</v>
      </c>
      <c r="J1166">
        <v>2017</v>
      </c>
      <c r="K1166">
        <v>3</v>
      </c>
      <c r="L1166" t="s">
        <v>13</v>
      </c>
      <c r="M1166">
        <f>SUM(Pharma_Sales_Data[[#This Row],[M01AB]:[R06]])</f>
        <v>47.996000000000002</v>
      </c>
      <c r="N1166" s="2">
        <f>Pharma_Sales_Data[[#This Row],[Total Drug Sales]]*150</f>
        <v>7199.4000000000005</v>
      </c>
      <c r="O1166" s="2">
        <f>Pharma_Sales_Data[[#This Row],[Total Revenue]]*0.3</f>
        <v>2159.8200000000002</v>
      </c>
      <c r="P1166" t="str">
        <f>IF(Pharma_Sales_Data[[#This Row],[Total Revenue]]&gt;20000,"High Value", IF(Pharma_Sales_Data[[#This Row],[Total Revenue]]&gt;=10000,"Medium Value","Low Value"))</f>
        <v>Low Value</v>
      </c>
    </row>
    <row r="1167" spans="1:16" x14ac:dyDescent="0.35">
      <c r="A1167" s="1">
        <v>42806</v>
      </c>
      <c r="B1167">
        <v>7.68</v>
      </c>
      <c r="C1167">
        <v>7.01</v>
      </c>
      <c r="D1167">
        <v>2</v>
      </c>
      <c r="E1167">
        <v>48</v>
      </c>
      <c r="F1167">
        <v>6</v>
      </c>
      <c r="G1167">
        <v>4</v>
      </c>
      <c r="H1167">
        <v>15</v>
      </c>
      <c r="I1167">
        <v>2</v>
      </c>
      <c r="J1167">
        <v>2017</v>
      </c>
      <c r="K1167">
        <v>3</v>
      </c>
      <c r="L1167" t="s">
        <v>14</v>
      </c>
      <c r="M1167">
        <f>SUM(Pharma_Sales_Data[[#This Row],[M01AB]:[R06]])</f>
        <v>91.69</v>
      </c>
      <c r="N1167" s="2">
        <f>Pharma_Sales_Data[[#This Row],[Total Drug Sales]]*150</f>
        <v>13753.5</v>
      </c>
      <c r="O1167" s="2">
        <f>Pharma_Sales_Data[[#This Row],[Total Revenue]]*0.3</f>
        <v>4126.05</v>
      </c>
      <c r="P1167" t="str">
        <f>IF(Pharma_Sales_Data[[#This Row],[Total Revenue]]&gt;20000,"High Value", IF(Pharma_Sales_Data[[#This Row],[Total Revenue]]&gt;=10000,"Medium Value","Low Value"))</f>
        <v>Medium Value</v>
      </c>
    </row>
    <row r="1168" spans="1:16" x14ac:dyDescent="0.35">
      <c r="A1168" s="1">
        <v>42807</v>
      </c>
      <c r="B1168">
        <v>2.33</v>
      </c>
      <c r="C1168">
        <v>0.68</v>
      </c>
      <c r="D1168">
        <v>2.7</v>
      </c>
      <c r="E1168">
        <v>17.8</v>
      </c>
      <c r="F1168">
        <v>2</v>
      </c>
      <c r="G1168">
        <v>0</v>
      </c>
      <c r="H1168">
        <v>10</v>
      </c>
      <c r="I1168">
        <v>0</v>
      </c>
      <c r="J1168">
        <v>2017</v>
      </c>
      <c r="K1168">
        <v>3</v>
      </c>
      <c r="L1168" t="s">
        <v>15</v>
      </c>
      <c r="M1168">
        <f>SUM(Pharma_Sales_Data[[#This Row],[M01AB]:[R06]])</f>
        <v>35.510000000000005</v>
      </c>
      <c r="N1168" s="2">
        <f>Pharma_Sales_Data[[#This Row],[Total Drug Sales]]*150</f>
        <v>5326.5000000000009</v>
      </c>
      <c r="O1168" s="2">
        <f>Pharma_Sales_Data[[#This Row],[Total Revenue]]*0.3</f>
        <v>1597.9500000000003</v>
      </c>
      <c r="P1168" t="str">
        <f>IF(Pharma_Sales_Data[[#This Row],[Total Revenue]]&gt;20000,"High Value", IF(Pharma_Sales_Data[[#This Row],[Total Revenue]]&gt;=10000,"Medium Value","Low Value"))</f>
        <v>Low Value</v>
      </c>
    </row>
    <row r="1169" spans="1:16" x14ac:dyDescent="0.35">
      <c r="A1169" s="1">
        <v>42808</v>
      </c>
      <c r="B1169">
        <v>2.67</v>
      </c>
      <c r="C1169">
        <v>1.34</v>
      </c>
      <c r="D1169">
        <v>3</v>
      </c>
      <c r="E1169">
        <v>15</v>
      </c>
      <c r="F1169">
        <v>5</v>
      </c>
      <c r="G1169">
        <v>0</v>
      </c>
      <c r="H1169">
        <v>5</v>
      </c>
      <c r="I1169">
        <v>1</v>
      </c>
      <c r="J1169">
        <v>2017</v>
      </c>
      <c r="K1169">
        <v>3</v>
      </c>
      <c r="L1169" t="s">
        <v>16</v>
      </c>
      <c r="M1169">
        <f>SUM(Pharma_Sales_Data[[#This Row],[M01AB]:[R06]])</f>
        <v>33.01</v>
      </c>
      <c r="N1169" s="2">
        <f>Pharma_Sales_Data[[#This Row],[Total Drug Sales]]*150</f>
        <v>4951.5</v>
      </c>
      <c r="O1169" s="2">
        <f>Pharma_Sales_Data[[#This Row],[Total Revenue]]*0.3</f>
        <v>1485.45</v>
      </c>
      <c r="P1169" t="str">
        <f>IF(Pharma_Sales_Data[[#This Row],[Total Revenue]]&gt;20000,"High Value", IF(Pharma_Sales_Data[[#This Row],[Total Revenue]]&gt;=10000,"Medium Value","Low Value"))</f>
        <v>Low Value</v>
      </c>
    </row>
    <row r="1170" spans="1:16" x14ac:dyDescent="0.35">
      <c r="A1170" s="1">
        <v>42809</v>
      </c>
      <c r="B1170">
        <v>3.66</v>
      </c>
      <c r="C1170">
        <v>1.7030000000000001</v>
      </c>
      <c r="D1170">
        <v>2.5</v>
      </c>
      <c r="E1170">
        <v>14.6</v>
      </c>
      <c r="F1170">
        <v>4</v>
      </c>
      <c r="G1170">
        <v>0</v>
      </c>
      <c r="H1170">
        <v>0</v>
      </c>
      <c r="I1170">
        <v>0</v>
      </c>
      <c r="J1170">
        <v>2017</v>
      </c>
      <c r="K1170">
        <v>3</v>
      </c>
      <c r="L1170" t="s">
        <v>17</v>
      </c>
      <c r="M1170">
        <f>SUM(Pharma_Sales_Data[[#This Row],[M01AB]:[R06]])</f>
        <v>26.463000000000001</v>
      </c>
      <c r="N1170" s="2">
        <f>Pharma_Sales_Data[[#This Row],[Total Drug Sales]]*150</f>
        <v>3969.4500000000003</v>
      </c>
      <c r="O1170" s="2">
        <f>Pharma_Sales_Data[[#This Row],[Total Revenue]]*0.3</f>
        <v>1190.835</v>
      </c>
      <c r="P1170" t="str">
        <f>IF(Pharma_Sales_Data[[#This Row],[Total Revenue]]&gt;20000,"High Value", IF(Pharma_Sales_Data[[#This Row],[Total Revenue]]&gt;=10000,"Medium Value","Low Value"))</f>
        <v>Low Value</v>
      </c>
    </row>
    <row r="1171" spans="1:16" x14ac:dyDescent="0.35">
      <c r="A1171" s="1">
        <v>42810</v>
      </c>
      <c r="B1171">
        <v>6</v>
      </c>
      <c r="C1171">
        <v>4.056</v>
      </c>
      <c r="D1171">
        <v>4.75</v>
      </c>
      <c r="E1171">
        <v>28.2</v>
      </c>
      <c r="F1171">
        <v>4</v>
      </c>
      <c r="G1171">
        <v>0</v>
      </c>
      <c r="H1171">
        <v>1</v>
      </c>
      <c r="I1171">
        <v>3</v>
      </c>
      <c r="J1171">
        <v>2017</v>
      </c>
      <c r="K1171">
        <v>3</v>
      </c>
      <c r="L1171" t="s">
        <v>11</v>
      </c>
      <c r="M1171">
        <f>SUM(Pharma_Sales_Data[[#This Row],[M01AB]:[R06]])</f>
        <v>51.006</v>
      </c>
      <c r="N1171" s="2">
        <f>Pharma_Sales_Data[[#This Row],[Total Drug Sales]]*150</f>
        <v>7650.9</v>
      </c>
      <c r="O1171" s="2">
        <f>Pharma_Sales_Data[[#This Row],[Total Revenue]]*0.3</f>
        <v>2295.27</v>
      </c>
      <c r="P1171" t="str">
        <f>IF(Pharma_Sales_Data[[#This Row],[Total Revenue]]&gt;20000,"High Value", IF(Pharma_Sales_Data[[#This Row],[Total Revenue]]&gt;=10000,"Medium Value","Low Value"))</f>
        <v>Low Value</v>
      </c>
    </row>
    <row r="1172" spans="1:16" x14ac:dyDescent="0.35">
      <c r="A1172" s="1">
        <v>42811</v>
      </c>
      <c r="B1172">
        <v>4.33</v>
      </c>
      <c r="C1172">
        <v>2.802</v>
      </c>
      <c r="D1172">
        <v>0</v>
      </c>
      <c r="E1172">
        <v>11</v>
      </c>
      <c r="F1172">
        <v>14</v>
      </c>
      <c r="G1172">
        <v>0</v>
      </c>
      <c r="H1172">
        <v>3</v>
      </c>
      <c r="I1172">
        <v>3</v>
      </c>
      <c r="J1172">
        <v>2017</v>
      </c>
      <c r="K1172">
        <v>3</v>
      </c>
      <c r="L1172" t="s">
        <v>12</v>
      </c>
      <c r="M1172">
        <f>SUM(Pharma_Sales_Data[[#This Row],[M01AB]:[R06]])</f>
        <v>38.131999999999998</v>
      </c>
      <c r="N1172" s="2">
        <f>Pharma_Sales_Data[[#This Row],[Total Drug Sales]]*150</f>
        <v>5719.7999999999993</v>
      </c>
      <c r="O1172" s="2">
        <f>Pharma_Sales_Data[[#This Row],[Total Revenue]]*0.3</f>
        <v>1715.9399999999998</v>
      </c>
      <c r="P1172" t="str">
        <f>IF(Pharma_Sales_Data[[#This Row],[Total Revenue]]&gt;20000,"High Value", IF(Pharma_Sales_Data[[#This Row],[Total Revenue]]&gt;=10000,"Medium Value","Low Value"))</f>
        <v>Low Value</v>
      </c>
    </row>
    <row r="1173" spans="1:16" x14ac:dyDescent="0.35">
      <c r="A1173" s="1">
        <v>42812</v>
      </c>
      <c r="B1173">
        <v>5</v>
      </c>
      <c r="C1173">
        <v>4.38</v>
      </c>
      <c r="D1173">
        <v>4.25</v>
      </c>
      <c r="E1173">
        <v>20.399999999999999</v>
      </c>
      <c r="F1173">
        <v>3</v>
      </c>
      <c r="G1173">
        <v>0</v>
      </c>
      <c r="H1173">
        <v>1</v>
      </c>
      <c r="I1173">
        <v>1</v>
      </c>
      <c r="J1173">
        <v>2017</v>
      </c>
      <c r="K1173">
        <v>3</v>
      </c>
      <c r="L1173" t="s">
        <v>13</v>
      </c>
      <c r="M1173">
        <f>SUM(Pharma_Sales_Data[[#This Row],[M01AB]:[R06]])</f>
        <v>39.03</v>
      </c>
      <c r="N1173" s="2">
        <f>Pharma_Sales_Data[[#This Row],[Total Drug Sales]]*150</f>
        <v>5854.5</v>
      </c>
      <c r="O1173" s="2">
        <f>Pharma_Sales_Data[[#This Row],[Total Revenue]]*0.3</f>
        <v>1756.35</v>
      </c>
      <c r="P1173" t="str">
        <f>IF(Pharma_Sales_Data[[#This Row],[Total Revenue]]&gt;20000,"High Value", IF(Pharma_Sales_Data[[#This Row],[Total Revenue]]&gt;=10000,"Medium Value","Low Value"))</f>
        <v>Low Value</v>
      </c>
    </row>
    <row r="1174" spans="1:16" x14ac:dyDescent="0.35">
      <c r="A1174" s="1">
        <v>42813</v>
      </c>
      <c r="B1174">
        <v>10</v>
      </c>
      <c r="C1174">
        <v>3.6930000000000001</v>
      </c>
      <c r="D1174">
        <v>2</v>
      </c>
      <c r="E1174">
        <v>39.1</v>
      </c>
      <c r="F1174">
        <v>3</v>
      </c>
      <c r="G1174">
        <v>0</v>
      </c>
      <c r="H1174">
        <v>5</v>
      </c>
      <c r="I1174">
        <v>3</v>
      </c>
      <c r="J1174">
        <v>2017</v>
      </c>
      <c r="K1174">
        <v>3</v>
      </c>
      <c r="L1174" t="s">
        <v>14</v>
      </c>
      <c r="M1174">
        <f>SUM(Pharma_Sales_Data[[#This Row],[M01AB]:[R06]])</f>
        <v>65.793000000000006</v>
      </c>
      <c r="N1174" s="2">
        <f>Pharma_Sales_Data[[#This Row],[Total Drug Sales]]*150</f>
        <v>9868.9500000000007</v>
      </c>
      <c r="O1174" s="2">
        <f>Pharma_Sales_Data[[#This Row],[Total Revenue]]*0.3</f>
        <v>2960.6849999999999</v>
      </c>
      <c r="P1174" t="str">
        <f>IF(Pharma_Sales_Data[[#This Row],[Total Revenue]]&gt;20000,"High Value", IF(Pharma_Sales_Data[[#This Row],[Total Revenue]]&gt;=10000,"Medium Value","Low Value"))</f>
        <v>Low Value</v>
      </c>
    </row>
    <row r="1175" spans="1:16" x14ac:dyDescent="0.35">
      <c r="A1175" s="1">
        <v>42814</v>
      </c>
      <c r="B1175">
        <v>1.66</v>
      </c>
      <c r="C1175">
        <v>6.6829999999999998</v>
      </c>
      <c r="D1175">
        <v>4.7</v>
      </c>
      <c r="E1175">
        <v>16.100000000000001</v>
      </c>
      <c r="F1175">
        <v>3</v>
      </c>
      <c r="G1175">
        <v>0</v>
      </c>
      <c r="H1175">
        <v>7</v>
      </c>
      <c r="I1175">
        <v>3</v>
      </c>
      <c r="J1175">
        <v>2017</v>
      </c>
      <c r="K1175">
        <v>3</v>
      </c>
      <c r="L1175" t="s">
        <v>15</v>
      </c>
      <c r="M1175">
        <f>SUM(Pharma_Sales_Data[[#This Row],[M01AB]:[R06]])</f>
        <v>42.143000000000001</v>
      </c>
      <c r="N1175" s="2">
        <f>Pharma_Sales_Data[[#This Row],[Total Drug Sales]]*150</f>
        <v>6321.45</v>
      </c>
      <c r="O1175" s="2">
        <f>Pharma_Sales_Data[[#This Row],[Total Revenue]]*0.3</f>
        <v>1896.4349999999999</v>
      </c>
      <c r="P1175" t="str">
        <f>IF(Pharma_Sales_Data[[#This Row],[Total Revenue]]&gt;20000,"High Value", IF(Pharma_Sales_Data[[#This Row],[Total Revenue]]&gt;=10000,"Medium Value","Low Value"))</f>
        <v>Low Value</v>
      </c>
    </row>
    <row r="1176" spans="1:16" x14ac:dyDescent="0.35">
      <c r="A1176" s="1">
        <v>42815</v>
      </c>
      <c r="B1176">
        <v>9.16</v>
      </c>
      <c r="C1176">
        <v>2.0299999999999998</v>
      </c>
      <c r="D1176">
        <v>2.2000000000000002</v>
      </c>
      <c r="E1176">
        <v>12.6</v>
      </c>
      <c r="F1176">
        <v>4</v>
      </c>
      <c r="G1176">
        <v>0</v>
      </c>
      <c r="H1176">
        <v>1</v>
      </c>
      <c r="I1176">
        <v>5.3</v>
      </c>
      <c r="J1176">
        <v>2017</v>
      </c>
      <c r="K1176">
        <v>3</v>
      </c>
      <c r="L1176" t="s">
        <v>16</v>
      </c>
      <c r="M1176">
        <f>SUM(Pharma_Sales_Data[[#This Row],[M01AB]:[R06]])</f>
        <v>36.29</v>
      </c>
      <c r="N1176" s="2">
        <f>Pharma_Sales_Data[[#This Row],[Total Drug Sales]]*150</f>
        <v>5443.5</v>
      </c>
      <c r="O1176" s="2">
        <f>Pharma_Sales_Data[[#This Row],[Total Revenue]]*0.3</f>
        <v>1633.05</v>
      </c>
      <c r="P1176" t="str">
        <f>IF(Pharma_Sales_Data[[#This Row],[Total Revenue]]&gt;20000,"High Value", IF(Pharma_Sales_Data[[#This Row],[Total Revenue]]&gt;=10000,"Medium Value","Low Value"))</f>
        <v>Low Value</v>
      </c>
    </row>
    <row r="1177" spans="1:16" x14ac:dyDescent="0.35">
      <c r="A1177" s="1">
        <v>42816</v>
      </c>
      <c r="B1177">
        <v>1.66</v>
      </c>
      <c r="C1177">
        <v>5.0229999999999997</v>
      </c>
      <c r="D1177">
        <v>2</v>
      </c>
      <c r="E1177">
        <v>16.399999999999999</v>
      </c>
      <c r="F1177">
        <v>7</v>
      </c>
      <c r="G1177">
        <v>0</v>
      </c>
      <c r="H1177">
        <v>2</v>
      </c>
      <c r="I1177">
        <v>2</v>
      </c>
      <c r="J1177">
        <v>2017</v>
      </c>
      <c r="K1177">
        <v>3</v>
      </c>
      <c r="L1177" t="s">
        <v>17</v>
      </c>
      <c r="M1177">
        <f>SUM(Pharma_Sales_Data[[#This Row],[M01AB]:[R06]])</f>
        <v>36.082999999999998</v>
      </c>
      <c r="N1177" s="2">
        <f>Pharma_Sales_Data[[#This Row],[Total Drug Sales]]*150</f>
        <v>5412.45</v>
      </c>
      <c r="O1177" s="2">
        <f>Pharma_Sales_Data[[#This Row],[Total Revenue]]*0.3</f>
        <v>1623.7349999999999</v>
      </c>
      <c r="P1177" t="str">
        <f>IF(Pharma_Sales_Data[[#This Row],[Total Revenue]]&gt;20000,"High Value", IF(Pharma_Sales_Data[[#This Row],[Total Revenue]]&gt;=10000,"Medium Value","Low Value"))</f>
        <v>Low Value</v>
      </c>
    </row>
    <row r="1178" spans="1:16" x14ac:dyDescent="0.35">
      <c r="A1178" s="1">
        <v>42817</v>
      </c>
      <c r="B1178">
        <v>7.34</v>
      </c>
      <c r="C1178">
        <v>2.133</v>
      </c>
      <c r="D1178">
        <v>1</v>
      </c>
      <c r="E1178">
        <v>13.3</v>
      </c>
      <c r="F1178">
        <v>8</v>
      </c>
      <c r="G1178">
        <v>0</v>
      </c>
      <c r="H1178">
        <v>6</v>
      </c>
      <c r="I1178">
        <v>3.5</v>
      </c>
      <c r="J1178">
        <v>2017</v>
      </c>
      <c r="K1178">
        <v>3</v>
      </c>
      <c r="L1178" t="s">
        <v>11</v>
      </c>
      <c r="M1178">
        <f>SUM(Pharma_Sales_Data[[#This Row],[M01AB]:[R06]])</f>
        <v>41.272999999999996</v>
      </c>
      <c r="N1178" s="2">
        <f>Pharma_Sales_Data[[#This Row],[Total Drug Sales]]*150</f>
        <v>6190.95</v>
      </c>
      <c r="O1178" s="2">
        <f>Pharma_Sales_Data[[#This Row],[Total Revenue]]*0.3</f>
        <v>1857.2849999999999</v>
      </c>
      <c r="P1178" t="str">
        <f>IF(Pharma_Sales_Data[[#This Row],[Total Revenue]]&gt;20000,"High Value", IF(Pharma_Sales_Data[[#This Row],[Total Revenue]]&gt;=10000,"Medium Value","Low Value"))</f>
        <v>Low Value</v>
      </c>
    </row>
    <row r="1179" spans="1:16" x14ac:dyDescent="0.35">
      <c r="A1179" s="1">
        <v>42818</v>
      </c>
      <c r="B1179">
        <v>1.67</v>
      </c>
      <c r="C1179">
        <v>3</v>
      </c>
      <c r="D1179">
        <v>4.5</v>
      </c>
      <c r="E1179">
        <v>12.3</v>
      </c>
      <c r="F1179">
        <v>7</v>
      </c>
      <c r="G1179">
        <v>0</v>
      </c>
      <c r="H1179">
        <v>5</v>
      </c>
      <c r="I1179">
        <v>6.3</v>
      </c>
      <c r="J1179">
        <v>2017</v>
      </c>
      <c r="K1179">
        <v>3</v>
      </c>
      <c r="L1179" t="s">
        <v>12</v>
      </c>
      <c r="M1179">
        <f>SUM(Pharma_Sales_Data[[#This Row],[M01AB]:[R06]])</f>
        <v>39.769999999999996</v>
      </c>
      <c r="N1179" s="2">
        <f>Pharma_Sales_Data[[#This Row],[Total Drug Sales]]*150</f>
        <v>5965.4999999999991</v>
      </c>
      <c r="O1179" s="2">
        <f>Pharma_Sales_Data[[#This Row],[Total Revenue]]*0.3</f>
        <v>1789.6499999999996</v>
      </c>
      <c r="P1179" t="str">
        <f>IF(Pharma_Sales_Data[[#This Row],[Total Revenue]]&gt;20000,"High Value", IF(Pharma_Sales_Data[[#This Row],[Total Revenue]]&gt;=10000,"Medium Value","Low Value"))</f>
        <v>Low Value</v>
      </c>
    </row>
    <row r="1180" spans="1:16" x14ac:dyDescent="0.35">
      <c r="A1180" s="1">
        <v>42819</v>
      </c>
      <c r="B1180">
        <v>10</v>
      </c>
      <c r="C1180">
        <v>5.49</v>
      </c>
      <c r="D1180">
        <v>1</v>
      </c>
      <c r="E1180">
        <v>33.299999999999997</v>
      </c>
      <c r="F1180">
        <v>3</v>
      </c>
      <c r="G1180">
        <v>0</v>
      </c>
      <c r="H1180">
        <v>0</v>
      </c>
      <c r="I1180">
        <v>4</v>
      </c>
      <c r="J1180">
        <v>2017</v>
      </c>
      <c r="K1180">
        <v>3</v>
      </c>
      <c r="L1180" t="s">
        <v>13</v>
      </c>
      <c r="M1180">
        <f>SUM(Pharma_Sales_Data[[#This Row],[M01AB]:[R06]])</f>
        <v>56.79</v>
      </c>
      <c r="N1180" s="2">
        <f>Pharma_Sales_Data[[#This Row],[Total Drug Sales]]*150</f>
        <v>8518.5</v>
      </c>
      <c r="O1180" s="2">
        <f>Pharma_Sales_Data[[#This Row],[Total Revenue]]*0.3</f>
        <v>2555.5499999999997</v>
      </c>
      <c r="P1180" t="str">
        <f>IF(Pharma_Sales_Data[[#This Row],[Total Revenue]]&gt;20000,"High Value", IF(Pharma_Sales_Data[[#This Row],[Total Revenue]]&gt;=10000,"Medium Value","Low Value"))</f>
        <v>Low Value</v>
      </c>
    </row>
    <row r="1181" spans="1:16" x14ac:dyDescent="0.35">
      <c r="A1181" s="1">
        <v>42820</v>
      </c>
      <c r="B1181">
        <v>5.34</v>
      </c>
      <c r="C1181">
        <v>5.36</v>
      </c>
      <c r="D1181">
        <v>3.45</v>
      </c>
      <c r="E1181">
        <v>18</v>
      </c>
      <c r="F1181">
        <v>4</v>
      </c>
      <c r="G1181">
        <v>0</v>
      </c>
      <c r="H1181">
        <v>10</v>
      </c>
      <c r="I1181">
        <v>8</v>
      </c>
      <c r="J1181">
        <v>2017</v>
      </c>
      <c r="K1181">
        <v>3</v>
      </c>
      <c r="L1181" t="s">
        <v>14</v>
      </c>
      <c r="M1181">
        <f>SUM(Pharma_Sales_Data[[#This Row],[M01AB]:[R06]])</f>
        <v>54.15</v>
      </c>
      <c r="N1181" s="2">
        <f>Pharma_Sales_Data[[#This Row],[Total Drug Sales]]*150</f>
        <v>8122.5</v>
      </c>
      <c r="O1181" s="2">
        <f>Pharma_Sales_Data[[#This Row],[Total Revenue]]*0.3</f>
        <v>2436.75</v>
      </c>
      <c r="P1181" t="str">
        <f>IF(Pharma_Sales_Data[[#This Row],[Total Revenue]]&gt;20000,"High Value", IF(Pharma_Sales_Data[[#This Row],[Total Revenue]]&gt;=10000,"Medium Value","Low Value"))</f>
        <v>Low Value</v>
      </c>
    </row>
    <row r="1182" spans="1:16" x14ac:dyDescent="0.35">
      <c r="A1182" s="1">
        <v>42821</v>
      </c>
      <c r="B1182">
        <v>4.84</v>
      </c>
      <c r="C1182">
        <v>3.4630000000000001</v>
      </c>
      <c r="D1182">
        <v>3.5</v>
      </c>
      <c r="E1182">
        <v>14.8</v>
      </c>
      <c r="F1182">
        <v>5</v>
      </c>
      <c r="G1182">
        <v>0</v>
      </c>
      <c r="H1182">
        <v>1</v>
      </c>
      <c r="I1182">
        <v>4</v>
      </c>
      <c r="J1182">
        <v>2017</v>
      </c>
      <c r="K1182">
        <v>3</v>
      </c>
      <c r="L1182" t="s">
        <v>15</v>
      </c>
      <c r="M1182">
        <f>SUM(Pharma_Sales_Data[[#This Row],[M01AB]:[R06]])</f>
        <v>36.603000000000002</v>
      </c>
      <c r="N1182" s="2">
        <f>Pharma_Sales_Data[[#This Row],[Total Drug Sales]]*150</f>
        <v>5490.45</v>
      </c>
      <c r="O1182" s="2">
        <f>Pharma_Sales_Data[[#This Row],[Total Revenue]]*0.3</f>
        <v>1647.135</v>
      </c>
      <c r="P1182" t="str">
        <f>IF(Pharma_Sales_Data[[#This Row],[Total Revenue]]&gt;20000,"High Value", IF(Pharma_Sales_Data[[#This Row],[Total Revenue]]&gt;=10000,"Medium Value","Low Value"))</f>
        <v>Low Value</v>
      </c>
    </row>
    <row r="1183" spans="1:16" x14ac:dyDescent="0.35">
      <c r="A1183" s="1">
        <v>42822</v>
      </c>
      <c r="B1183">
        <v>2.67</v>
      </c>
      <c r="C1183">
        <v>2.67</v>
      </c>
      <c r="D1183">
        <v>7</v>
      </c>
      <c r="E1183">
        <v>22</v>
      </c>
      <c r="F1183">
        <v>14</v>
      </c>
      <c r="G1183">
        <v>0</v>
      </c>
      <c r="H1183">
        <v>0</v>
      </c>
      <c r="I1183">
        <v>6</v>
      </c>
      <c r="J1183">
        <v>2017</v>
      </c>
      <c r="K1183">
        <v>3</v>
      </c>
      <c r="L1183" t="s">
        <v>16</v>
      </c>
      <c r="M1183">
        <f>SUM(Pharma_Sales_Data[[#This Row],[M01AB]:[R06]])</f>
        <v>54.34</v>
      </c>
      <c r="N1183" s="2">
        <f>Pharma_Sales_Data[[#This Row],[Total Drug Sales]]*150</f>
        <v>8151.0000000000009</v>
      </c>
      <c r="O1183" s="2">
        <f>Pharma_Sales_Data[[#This Row],[Total Revenue]]*0.3</f>
        <v>2445.3000000000002</v>
      </c>
      <c r="P1183" t="str">
        <f>IF(Pharma_Sales_Data[[#This Row],[Total Revenue]]&gt;20000,"High Value", IF(Pharma_Sales_Data[[#This Row],[Total Revenue]]&gt;=10000,"Medium Value","Low Value"))</f>
        <v>Low Value</v>
      </c>
    </row>
    <row r="1184" spans="1:16" x14ac:dyDescent="0.35">
      <c r="A1184" s="1">
        <v>42823</v>
      </c>
      <c r="B1184">
        <v>6.34</v>
      </c>
      <c r="C1184">
        <v>1.34</v>
      </c>
      <c r="D1184">
        <v>4</v>
      </c>
      <c r="E1184">
        <v>12.9</v>
      </c>
      <c r="F1184">
        <v>3</v>
      </c>
      <c r="G1184">
        <v>0</v>
      </c>
      <c r="H1184">
        <v>7</v>
      </c>
      <c r="I1184">
        <v>4.5</v>
      </c>
      <c r="J1184">
        <v>2017</v>
      </c>
      <c r="K1184">
        <v>3</v>
      </c>
      <c r="L1184" t="s">
        <v>17</v>
      </c>
      <c r="M1184">
        <f>SUM(Pharma_Sales_Data[[#This Row],[M01AB]:[R06]])</f>
        <v>39.08</v>
      </c>
      <c r="N1184" s="2">
        <f>Pharma_Sales_Data[[#This Row],[Total Drug Sales]]*150</f>
        <v>5862</v>
      </c>
      <c r="O1184" s="2">
        <f>Pharma_Sales_Data[[#This Row],[Total Revenue]]*0.3</f>
        <v>1758.6</v>
      </c>
      <c r="P1184" t="str">
        <f>IF(Pharma_Sales_Data[[#This Row],[Total Revenue]]&gt;20000,"High Value", IF(Pharma_Sales_Data[[#This Row],[Total Revenue]]&gt;=10000,"Medium Value","Low Value"))</f>
        <v>Low Value</v>
      </c>
    </row>
    <row r="1185" spans="1:16" x14ac:dyDescent="0.35">
      <c r="A1185" s="1">
        <v>42824</v>
      </c>
      <c r="B1185">
        <v>1.33</v>
      </c>
      <c r="C1185">
        <v>2.6930000000000001</v>
      </c>
      <c r="D1185">
        <v>5</v>
      </c>
      <c r="E1185">
        <v>9.5</v>
      </c>
      <c r="F1185">
        <v>9</v>
      </c>
      <c r="G1185">
        <v>0</v>
      </c>
      <c r="H1185">
        <v>0</v>
      </c>
      <c r="I1185">
        <v>2</v>
      </c>
      <c r="J1185">
        <v>2017</v>
      </c>
      <c r="K1185">
        <v>3</v>
      </c>
      <c r="L1185" t="s">
        <v>11</v>
      </c>
      <c r="M1185">
        <f>SUM(Pharma_Sales_Data[[#This Row],[M01AB]:[R06]])</f>
        <v>29.523</v>
      </c>
      <c r="N1185" s="2">
        <f>Pharma_Sales_Data[[#This Row],[Total Drug Sales]]*150</f>
        <v>4428.45</v>
      </c>
      <c r="O1185" s="2">
        <f>Pharma_Sales_Data[[#This Row],[Total Revenue]]*0.3</f>
        <v>1328.5349999999999</v>
      </c>
      <c r="P1185" t="str">
        <f>IF(Pharma_Sales_Data[[#This Row],[Total Revenue]]&gt;20000,"High Value", IF(Pharma_Sales_Data[[#This Row],[Total Revenue]]&gt;=10000,"Medium Value","Low Value"))</f>
        <v>Low Value</v>
      </c>
    </row>
    <row r="1186" spans="1:16" x14ac:dyDescent="0.35">
      <c r="A1186" s="1">
        <v>42825</v>
      </c>
      <c r="B1186">
        <v>4</v>
      </c>
      <c r="C1186">
        <v>2</v>
      </c>
      <c r="D1186">
        <v>3.5</v>
      </c>
      <c r="E1186">
        <v>22.2</v>
      </c>
      <c r="F1186">
        <v>2</v>
      </c>
      <c r="G1186">
        <v>0</v>
      </c>
      <c r="H1186">
        <v>2</v>
      </c>
      <c r="I1186">
        <v>6</v>
      </c>
      <c r="J1186">
        <v>2017</v>
      </c>
      <c r="K1186">
        <v>3</v>
      </c>
      <c r="L1186" t="s">
        <v>12</v>
      </c>
      <c r="M1186">
        <f>SUM(Pharma_Sales_Data[[#This Row],[M01AB]:[R06]])</f>
        <v>41.7</v>
      </c>
      <c r="N1186" s="2">
        <f>Pharma_Sales_Data[[#This Row],[Total Drug Sales]]*150</f>
        <v>6255</v>
      </c>
      <c r="O1186" s="2">
        <f>Pharma_Sales_Data[[#This Row],[Total Revenue]]*0.3</f>
        <v>1876.5</v>
      </c>
      <c r="P1186" t="str">
        <f>IF(Pharma_Sales_Data[[#This Row],[Total Revenue]]&gt;20000,"High Value", IF(Pharma_Sales_Data[[#This Row],[Total Revenue]]&gt;=10000,"Medium Value","Low Value"))</f>
        <v>Low Value</v>
      </c>
    </row>
    <row r="1187" spans="1:16" x14ac:dyDescent="0.35">
      <c r="A1187" s="1">
        <v>42826</v>
      </c>
      <c r="B1187">
        <v>2.33</v>
      </c>
      <c r="C1187">
        <v>2</v>
      </c>
      <c r="D1187">
        <v>2</v>
      </c>
      <c r="E1187">
        <v>34</v>
      </c>
      <c r="F1187">
        <v>2</v>
      </c>
      <c r="G1187">
        <v>0</v>
      </c>
      <c r="H1187">
        <v>1</v>
      </c>
      <c r="I1187">
        <v>3</v>
      </c>
      <c r="J1187">
        <v>2017</v>
      </c>
      <c r="K1187">
        <v>4</v>
      </c>
      <c r="L1187" t="s">
        <v>13</v>
      </c>
      <c r="M1187">
        <f>SUM(Pharma_Sales_Data[[#This Row],[M01AB]:[R06]])</f>
        <v>46.33</v>
      </c>
      <c r="N1187" s="2">
        <f>Pharma_Sales_Data[[#This Row],[Total Drug Sales]]*150</f>
        <v>6949.5</v>
      </c>
      <c r="O1187" s="2">
        <f>Pharma_Sales_Data[[#This Row],[Total Revenue]]*0.3</f>
        <v>2084.85</v>
      </c>
      <c r="P1187" t="str">
        <f>IF(Pharma_Sales_Data[[#This Row],[Total Revenue]]&gt;20000,"High Value", IF(Pharma_Sales_Data[[#This Row],[Total Revenue]]&gt;=10000,"Medium Value","Low Value"))</f>
        <v>Low Value</v>
      </c>
    </row>
    <row r="1188" spans="1:16" x14ac:dyDescent="0.35">
      <c r="A1188" s="1">
        <v>42827</v>
      </c>
      <c r="B1188">
        <v>6.67</v>
      </c>
      <c r="C1188">
        <v>4.2229999999999999</v>
      </c>
      <c r="D1188">
        <v>4</v>
      </c>
      <c r="E1188">
        <v>23</v>
      </c>
      <c r="F1188">
        <v>4</v>
      </c>
      <c r="G1188">
        <v>0</v>
      </c>
      <c r="H1188">
        <v>9</v>
      </c>
      <c r="I1188">
        <v>12.4</v>
      </c>
      <c r="J1188">
        <v>2017</v>
      </c>
      <c r="K1188">
        <v>4</v>
      </c>
      <c r="L1188" t="s">
        <v>14</v>
      </c>
      <c r="M1188">
        <f>SUM(Pharma_Sales_Data[[#This Row],[M01AB]:[R06]])</f>
        <v>63.292999999999999</v>
      </c>
      <c r="N1188" s="2">
        <f>Pharma_Sales_Data[[#This Row],[Total Drug Sales]]*150</f>
        <v>9493.9500000000007</v>
      </c>
      <c r="O1188" s="2">
        <f>Pharma_Sales_Data[[#This Row],[Total Revenue]]*0.3</f>
        <v>2848.1849999999999</v>
      </c>
      <c r="P1188" t="str">
        <f>IF(Pharma_Sales_Data[[#This Row],[Total Revenue]]&gt;20000,"High Value", IF(Pharma_Sales_Data[[#This Row],[Total Revenue]]&gt;=10000,"Medium Value","Low Value"))</f>
        <v>Low Value</v>
      </c>
    </row>
    <row r="1189" spans="1:16" x14ac:dyDescent="0.35">
      <c r="A1189" s="1">
        <v>42828</v>
      </c>
      <c r="B1189">
        <v>6.33</v>
      </c>
      <c r="C1189">
        <v>1</v>
      </c>
      <c r="D1189">
        <v>5.6</v>
      </c>
      <c r="E1189">
        <v>25.6</v>
      </c>
      <c r="F1189">
        <v>8</v>
      </c>
      <c r="G1189">
        <v>0</v>
      </c>
      <c r="H1189">
        <v>20</v>
      </c>
      <c r="I1189">
        <v>3</v>
      </c>
      <c r="J1189">
        <v>2017</v>
      </c>
      <c r="K1189">
        <v>4</v>
      </c>
      <c r="L1189" t="s">
        <v>15</v>
      </c>
      <c r="M1189">
        <f>SUM(Pharma_Sales_Data[[#This Row],[M01AB]:[R06]])</f>
        <v>69.53</v>
      </c>
      <c r="N1189" s="2">
        <f>Pharma_Sales_Data[[#This Row],[Total Drug Sales]]*150</f>
        <v>10429.5</v>
      </c>
      <c r="O1189" s="2">
        <f>Pharma_Sales_Data[[#This Row],[Total Revenue]]*0.3</f>
        <v>3128.85</v>
      </c>
      <c r="P1189" t="str">
        <f>IF(Pharma_Sales_Data[[#This Row],[Total Revenue]]&gt;20000,"High Value", IF(Pharma_Sales_Data[[#This Row],[Total Revenue]]&gt;=10000,"Medium Value","Low Value"))</f>
        <v>Medium Value</v>
      </c>
    </row>
    <row r="1190" spans="1:16" x14ac:dyDescent="0.35">
      <c r="A1190" s="1">
        <v>42829</v>
      </c>
      <c r="B1190">
        <v>0.33</v>
      </c>
      <c r="C1190">
        <v>1.0329999999999999</v>
      </c>
      <c r="D1190">
        <v>2.2000000000000002</v>
      </c>
      <c r="E1190">
        <v>8</v>
      </c>
      <c r="F1190">
        <v>2</v>
      </c>
      <c r="G1190">
        <v>0</v>
      </c>
      <c r="H1190">
        <v>5</v>
      </c>
      <c r="I1190">
        <v>5.5</v>
      </c>
      <c r="J1190">
        <v>2017</v>
      </c>
      <c r="K1190">
        <v>4</v>
      </c>
      <c r="L1190" t="s">
        <v>16</v>
      </c>
      <c r="M1190">
        <f>SUM(Pharma_Sales_Data[[#This Row],[M01AB]:[R06]])</f>
        <v>24.063000000000002</v>
      </c>
      <c r="N1190" s="2">
        <f>Pharma_Sales_Data[[#This Row],[Total Drug Sales]]*150</f>
        <v>3609.4500000000003</v>
      </c>
      <c r="O1190" s="2">
        <f>Pharma_Sales_Data[[#This Row],[Total Revenue]]*0.3</f>
        <v>1082.835</v>
      </c>
      <c r="P1190" t="str">
        <f>IF(Pharma_Sales_Data[[#This Row],[Total Revenue]]&gt;20000,"High Value", IF(Pharma_Sales_Data[[#This Row],[Total Revenue]]&gt;=10000,"Medium Value","Low Value"))</f>
        <v>Low Value</v>
      </c>
    </row>
    <row r="1191" spans="1:16" x14ac:dyDescent="0.35">
      <c r="A1191" s="1">
        <v>42830</v>
      </c>
      <c r="B1191">
        <v>5</v>
      </c>
      <c r="C1191">
        <v>0.23100000000000001</v>
      </c>
      <c r="D1191">
        <v>0.2</v>
      </c>
      <c r="E1191">
        <v>13.6</v>
      </c>
      <c r="F1191">
        <v>9</v>
      </c>
      <c r="G1191">
        <v>2</v>
      </c>
      <c r="H1191">
        <v>6</v>
      </c>
      <c r="I1191">
        <v>1</v>
      </c>
      <c r="J1191">
        <v>2017</v>
      </c>
      <c r="K1191">
        <v>4</v>
      </c>
      <c r="L1191" t="s">
        <v>17</v>
      </c>
      <c r="M1191">
        <f>SUM(Pharma_Sales_Data[[#This Row],[M01AB]:[R06]])</f>
        <v>37.030999999999999</v>
      </c>
      <c r="N1191" s="2">
        <f>Pharma_Sales_Data[[#This Row],[Total Drug Sales]]*150</f>
        <v>5554.65</v>
      </c>
      <c r="O1191" s="2">
        <f>Pharma_Sales_Data[[#This Row],[Total Revenue]]*0.3</f>
        <v>1666.3949999999998</v>
      </c>
      <c r="P1191" t="str">
        <f>IF(Pharma_Sales_Data[[#This Row],[Total Revenue]]&gt;20000,"High Value", IF(Pharma_Sales_Data[[#This Row],[Total Revenue]]&gt;=10000,"Medium Value","Low Value"))</f>
        <v>Low Value</v>
      </c>
    </row>
    <row r="1192" spans="1:16" x14ac:dyDescent="0.35">
      <c r="A1192" s="1">
        <v>42831</v>
      </c>
      <c r="B1192">
        <v>5</v>
      </c>
      <c r="C1192">
        <v>0.66</v>
      </c>
      <c r="D1192">
        <v>3.1</v>
      </c>
      <c r="E1192">
        <v>10.9</v>
      </c>
      <c r="F1192">
        <v>4</v>
      </c>
      <c r="G1192">
        <v>1</v>
      </c>
      <c r="H1192">
        <v>0</v>
      </c>
      <c r="I1192">
        <v>1</v>
      </c>
      <c r="J1192">
        <v>2017</v>
      </c>
      <c r="K1192">
        <v>4</v>
      </c>
      <c r="L1192" t="s">
        <v>11</v>
      </c>
      <c r="M1192">
        <f>SUM(Pharma_Sales_Data[[#This Row],[M01AB]:[R06]])</f>
        <v>25.66</v>
      </c>
      <c r="N1192" s="2">
        <f>Pharma_Sales_Data[[#This Row],[Total Drug Sales]]*150</f>
        <v>3849</v>
      </c>
      <c r="O1192" s="2">
        <f>Pharma_Sales_Data[[#This Row],[Total Revenue]]*0.3</f>
        <v>1154.7</v>
      </c>
      <c r="P1192" t="str">
        <f>IF(Pharma_Sales_Data[[#This Row],[Total Revenue]]&gt;20000,"High Value", IF(Pharma_Sales_Data[[#This Row],[Total Revenue]]&gt;=10000,"Medium Value","Low Value"))</f>
        <v>Low Value</v>
      </c>
    </row>
    <row r="1193" spans="1:16" x14ac:dyDescent="0.35">
      <c r="A1193" s="1">
        <v>42832</v>
      </c>
      <c r="B1193">
        <v>3.5</v>
      </c>
      <c r="C1193">
        <v>4</v>
      </c>
      <c r="D1193">
        <v>2</v>
      </c>
      <c r="E1193">
        <v>16</v>
      </c>
      <c r="F1193">
        <v>5</v>
      </c>
      <c r="G1193">
        <v>0</v>
      </c>
      <c r="H1193">
        <v>5</v>
      </c>
      <c r="I1193">
        <v>5</v>
      </c>
      <c r="J1193">
        <v>2017</v>
      </c>
      <c r="K1193">
        <v>4</v>
      </c>
      <c r="L1193" t="s">
        <v>12</v>
      </c>
      <c r="M1193">
        <f>SUM(Pharma_Sales_Data[[#This Row],[M01AB]:[R06]])</f>
        <v>40.5</v>
      </c>
      <c r="N1193" s="2">
        <f>Pharma_Sales_Data[[#This Row],[Total Drug Sales]]*150</f>
        <v>6075</v>
      </c>
      <c r="O1193" s="2">
        <f>Pharma_Sales_Data[[#This Row],[Total Revenue]]*0.3</f>
        <v>1822.5</v>
      </c>
      <c r="P1193" t="str">
        <f>IF(Pharma_Sales_Data[[#This Row],[Total Revenue]]&gt;20000,"High Value", IF(Pharma_Sales_Data[[#This Row],[Total Revenue]]&gt;=10000,"Medium Value","Low Value"))</f>
        <v>Low Value</v>
      </c>
    </row>
    <row r="1194" spans="1:16" x14ac:dyDescent="0.35">
      <c r="A1194" s="1">
        <v>42833</v>
      </c>
      <c r="B1194">
        <v>7.51</v>
      </c>
      <c r="C1194">
        <v>8.7590000000000003</v>
      </c>
      <c r="D1194">
        <v>2.0499999999999998</v>
      </c>
      <c r="E1194">
        <v>23</v>
      </c>
      <c r="F1194">
        <v>3</v>
      </c>
      <c r="G1194">
        <v>0</v>
      </c>
      <c r="H1194">
        <v>11</v>
      </c>
      <c r="I1194">
        <v>6</v>
      </c>
      <c r="J1194">
        <v>2017</v>
      </c>
      <c r="K1194">
        <v>4</v>
      </c>
      <c r="L1194" t="s">
        <v>13</v>
      </c>
      <c r="M1194">
        <f>SUM(Pharma_Sales_Data[[#This Row],[M01AB]:[R06]])</f>
        <v>61.319000000000003</v>
      </c>
      <c r="N1194" s="2">
        <f>Pharma_Sales_Data[[#This Row],[Total Drug Sales]]*150</f>
        <v>9197.85</v>
      </c>
      <c r="O1194" s="2">
        <f>Pharma_Sales_Data[[#This Row],[Total Revenue]]*0.3</f>
        <v>2759.355</v>
      </c>
      <c r="P1194" t="str">
        <f>IF(Pharma_Sales_Data[[#This Row],[Total Revenue]]&gt;20000,"High Value", IF(Pharma_Sales_Data[[#This Row],[Total Revenue]]&gt;=10000,"Medium Value","Low Value"))</f>
        <v>Low Value</v>
      </c>
    </row>
    <row r="1195" spans="1:16" x14ac:dyDescent="0.35">
      <c r="A1195" s="1">
        <v>42834</v>
      </c>
      <c r="B1195">
        <v>4.99</v>
      </c>
      <c r="C1195">
        <v>5.34</v>
      </c>
      <c r="D1195">
        <v>8.25</v>
      </c>
      <c r="E1195">
        <v>22</v>
      </c>
      <c r="F1195">
        <v>3</v>
      </c>
      <c r="G1195">
        <v>0</v>
      </c>
      <c r="H1195">
        <v>0</v>
      </c>
      <c r="I1195">
        <v>1</v>
      </c>
      <c r="J1195">
        <v>2017</v>
      </c>
      <c r="K1195">
        <v>4</v>
      </c>
      <c r="L1195" t="s">
        <v>14</v>
      </c>
      <c r="M1195">
        <f>SUM(Pharma_Sales_Data[[#This Row],[M01AB]:[R06]])</f>
        <v>44.58</v>
      </c>
      <c r="N1195" s="2">
        <f>Pharma_Sales_Data[[#This Row],[Total Drug Sales]]*150</f>
        <v>6687</v>
      </c>
      <c r="O1195" s="2">
        <f>Pharma_Sales_Data[[#This Row],[Total Revenue]]*0.3</f>
        <v>2006.1</v>
      </c>
      <c r="P1195" t="str">
        <f>IF(Pharma_Sales_Data[[#This Row],[Total Revenue]]&gt;20000,"High Value", IF(Pharma_Sales_Data[[#This Row],[Total Revenue]]&gt;=10000,"Medium Value","Low Value"))</f>
        <v>Low Value</v>
      </c>
    </row>
    <row r="1196" spans="1:16" x14ac:dyDescent="0.35">
      <c r="A1196" s="1">
        <v>42835</v>
      </c>
      <c r="B1196">
        <v>8.66</v>
      </c>
      <c r="C1196">
        <v>1.363</v>
      </c>
      <c r="D1196">
        <v>1.05</v>
      </c>
      <c r="E1196">
        <v>27.5</v>
      </c>
      <c r="F1196">
        <v>1</v>
      </c>
      <c r="G1196">
        <v>0</v>
      </c>
      <c r="H1196">
        <v>4</v>
      </c>
      <c r="I1196">
        <v>4</v>
      </c>
      <c r="J1196">
        <v>2017</v>
      </c>
      <c r="K1196">
        <v>4</v>
      </c>
      <c r="L1196" t="s">
        <v>15</v>
      </c>
      <c r="M1196">
        <f>SUM(Pharma_Sales_Data[[#This Row],[M01AB]:[R06]])</f>
        <v>47.573</v>
      </c>
      <c r="N1196" s="2">
        <f>Pharma_Sales_Data[[#This Row],[Total Drug Sales]]*150</f>
        <v>7135.95</v>
      </c>
      <c r="O1196" s="2">
        <f>Pharma_Sales_Data[[#This Row],[Total Revenue]]*0.3</f>
        <v>2140.7849999999999</v>
      </c>
      <c r="P1196" t="str">
        <f>IF(Pharma_Sales_Data[[#This Row],[Total Revenue]]&gt;20000,"High Value", IF(Pharma_Sales_Data[[#This Row],[Total Revenue]]&gt;=10000,"Medium Value","Low Value"))</f>
        <v>Low Value</v>
      </c>
    </row>
    <row r="1197" spans="1:16" x14ac:dyDescent="0.35">
      <c r="A1197" s="1">
        <v>42836</v>
      </c>
      <c r="B1197">
        <v>4</v>
      </c>
      <c r="C1197">
        <v>2.33</v>
      </c>
      <c r="D1197">
        <v>3</v>
      </c>
      <c r="E1197">
        <v>17</v>
      </c>
      <c r="F1197">
        <v>5</v>
      </c>
      <c r="G1197">
        <v>0</v>
      </c>
      <c r="H1197">
        <v>11</v>
      </c>
      <c r="I1197">
        <v>1</v>
      </c>
      <c r="J1197">
        <v>2017</v>
      </c>
      <c r="K1197">
        <v>4</v>
      </c>
      <c r="L1197" t="s">
        <v>16</v>
      </c>
      <c r="M1197">
        <f>SUM(Pharma_Sales_Data[[#This Row],[M01AB]:[R06]])</f>
        <v>43.33</v>
      </c>
      <c r="N1197" s="2">
        <f>Pharma_Sales_Data[[#This Row],[Total Drug Sales]]*150</f>
        <v>6499.5</v>
      </c>
      <c r="O1197" s="2">
        <f>Pharma_Sales_Data[[#This Row],[Total Revenue]]*0.3</f>
        <v>1949.85</v>
      </c>
      <c r="P1197" t="str">
        <f>IF(Pharma_Sales_Data[[#This Row],[Total Revenue]]&gt;20000,"High Value", IF(Pharma_Sales_Data[[#This Row],[Total Revenue]]&gt;=10000,"Medium Value","Low Value"))</f>
        <v>Low Value</v>
      </c>
    </row>
    <row r="1198" spans="1:16" x14ac:dyDescent="0.35">
      <c r="A1198" s="1">
        <v>42837</v>
      </c>
      <c r="B1198">
        <v>11.99</v>
      </c>
      <c r="C1198">
        <v>3.32</v>
      </c>
      <c r="D1198">
        <v>3.35</v>
      </c>
      <c r="E1198">
        <v>11</v>
      </c>
      <c r="F1198">
        <v>10</v>
      </c>
      <c r="G1198">
        <v>2</v>
      </c>
      <c r="H1198">
        <v>10</v>
      </c>
      <c r="I1198">
        <v>4</v>
      </c>
      <c r="J1198">
        <v>2017</v>
      </c>
      <c r="K1198">
        <v>4</v>
      </c>
      <c r="L1198" t="s">
        <v>17</v>
      </c>
      <c r="M1198">
        <f>SUM(Pharma_Sales_Data[[#This Row],[M01AB]:[R06]])</f>
        <v>55.66</v>
      </c>
      <c r="N1198" s="2">
        <f>Pharma_Sales_Data[[#This Row],[Total Drug Sales]]*150</f>
        <v>8349</v>
      </c>
      <c r="O1198" s="2">
        <f>Pharma_Sales_Data[[#This Row],[Total Revenue]]*0.3</f>
        <v>2504.6999999999998</v>
      </c>
      <c r="P1198" t="str">
        <f>IF(Pharma_Sales_Data[[#This Row],[Total Revenue]]&gt;20000,"High Value", IF(Pharma_Sales_Data[[#This Row],[Total Revenue]]&gt;=10000,"Medium Value","Low Value"))</f>
        <v>Low Value</v>
      </c>
    </row>
    <row r="1199" spans="1:16" x14ac:dyDescent="0.35">
      <c r="A1199" s="1">
        <v>42838</v>
      </c>
      <c r="B1199">
        <v>5</v>
      </c>
      <c r="C1199">
        <v>2.4390000000000001</v>
      </c>
      <c r="D1199">
        <v>2</v>
      </c>
      <c r="E1199">
        <v>30.9</v>
      </c>
      <c r="F1199">
        <v>1</v>
      </c>
      <c r="G1199">
        <v>0</v>
      </c>
      <c r="H1199">
        <v>2</v>
      </c>
      <c r="I1199">
        <v>5</v>
      </c>
      <c r="J1199">
        <v>2017</v>
      </c>
      <c r="K1199">
        <v>4</v>
      </c>
      <c r="L1199" t="s">
        <v>11</v>
      </c>
      <c r="M1199">
        <f>SUM(Pharma_Sales_Data[[#This Row],[M01AB]:[R06]])</f>
        <v>48.338999999999999</v>
      </c>
      <c r="N1199" s="2">
        <f>Pharma_Sales_Data[[#This Row],[Total Drug Sales]]*150</f>
        <v>7250.8499999999995</v>
      </c>
      <c r="O1199" s="2">
        <f>Pharma_Sales_Data[[#This Row],[Total Revenue]]*0.3</f>
        <v>2175.2549999999997</v>
      </c>
      <c r="P1199" t="str">
        <f>IF(Pharma_Sales_Data[[#This Row],[Total Revenue]]&gt;20000,"High Value", IF(Pharma_Sales_Data[[#This Row],[Total Revenue]]&gt;=10000,"Medium Value","Low Value"))</f>
        <v>Low Value</v>
      </c>
    </row>
    <row r="1200" spans="1:16" x14ac:dyDescent="0.35">
      <c r="A1200" s="1">
        <v>42839</v>
      </c>
      <c r="B1200">
        <v>7.34</v>
      </c>
      <c r="C1200">
        <v>4.9800000000000004</v>
      </c>
      <c r="D1200">
        <v>5</v>
      </c>
      <c r="E1200">
        <v>13</v>
      </c>
      <c r="F1200">
        <v>3</v>
      </c>
      <c r="G1200">
        <v>0</v>
      </c>
      <c r="H1200">
        <v>16</v>
      </c>
      <c r="I1200">
        <v>4</v>
      </c>
      <c r="J1200">
        <v>2017</v>
      </c>
      <c r="K1200">
        <v>4</v>
      </c>
      <c r="L1200" t="s">
        <v>12</v>
      </c>
      <c r="M1200">
        <f>SUM(Pharma_Sales_Data[[#This Row],[M01AB]:[R06]])</f>
        <v>53.32</v>
      </c>
      <c r="N1200" s="2">
        <f>Pharma_Sales_Data[[#This Row],[Total Drug Sales]]*150</f>
        <v>7998</v>
      </c>
      <c r="O1200" s="2">
        <f>Pharma_Sales_Data[[#This Row],[Total Revenue]]*0.3</f>
        <v>2399.4</v>
      </c>
      <c r="P1200" t="str">
        <f>IF(Pharma_Sales_Data[[#This Row],[Total Revenue]]&gt;20000,"High Value", IF(Pharma_Sales_Data[[#This Row],[Total Revenue]]&gt;=10000,"Medium Value","Low Value"))</f>
        <v>Low Value</v>
      </c>
    </row>
    <row r="1201" spans="1:16" x14ac:dyDescent="0.35">
      <c r="A1201" s="1">
        <v>42840</v>
      </c>
      <c r="B1201">
        <v>11.67</v>
      </c>
      <c r="C1201">
        <v>1.472</v>
      </c>
      <c r="D1201">
        <v>4</v>
      </c>
      <c r="E1201">
        <v>27.25</v>
      </c>
      <c r="F1201">
        <v>1</v>
      </c>
      <c r="G1201">
        <v>0</v>
      </c>
      <c r="H1201">
        <v>15</v>
      </c>
      <c r="I1201">
        <v>5.2</v>
      </c>
      <c r="J1201">
        <v>2017</v>
      </c>
      <c r="K1201">
        <v>4</v>
      </c>
      <c r="L1201" t="s">
        <v>13</v>
      </c>
      <c r="M1201">
        <f>SUM(Pharma_Sales_Data[[#This Row],[M01AB]:[R06]])</f>
        <v>65.591999999999999</v>
      </c>
      <c r="N1201" s="2">
        <f>Pharma_Sales_Data[[#This Row],[Total Drug Sales]]*150</f>
        <v>9838.7999999999993</v>
      </c>
      <c r="O1201" s="2">
        <f>Pharma_Sales_Data[[#This Row],[Total Revenue]]*0.3</f>
        <v>2951.64</v>
      </c>
      <c r="P1201" t="str">
        <f>IF(Pharma_Sales_Data[[#This Row],[Total Revenue]]&gt;20000,"High Value", IF(Pharma_Sales_Data[[#This Row],[Total Revenue]]&gt;=10000,"Medium Value","Low Value"))</f>
        <v>Low Value</v>
      </c>
    </row>
    <row r="1202" spans="1:16" x14ac:dyDescent="0.35">
      <c r="A1202" s="1">
        <v>42841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2017</v>
      </c>
      <c r="K1202">
        <v>4</v>
      </c>
      <c r="L1202" t="s">
        <v>14</v>
      </c>
      <c r="M1202">
        <f>SUM(Pharma_Sales_Data[[#This Row],[M01AB]:[R06]])</f>
        <v>0</v>
      </c>
      <c r="N1202" s="2">
        <f>Pharma_Sales_Data[[#This Row],[Total Drug Sales]]*150</f>
        <v>0</v>
      </c>
      <c r="O1202" s="2">
        <f>Pharma_Sales_Data[[#This Row],[Total Revenue]]*0.3</f>
        <v>0</v>
      </c>
      <c r="P1202" t="str">
        <f>IF(Pharma_Sales_Data[[#This Row],[Total Revenue]]&gt;20000,"High Value", IF(Pharma_Sales_Data[[#This Row],[Total Revenue]]&gt;=10000,"Medium Value","Low Value"))</f>
        <v>Low Value</v>
      </c>
    </row>
    <row r="1203" spans="1:16" x14ac:dyDescent="0.35">
      <c r="A1203" s="1">
        <v>42842</v>
      </c>
      <c r="B1203">
        <v>4</v>
      </c>
      <c r="C1203">
        <v>3.99</v>
      </c>
      <c r="D1203">
        <v>1.9</v>
      </c>
      <c r="E1203">
        <v>18.399999999999999</v>
      </c>
      <c r="F1203">
        <v>1</v>
      </c>
      <c r="G1203">
        <v>0</v>
      </c>
      <c r="H1203">
        <v>5</v>
      </c>
      <c r="I1203">
        <v>1</v>
      </c>
      <c r="J1203">
        <v>2017</v>
      </c>
      <c r="K1203">
        <v>4</v>
      </c>
      <c r="L1203" t="s">
        <v>15</v>
      </c>
      <c r="M1203">
        <f>SUM(Pharma_Sales_Data[[#This Row],[M01AB]:[R06]])</f>
        <v>35.29</v>
      </c>
      <c r="N1203" s="2">
        <f>Pharma_Sales_Data[[#This Row],[Total Drug Sales]]*150</f>
        <v>5293.5</v>
      </c>
      <c r="O1203" s="2">
        <f>Pharma_Sales_Data[[#This Row],[Total Revenue]]*0.3</f>
        <v>1588.05</v>
      </c>
      <c r="P1203" t="str">
        <f>IF(Pharma_Sales_Data[[#This Row],[Total Revenue]]&gt;20000,"High Value", IF(Pharma_Sales_Data[[#This Row],[Total Revenue]]&gt;=10000,"Medium Value","Low Value"))</f>
        <v>Low Value</v>
      </c>
    </row>
    <row r="1204" spans="1:16" x14ac:dyDescent="0.35">
      <c r="A1204" s="1">
        <v>42843</v>
      </c>
      <c r="B1204">
        <v>7.33</v>
      </c>
      <c r="C1204">
        <v>4.67</v>
      </c>
      <c r="D1204">
        <v>6.3</v>
      </c>
      <c r="E1204">
        <v>15.4</v>
      </c>
      <c r="F1204">
        <v>8</v>
      </c>
      <c r="G1204">
        <v>1</v>
      </c>
      <c r="H1204">
        <v>2</v>
      </c>
      <c r="I1204">
        <v>2</v>
      </c>
      <c r="J1204">
        <v>2017</v>
      </c>
      <c r="K1204">
        <v>4</v>
      </c>
      <c r="L1204" t="s">
        <v>16</v>
      </c>
      <c r="M1204">
        <f>SUM(Pharma_Sales_Data[[#This Row],[M01AB]:[R06]])</f>
        <v>46.7</v>
      </c>
      <c r="N1204" s="2">
        <f>Pharma_Sales_Data[[#This Row],[Total Drug Sales]]*150</f>
        <v>7005</v>
      </c>
      <c r="O1204" s="2">
        <f>Pharma_Sales_Data[[#This Row],[Total Revenue]]*0.3</f>
        <v>2101.5</v>
      </c>
      <c r="P1204" t="str">
        <f>IF(Pharma_Sales_Data[[#This Row],[Total Revenue]]&gt;20000,"High Value", IF(Pharma_Sales_Data[[#This Row],[Total Revenue]]&gt;=10000,"Medium Value","Low Value"))</f>
        <v>Low Value</v>
      </c>
    </row>
    <row r="1205" spans="1:16" x14ac:dyDescent="0.35">
      <c r="A1205" s="1">
        <v>42844</v>
      </c>
      <c r="B1205">
        <v>1</v>
      </c>
      <c r="C1205">
        <v>3.4060000000000001</v>
      </c>
      <c r="D1205">
        <v>5</v>
      </c>
      <c r="E1205">
        <v>14</v>
      </c>
      <c r="F1205">
        <v>2</v>
      </c>
      <c r="G1205">
        <v>0</v>
      </c>
      <c r="H1205">
        <v>0</v>
      </c>
      <c r="I1205">
        <v>1</v>
      </c>
      <c r="J1205">
        <v>2017</v>
      </c>
      <c r="K1205">
        <v>4</v>
      </c>
      <c r="L1205" t="s">
        <v>17</v>
      </c>
      <c r="M1205">
        <f>SUM(Pharma_Sales_Data[[#This Row],[M01AB]:[R06]])</f>
        <v>26.405999999999999</v>
      </c>
      <c r="N1205" s="2">
        <f>Pharma_Sales_Data[[#This Row],[Total Drug Sales]]*150</f>
        <v>3960.8999999999996</v>
      </c>
      <c r="O1205" s="2">
        <f>Pharma_Sales_Data[[#This Row],[Total Revenue]]*0.3</f>
        <v>1188.2699999999998</v>
      </c>
      <c r="P1205" t="str">
        <f>IF(Pharma_Sales_Data[[#This Row],[Total Revenue]]&gt;20000,"High Value", IF(Pharma_Sales_Data[[#This Row],[Total Revenue]]&gt;=10000,"Medium Value","Low Value"))</f>
        <v>Low Value</v>
      </c>
    </row>
    <row r="1206" spans="1:16" x14ac:dyDescent="0.35">
      <c r="A1206" s="1">
        <v>42845</v>
      </c>
      <c r="B1206">
        <v>4.66</v>
      </c>
      <c r="C1206">
        <v>2.33</v>
      </c>
      <c r="D1206">
        <v>5</v>
      </c>
      <c r="E1206">
        <v>9.4</v>
      </c>
      <c r="F1206">
        <v>10</v>
      </c>
      <c r="G1206">
        <v>0</v>
      </c>
      <c r="H1206">
        <v>7</v>
      </c>
      <c r="I1206">
        <v>2</v>
      </c>
      <c r="J1206">
        <v>2017</v>
      </c>
      <c r="K1206">
        <v>4</v>
      </c>
      <c r="L1206" t="s">
        <v>11</v>
      </c>
      <c r="M1206">
        <f>SUM(Pharma_Sales_Data[[#This Row],[M01AB]:[R06]])</f>
        <v>40.39</v>
      </c>
      <c r="N1206" s="2">
        <f>Pharma_Sales_Data[[#This Row],[Total Drug Sales]]*150</f>
        <v>6058.5</v>
      </c>
      <c r="O1206" s="2">
        <f>Pharma_Sales_Data[[#This Row],[Total Revenue]]*0.3</f>
        <v>1817.55</v>
      </c>
      <c r="P1206" t="str">
        <f>IF(Pharma_Sales_Data[[#This Row],[Total Revenue]]&gt;20000,"High Value", IF(Pharma_Sales_Data[[#This Row],[Total Revenue]]&gt;=10000,"Medium Value","Low Value"))</f>
        <v>Low Value</v>
      </c>
    </row>
    <row r="1207" spans="1:16" x14ac:dyDescent="0.35">
      <c r="A1207" s="1">
        <v>42846</v>
      </c>
      <c r="B1207">
        <v>3.67</v>
      </c>
      <c r="C1207">
        <v>2.34</v>
      </c>
      <c r="D1207">
        <v>2.4</v>
      </c>
      <c r="E1207">
        <v>29</v>
      </c>
      <c r="F1207">
        <v>3</v>
      </c>
      <c r="G1207">
        <v>0</v>
      </c>
      <c r="H1207">
        <v>1.875</v>
      </c>
      <c r="I1207">
        <v>3</v>
      </c>
      <c r="J1207">
        <v>2017</v>
      </c>
      <c r="K1207">
        <v>4</v>
      </c>
      <c r="L1207" t="s">
        <v>12</v>
      </c>
      <c r="M1207">
        <f>SUM(Pharma_Sales_Data[[#This Row],[M01AB]:[R06]])</f>
        <v>45.284999999999997</v>
      </c>
      <c r="N1207" s="2">
        <f>Pharma_Sales_Data[[#This Row],[Total Drug Sales]]*150</f>
        <v>6792.7499999999991</v>
      </c>
      <c r="O1207" s="2">
        <f>Pharma_Sales_Data[[#This Row],[Total Revenue]]*0.3</f>
        <v>2037.8249999999996</v>
      </c>
      <c r="P1207" t="str">
        <f>IF(Pharma_Sales_Data[[#This Row],[Total Revenue]]&gt;20000,"High Value", IF(Pharma_Sales_Data[[#This Row],[Total Revenue]]&gt;=10000,"Medium Value","Low Value"))</f>
        <v>Low Value</v>
      </c>
    </row>
    <row r="1208" spans="1:16" x14ac:dyDescent="0.35">
      <c r="A1208" s="1">
        <v>42847</v>
      </c>
      <c r="B1208">
        <v>2.64</v>
      </c>
      <c r="C1208">
        <v>4.66</v>
      </c>
      <c r="D1208">
        <v>2.8</v>
      </c>
      <c r="E1208">
        <v>19</v>
      </c>
      <c r="F1208">
        <v>7</v>
      </c>
      <c r="G1208">
        <v>1</v>
      </c>
      <c r="H1208">
        <v>1</v>
      </c>
      <c r="I1208">
        <v>2</v>
      </c>
      <c r="J1208">
        <v>2017</v>
      </c>
      <c r="K1208">
        <v>4</v>
      </c>
      <c r="L1208" t="s">
        <v>13</v>
      </c>
      <c r="M1208">
        <f>SUM(Pharma_Sales_Data[[#This Row],[M01AB]:[R06]])</f>
        <v>40.1</v>
      </c>
      <c r="N1208" s="2">
        <f>Pharma_Sales_Data[[#This Row],[Total Drug Sales]]*150</f>
        <v>6015</v>
      </c>
      <c r="O1208" s="2">
        <f>Pharma_Sales_Data[[#This Row],[Total Revenue]]*0.3</f>
        <v>1804.5</v>
      </c>
      <c r="P1208" t="str">
        <f>IF(Pharma_Sales_Data[[#This Row],[Total Revenue]]&gt;20000,"High Value", IF(Pharma_Sales_Data[[#This Row],[Total Revenue]]&gt;=10000,"Medium Value","Low Value"))</f>
        <v>Low Value</v>
      </c>
    </row>
    <row r="1209" spans="1:16" x14ac:dyDescent="0.35">
      <c r="A1209" s="1">
        <v>42848</v>
      </c>
      <c r="B1209">
        <v>9</v>
      </c>
      <c r="C1209">
        <v>5.4160000000000004</v>
      </c>
      <c r="D1209">
        <v>3.6</v>
      </c>
      <c r="E1209">
        <v>25.5</v>
      </c>
      <c r="F1209">
        <v>7</v>
      </c>
      <c r="G1209">
        <v>0</v>
      </c>
      <c r="H1209">
        <v>1</v>
      </c>
      <c r="I1209">
        <v>5</v>
      </c>
      <c r="J1209">
        <v>2017</v>
      </c>
      <c r="K1209">
        <v>4</v>
      </c>
      <c r="L1209" t="s">
        <v>14</v>
      </c>
      <c r="M1209">
        <f>SUM(Pharma_Sales_Data[[#This Row],[M01AB]:[R06]])</f>
        <v>56.516000000000005</v>
      </c>
      <c r="N1209" s="2">
        <f>Pharma_Sales_Data[[#This Row],[Total Drug Sales]]*150</f>
        <v>8477.4000000000015</v>
      </c>
      <c r="O1209" s="2">
        <f>Pharma_Sales_Data[[#This Row],[Total Revenue]]*0.3</f>
        <v>2543.2200000000003</v>
      </c>
      <c r="P1209" t="str">
        <f>IF(Pharma_Sales_Data[[#This Row],[Total Revenue]]&gt;20000,"High Value", IF(Pharma_Sales_Data[[#This Row],[Total Revenue]]&gt;=10000,"Medium Value","Low Value"))</f>
        <v>Low Value</v>
      </c>
    </row>
    <row r="1210" spans="1:16" x14ac:dyDescent="0.35">
      <c r="A1210" s="1">
        <v>42849</v>
      </c>
      <c r="B1210">
        <v>9.33</v>
      </c>
      <c r="C1210">
        <v>3.81</v>
      </c>
      <c r="D1210">
        <v>8</v>
      </c>
      <c r="E1210">
        <v>13.15</v>
      </c>
      <c r="F1210">
        <v>9</v>
      </c>
      <c r="G1210">
        <v>0</v>
      </c>
      <c r="H1210">
        <v>1</v>
      </c>
      <c r="I1210">
        <v>5</v>
      </c>
      <c r="J1210">
        <v>2017</v>
      </c>
      <c r="K1210">
        <v>4</v>
      </c>
      <c r="L1210" t="s">
        <v>15</v>
      </c>
      <c r="M1210">
        <f>SUM(Pharma_Sales_Data[[#This Row],[M01AB]:[R06]])</f>
        <v>49.29</v>
      </c>
      <c r="N1210" s="2">
        <f>Pharma_Sales_Data[[#This Row],[Total Drug Sales]]*150</f>
        <v>7393.5</v>
      </c>
      <c r="O1210" s="2">
        <f>Pharma_Sales_Data[[#This Row],[Total Revenue]]*0.3</f>
        <v>2218.0499999999997</v>
      </c>
      <c r="P1210" t="str">
        <f>IF(Pharma_Sales_Data[[#This Row],[Total Revenue]]&gt;20000,"High Value", IF(Pharma_Sales_Data[[#This Row],[Total Revenue]]&gt;=10000,"Medium Value","Low Value"))</f>
        <v>Low Value</v>
      </c>
    </row>
    <row r="1211" spans="1:16" x14ac:dyDescent="0.35">
      <c r="A1211" s="1">
        <v>42850</v>
      </c>
      <c r="B1211">
        <v>8</v>
      </c>
      <c r="C1211">
        <v>2.99</v>
      </c>
      <c r="D1211">
        <v>2.2000000000000002</v>
      </c>
      <c r="E1211">
        <v>24</v>
      </c>
      <c r="F1211">
        <v>4</v>
      </c>
      <c r="G1211">
        <v>0</v>
      </c>
      <c r="H1211">
        <v>26</v>
      </c>
      <c r="I1211">
        <v>5</v>
      </c>
      <c r="J1211">
        <v>2017</v>
      </c>
      <c r="K1211">
        <v>4</v>
      </c>
      <c r="L1211" t="s">
        <v>16</v>
      </c>
      <c r="M1211">
        <f>SUM(Pharma_Sales_Data[[#This Row],[M01AB]:[R06]])</f>
        <v>72.19</v>
      </c>
      <c r="N1211" s="2">
        <f>Pharma_Sales_Data[[#This Row],[Total Drug Sales]]*150</f>
        <v>10828.5</v>
      </c>
      <c r="O1211" s="2">
        <f>Pharma_Sales_Data[[#This Row],[Total Revenue]]*0.3</f>
        <v>3248.5499999999997</v>
      </c>
      <c r="P1211" t="str">
        <f>IF(Pharma_Sales_Data[[#This Row],[Total Revenue]]&gt;20000,"High Value", IF(Pharma_Sales_Data[[#This Row],[Total Revenue]]&gt;=10000,"Medium Value","Low Value"))</f>
        <v>Medium Value</v>
      </c>
    </row>
    <row r="1212" spans="1:16" x14ac:dyDescent="0.35">
      <c r="A1212" s="1">
        <v>42851</v>
      </c>
      <c r="B1212">
        <v>3</v>
      </c>
      <c r="C1212">
        <v>4</v>
      </c>
      <c r="D1212">
        <v>3.5</v>
      </c>
      <c r="E1212">
        <v>10.199999999999999</v>
      </c>
      <c r="F1212">
        <v>3</v>
      </c>
      <c r="G1212">
        <v>0</v>
      </c>
      <c r="H1212">
        <v>1</v>
      </c>
      <c r="I1212">
        <v>8.3000000000000007</v>
      </c>
      <c r="J1212">
        <v>2017</v>
      </c>
      <c r="K1212">
        <v>4</v>
      </c>
      <c r="L1212" t="s">
        <v>17</v>
      </c>
      <c r="M1212">
        <f>SUM(Pharma_Sales_Data[[#This Row],[M01AB]:[R06]])</f>
        <v>33</v>
      </c>
      <c r="N1212" s="2">
        <f>Pharma_Sales_Data[[#This Row],[Total Drug Sales]]*150</f>
        <v>4950</v>
      </c>
      <c r="O1212" s="2">
        <f>Pharma_Sales_Data[[#This Row],[Total Revenue]]*0.3</f>
        <v>1485</v>
      </c>
      <c r="P1212" t="str">
        <f>IF(Pharma_Sales_Data[[#This Row],[Total Revenue]]&gt;20000,"High Value", IF(Pharma_Sales_Data[[#This Row],[Total Revenue]]&gt;=10000,"Medium Value","Low Value"))</f>
        <v>Low Value</v>
      </c>
    </row>
    <row r="1213" spans="1:16" x14ac:dyDescent="0.35">
      <c r="A1213" s="1">
        <v>42852</v>
      </c>
      <c r="B1213">
        <v>3.33</v>
      </c>
      <c r="C1213">
        <v>3.7370000000000001</v>
      </c>
      <c r="D1213">
        <v>2.2999999999999998</v>
      </c>
      <c r="E1213">
        <v>11</v>
      </c>
      <c r="F1213">
        <v>10</v>
      </c>
      <c r="G1213">
        <v>1</v>
      </c>
      <c r="H1213">
        <v>0</v>
      </c>
      <c r="I1213">
        <v>10</v>
      </c>
      <c r="J1213">
        <v>2017</v>
      </c>
      <c r="K1213">
        <v>4</v>
      </c>
      <c r="L1213" t="s">
        <v>11</v>
      </c>
      <c r="M1213">
        <f>SUM(Pharma_Sales_Data[[#This Row],[M01AB]:[R06]])</f>
        <v>41.367000000000004</v>
      </c>
      <c r="N1213" s="2">
        <f>Pharma_Sales_Data[[#This Row],[Total Drug Sales]]*150</f>
        <v>6205.0500000000011</v>
      </c>
      <c r="O1213" s="2">
        <f>Pharma_Sales_Data[[#This Row],[Total Revenue]]*0.3</f>
        <v>1861.5150000000003</v>
      </c>
      <c r="P1213" t="str">
        <f>IF(Pharma_Sales_Data[[#This Row],[Total Revenue]]&gt;20000,"High Value", IF(Pharma_Sales_Data[[#This Row],[Total Revenue]]&gt;=10000,"Medium Value","Low Value"))</f>
        <v>Low Value</v>
      </c>
    </row>
    <row r="1214" spans="1:16" x14ac:dyDescent="0.35">
      <c r="A1214" s="1">
        <v>42853</v>
      </c>
      <c r="B1214">
        <v>3.33</v>
      </c>
      <c r="C1214">
        <v>3.67</v>
      </c>
      <c r="D1214">
        <v>5.0999999999999996</v>
      </c>
      <c r="E1214">
        <v>15.4</v>
      </c>
      <c r="F1214">
        <v>2</v>
      </c>
      <c r="G1214">
        <v>0</v>
      </c>
      <c r="H1214">
        <v>7</v>
      </c>
      <c r="I1214">
        <v>7</v>
      </c>
      <c r="J1214">
        <v>2017</v>
      </c>
      <c r="K1214">
        <v>4</v>
      </c>
      <c r="L1214" t="s">
        <v>12</v>
      </c>
      <c r="M1214">
        <f>SUM(Pharma_Sales_Data[[#This Row],[M01AB]:[R06]])</f>
        <v>43.5</v>
      </c>
      <c r="N1214" s="2">
        <f>Pharma_Sales_Data[[#This Row],[Total Drug Sales]]*150</f>
        <v>6525</v>
      </c>
      <c r="O1214" s="2">
        <f>Pharma_Sales_Data[[#This Row],[Total Revenue]]*0.3</f>
        <v>1957.5</v>
      </c>
      <c r="P1214" t="str">
        <f>IF(Pharma_Sales_Data[[#This Row],[Total Revenue]]&gt;20000,"High Value", IF(Pharma_Sales_Data[[#This Row],[Total Revenue]]&gt;=10000,"Medium Value","Low Value"))</f>
        <v>Low Value</v>
      </c>
    </row>
    <row r="1215" spans="1:16" x14ac:dyDescent="0.35">
      <c r="A1215" s="1">
        <v>42854</v>
      </c>
      <c r="B1215">
        <v>5</v>
      </c>
      <c r="C1215">
        <v>9</v>
      </c>
      <c r="D1215">
        <v>2.2999999999999998</v>
      </c>
      <c r="E1215">
        <v>15</v>
      </c>
      <c r="F1215">
        <v>3</v>
      </c>
      <c r="G1215">
        <v>1</v>
      </c>
      <c r="H1215">
        <v>1</v>
      </c>
      <c r="I1215">
        <v>8</v>
      </c>
      <c r="J1215">
        <v>2017</v>
      </c>
      <c r="K1215">
        <v>4</v>
      </c>
      <c r="L1215" t="s">
        <v>13</v>
      </c>
      <c r="M1215">
        <f>SUM(Pharma_Sales_Data[[#This Row],[M01AB]:[R06]])</f>
        <v>44.3</v>
      </c>
      <c r="N1215" s="2">
        <f>Pharma_Sales_Data[[#This Row],[Total Drug Sales]]*150</f>
        <v>6645</v>
      </c>
      <c r="O1215" s="2">
        <f>Pharma_Sales_Data[[#This Row],[Total Revenue]]*0.3</f>
        <v>1993.5</v>
      </c>
      <c r="P1215" t="str">
        <f>IF(Pharma_Sales_Data[[#This Row],[Total Revenue]]&gt;20000,"High Value", IF(Pharma_Sales_Data[[#This Row],[Total Revenue]]&gt;=10000,"Medium Value","Low Value"))</f>
        <v>Low Value</v>
      </c>
    </row>
    <row r="1216" spans="1:16" x14ac:dyDescent="0.35">
      <c r="A1216" s="1">
        <v>42855</v>
      </c>
      <c r="B1216">
        <v>1</v>
      </c>
      <c r="C1216">
        <v>4.0460000000000003</v>
      </c>
      <c r="D1216">
        <v>2.2999999999999998</v>
      </c>
      <c r="E1216">
        <v>18</v>
      </c>
      <c r="F1216">
        <v>2</v>
      </c>
      <c r="G1216">
        <v>0</v>
      </c>
      <c r="H1216">
        <v>12</v>
      </c>
      <c r="I1216">
        <v>2</v>
      </c>
      <c r="J1216">
        <v>2017</v>
      </c>
      <c r="K1216">
        <v>4</v>
      </c>
      <c r="L1216" t="s">
        <v>14</v>
      </c>
      <c r="M1216">
        <f>SUM(Pharma_Sales_Data[[#This Row],[M01AB]:[R06]])</f>
        <v>41.346000000000004</v>
      </c>
      <c r="N1216" s="2">
        <f>Pharma_Sales_Data[[#This Row],[Total Drug Sales]]*150</f>
        <v>6201.9000000000005</v>
      </c>
      <c r="O1216" s="2">
        <f>Pharma_Sales_Data[[#This Row],[Total Revenue]]*0.3</f>
        <v>1860.5700000000002</v>
      </c>
      <c r="P1216" t="str">
        <f>IF(Pharma_Sales_Data[[#This Row],[Total Revenue]]&gt;20000,"High Value", IF(Pharma_Sales_Data[[#This Row],[Total Revenue]]&gt;=10000,"Medium Value","Low Value"))</f>
        <v>Low Value</v>
      </c>
    </row>
    <row r="1217" spans="1:16" x14ac:dyDescent="0.35">
      <c r="A1217" s="1">
        <v>42856</v>
      </c>
      <c r="B1217">
        <v>0.34</v>
      </c>
      <c r="C1217">
        <v>1</v>
      </c>
      <c r="D1217">
        <v>1</v>
      </c>
      <c r="E1217">
        <v>1.2</v>
      </c>
      <c r="F1217">
        <v>0</v>
      </c>
      <c r="G1217">
        <v>0</v>
      </c>
      <c r="H1217">
        <v>0</v>
      </c>
      <c r="I1217">
        <v>1</v>
      </c>
      <c r="J1217">
        <v>2017</v>
      </c>
      <c r="K1217">
        <v>5</v>
      </c>
      <c r="L1217" t="s">
        <v>15</v>
      </c>
      <c r="M1217">
        <f>SUM(Pharma_Sales_Data[[#This Row],[M01AB]:[R06]])</f>
        <v>4.54</v>
      </c>
      <c r="N1217" s="2">
        <f>Pharma_Sales_Data[[#This Row],[Total Drug Sales]]*150</f>
        <v>681</v>
      </c>
      <c r="O1217" s="2">
        <f>Pharma_Sales_Data[[#This Row],[Total Revenue]]*0.3</f>
        <v>204.29999999999998</v>
      </c>
      <c r="P1217" t="str">
        <f>IF(Pharma_Sales_Data[[#This Row],[Total Revenue]]&gt;20000,"High Value", IF(Pharma_Sales_Data[[#This Row],[Total Revenue]]&gt;=10000,"Medium Value","Low Value"))</f>
        <v>Low Value</v>
      </c>
    </row>
    <row r="1218" spans="1:16" x14ac:dyDescent="0.35">
      <c r="A1218" s="1">
        <v>42857</v>
      </c>
      <c r="B1218">
        <v>2</v>
      </c>
      <c r="C1218">
        <v>6.0330000000000004</v>
      </c>
      <c r="D1218">
        <v>1</v>
      </c>
      <c r="E1218">
        <v>23</v>
      </c>
      <c r="F1218">
        <v>5</v>
      </c>
      <c r="G1218">
        <v>0</v>
      </c>
      <c r="H1218">
        <v>6</v>
      </c>
      <c r="I1218">
        <v>5</v>
      </c>
      <c r="J1218">
        <v>2017</v>
      </c>
      <c r="K1218">
        <v>5</v>
      </c>
      <c r="L1218" t="s">
        <v>16</v>
      </c>
      <c r="M1218">
        <f>SUM(Pharma_Sales_Data[[#This Row],[M01AB]:[R06]])</f>
        <v>48.033000000000001</v>
      </c>
      <c r="N1218" s="2">
        <f>Pharma_Sales_Data[[#This Row],[Total Drug Sales]]*150</f>
        <v>7204.95</v>
      </c>
      <c r="O1218" s="2">
        <f>Pharma_Sales_Data[[#This Row],[Total Revenue]]*0.3</f>
        <v>2161.4849999999997</v>
      </c>
      <c r="P1218" t="str">
        <f>IF(Pharma_Sales_Data[[#This Row],[Total Revenue]]&gt;20000,"High Value", IF(Pharma_Sales_Data[[#This Row],[Total Revenue]]&gt;=10000,"Medium Value","Low Value"))</f>
        <v>Low Value</v>
      </c>
    </row>
    <row r="1219" spans="1:16" x14ac:dyDescent="0.35">
      <c r="A1219" s="1">
        <v>42858</v>
      </c>
      <c r="B1219">
        <v>1.33</v>
      </c>
      <c r="C1219">
        <v>3.34</v>
      </c>
      <c r="D1219">
        <v>6</v>
      </c>
      <c r="E1219">
        <v>18.2</v>
      </c>
      <c r="F1219">
        <v>6</v>
      </c>
      <c r="G1219">
        <v>0</v>
      </c>
      <c r="H1219">
        <v>20</v>
      </c>
      <c r="I1219">
        <v>2</v>
      </c>
      <c r="J1219">
        <v>2017</v>
      </c>
      <c r="K1219">
        <v>5</v>
      </c>
      <c r="L1219" t="s">
        <v>17</v>
      </c>
      <c r="M1219">
        <f>SUM(Pharma_Sales_Data[[#This Row],[M01AB]:[R06]])</f>
        <v>56.87</v>
      </c>
      <c r="N1219" s="2">
        <f>Pharma_Sales_Data[[#This Row],[Total Drug Sales]]*150</f>
        <v>8530.5</v>
      </c>
      <c r="O1219" s="2">
        <f>Pharma_Sales_Data[[#This Row],[Total Revenue]]*0.3</f>
        <v>2559.15</v>
      </c>
      <c r="P1219" t="str">
        <f>IF(Pharma_Sales_Data[[#This Row],[Total Revenue]]&gt;20000,"High Value", IF(Pharma_Sales_Data[[#This Row],[Total Revenue]]&gt;=10000,"Medium Value","Low Value"))</f>
        <v>Low Value</v>
      </c>
    </row>
    <row r="1220" spans="1:16" x14ac:dyDescent="0.35">
      <c r="A1220" s="1">
        <v>42859</v>
      </c>
      <c r="B1220">
        <v>5.67</v>
      </c>
      <c r="C1220">
        <v>5.66</v>
      </c>
      <c r="D1220">
        <v>1</v>
      </c>
      <c r="E1220">
        <v>11.6</v>
      </c>
      <c r="F1220">
        <v>4</v>
      </c>
      <c r="G1220">
        <v>0</v>
      </c>
      <c r="H1220">
        <v>2</v>
      </c>
      <c r="I1220">
        <v>4.0999999999999996</v>
      </c>
      <c r="J1220">
        <v>2017</v>
      </c>
      <c r="K1220">
        <v>5</v>
      </c>
      <c r="L1220" t="s">
        <v>11</v>
      </c>
      <c r="M1220">
        <f>SUM(Pharma_Sales_Data[[#This Row],[M01AB]:[R06]])</f>
        <v>34.03</v>
      </c>
      <c r="N1220" s="2">
        <f>Pharma_Sales_Data[[#This Row],[Total Drug Sales]]*150</f>
        <v>5104.5</v>
      </c>
      <c r="O1220" s="2">
        <f>Pharma_Sales_Data[[#This Row],[Total Revenue]]*0.3</f>
        <v>1531.35</v>
      </c>
      <c r="P1220" t="str">
        <f>IF(Pharma_Sales_Data[[#This Row],[Total Revenue]]&gt;20000,"High Value", IF(Pharma_Sales_Data[[#This Row],[Total Revenue]]&gt;=10000,"Medium Value","Low Value"))</f>
        <v>Low Value</v>
      </c>
    </row>
    <row r="1221" spans="1:16" x14ac:dyDescent="0.35">
      <c r="A1221" s="1">
        <v>42860</v>
      </c>
      <c r="B1221">
        <v>2.34</v>
      </c>
      <c r="C1221">
        <v>5.33</v>
      </c>
      <c r="D1221">
        <v>1.1499999999999999</v>
      </c>
      <c r="E1221">
        <v>6.6</v>
      </c>
      <c r="F1221">
        <v>8</v>
      </c>
      <c r="G1221">
        <v>0</v>
      </c>
      <c r="H1221">
        <v>12</v>
      </c>
      <c r="I1221">
        <v>3</v>
      </c>
      <c r="J1221">
        <v>2017</v>
      </c>
      <c r="K1221">
        <v>5</v>
      </c>
      <c r="L1221" t="s">
        <v>12</v>
      </c>
      <c r="M1221">
        <f>SUM(Pharma_Sales_Data[[#This Row],[M01AB]:[R06]])</f>
        <v>38.42</v>
      </c>
      <c r="N1221" s="2">
        <f>Pharma_Sales_Data[[#This Row],[Total Drug Sales]]*150</f>
        <v>5763</v>
      </c>
      <c r="O1221" s="2">
        <f>Pharma_Sales_Data[[#This Row],[Total Revenue]]*0.3</f>
        <v>1728.8999999999999</v>
      </c>
      <c r="P1221" t="str">
        <f>IF(Pharma_Sales_Data[[#This Row],[Total Revenue]]&gt;20000,"High Value", IF(Pharma_Sales_Data[[#This Row],[Total Revenue]]&gt;=10000,"Medium Value","Low Value"))</f>
        <v>Low Value</v>
      </c>
    </row>
    <row r="1222" spans="1:16" x14ac:dyDescent="0.35">
      <c r="A1222" s="1">
        <v>42861</v>
      </c>
      <c r="B1222">
        <v>7.33</v>
      </c>
      <c r="C1222">
        <v>2.363</v>
      </c>
      <c r="D1222">
        <v>4.4000000000000004</v>
      </c>
      <c r="E1222">
        <v>14</v>
      </c>
      <c r="F1222">
        <v>4</v>
      </c>
      <c r="G1222">
        <v>0</v>
      </c>
      <c r="H1222">
        <v>0</v>
      </c>
      <c r="I1222">
        <v>6</v>
      </c>
      <c r="J1222">
        <v>2017</v>
      </c>
      <c r="K1222">
        <v>5</v>
      </c>
      <c r="L1222" t="s">
        <v>13</v>
      </c>
      <c r="M1222">
        <f>SUM(Pharma_Sales_Data[[#This Row],[M01AB]:[R06]])</f>
        <v>38.093000000000004</v>
      </c>
      <c r="N1222" s="2">
        <f>Pharma_Sales_Data[[#This Row],[Total Drug Sales]]*150</f>
        <v>5713.9500000000007</v>
      </c>
      <c r="O1222" s="2">
        <f>Pharma_Sales_Data[[#This Row],[Total Revenue]]*0.3</f>
        <v>1714.1850000000002</v>
      </c>
      <c r="P1222" t="str">
        <f>IF(Pharma_Sales_Data[[#This Row],[Total Revenue]]&gt;20000,"High Value", IF(Pharma_Sales_Data[[#This Row],[Total Revenue]]&gt;=10000,"Medium Value","Low Value"))</f>
        <v>Low Value</v>
      </c>
    </row>
    <row r="1223" spans="1:16" x14ac:dyDescent="0.35">
      <c r="A1223" s="1">
        <v>42862</v>
      </c>
      <c r="B1223">
        <v>6.33</v>
      </c>
      <c r="C1223">
        <v>3.67</v>
      </c>
      <c r="D1223">
        <v>4.5</v>
      </c>
      <c r="E1223">
        <v>18.25</v>
      </c>
      <c r="F1223">
        <v>3</v>
      </c>
      <c r="G1223">
        <v>0</v>
      </c>
      <c r="H1223">
        <v>4</v>
      </c>
      <c r="I1223">
        <v>4</v>
      </c>
      <c r="J1223">
        <v>2017</v>
      </c>
      <c r="K1223">
        <v>5</v>
      </c>
      <c r="L1223" t="s">
        <v>14</v>
      </c>
      <c r="M1223">
        <f>SUM(Pharma_Sales_Data[[#This Row],[M01AB]:[R06]])</f>
        <v>43.75</v>
      </c>
      <c r="N1223" s="2">
        <f>Pharma_Sales_Data[[#This Row],[Total Drug Sales]]*150</f>
        <v>6562.5</v>
      </c>
      <c r="O1223" s="2">
        <f>Pharma_Sales_Data[[#This Row],[Total Revenue]]*0.3</f>
        <v>1968.75</v>
      </c>
      <c r="P1223" t="str">
        <f>IF(Pharma_Sales_Data[[#This Row],[Total Revenue]]&gt;20000,"High Value", IF(Pharma_Sales_Data[[#This Row],[Total Revenue]]&gt;=10000,"Medium Value","Low Value"))</f>
        <v>Low Value</v>
      </c>
    </row>
    <row r="1224" spans="1:16" x14ac:dyDescent="0.35">
      <c r="A1224" s="1">
        <v>42863</v>
      </c>
      <c r="B1224">
        <v>2.33</v>
      </c>
      <c r="C1224">
        <v>3.66</v>
      </c>
      <c r="D1224">
        <v>1</v>
      </c>
      <c r="E1224">
        <v>8</v>
      </c>
      <c r="F1224">
        <v>8</v>
      </c>
      <c r="G1224">
        <v>3</v>
      </c>
      <c r="H1224">
        <v>1</v>
      </c>
      <c r="I1224">
        <v>5.6</v>
      </c>
      <c r="J1224">
        <v>2017</v>
      </c>
      <c r="K1224">
        <v>5</v>
      </c>
      <c r="L1224" t="s">
        <v>15</v>
      </c>
      <c r="M1224">
        <f>SUM(Pharma_Sales_Data[[#This Row],[M01AB]:[R06]])</f>
        <v>32.590000000000003</v>
      </c>
      <c r="N1224" s="2">
        <f>Pharma_Sales_Data[[#This Row],[Total Drug Sales]]*150</f>
        <v>4888.5000000000009</v>
      </c>
      <c r="O1224" s="2">
        <f>Pharma_Sales_Data[[#This Row],[Total Revenue]]*0.3</f>
        <v>1466.5500000000002</v>
      </c>
      <c r="P1224" t="str">
        <f>IF(Pharma_Sales_Data[[#This Row],[Total Revenue]]&gt;20000,"High Value", IF(Pharma_Sales_Data[[#This Row],[Total Revenue]]&gt;=10000,"Medium Value","Low Value"))</f>
        <v>Low Value</v>
      </c>
    </row>
    <row r="1225" spans="1:16" x14ac:dyDescent="0.35">
      <c r="A1225" s="1">
        <v>42864</v>
      </c>
      <c r="B1225">
        <v>7.33</v>
      </c>
      <c r="C1225">
        <v>4</v>
      </c>
      <c r="D1225">
        <v>4.0999999999999996</v>
      </c>
      <c r="E1225">
        <v>11</v>
      </c>
      <c r="F1225">
        <v>4</v>
      </c>
      <c r="G1225">
        <v>0</v>
      </c>
      <c r="H1225">
        <v>2</v>
      </c>
      <c r="I1225">
        <v>3</v>
      </c>
      <c r="J1225">
        <v>2017</v>
      </c>
      <c r="K1225">
        <v>5</v>
      </c>
      <c r="L1225" t="s">
        <v>16</v>
      </c>
      <c r="M1225">
        <f>SUM(Pharma_Sales_Data[[#This Row],[M01AB]:[R06]])</f>
        <v>35.43</v>
      </c>
      <c r="N1225" s="2">
        <f>Pharma_Sales_Data[[#This Row],[Total Drug Sales]]*150</f>
        <v>5314.5</v>
      </c>
      <c r="O1225" s="2">
        <f>Pharma_Sales_Data[[#This Row],[Total Revenue]]*0.3</f>
        <v>1594.35</v>
      </c>
      <c r="P1225" t="str">
        <f>IF(Pharma_Sales_Data[[#This Row],[Total Revenue]]&gt;20000,"High Value", IF(Pharma_Sales_Data[[#This Row],[Total Revenue]]&gt;=10000,"Medium Value","Low Value"))</f>
        <v>Low Value</v>
      </c>
    </row>
    <row r="1226" spans="1:16" x14ac:dyDescent="0.35">
      <c r="A1226" s="1">
        <v>42865</v>
      </c>
      <c r="B1226">
        <v>8.66</v>
      </c>
      <c r="C1226">
        <v>0.39700000000000002</v>
      </c>
      <c r="D1226">
        <v>9</v>
      </c>
      <c r="E1226">
        <v>15</v>
      </c>
      <c r="F1226">
        <v>4</v>
      </c>
      <c r="G1226">
        <v>0</v>
      </c>
      <c r="H1226">
        <v>14</v>
      </c>
      <c r="I1226">
        <v>7</v>
      </c>
      <c r="J1226">
        <v>2017</v>
      </c>
      <c r="K1226">
        <v>5</v>
      </c>
      <c r="L1226" t="s">
        <v>17</v>
      </c>
      <c r="M1226">
        <f>SUM(Pharma_Sales_Data[[#This Row],[M01AB]:[R06]])</f>
        <v>58.057000000000002</v>
      </c>
      <c r="N1226" s="2">
        <f>Pharma_Sales_Data[[#This Row],[Total Drug Sales]]*150</f>
        <v>8708.5500000000011</v>
      </c>
      <c r="O1226" s="2">
        <f>Pharma_Sales_Data[[#This Row],[Total Revenue]]*0.3</f>
        <v>2612.5650000000001</v>
      </c>
      <c r="P1226" t="str">
        <f>IF(Pharma_Sales_Data[[#This Row],[Total Revenue]]&gt;20000,"High Value", IF(Pharma_Sales_Data[[#This Row],[Total Revenue]]&gt;=10000,"Medium Value","Low Value"))</f>
        <v>Low Value</v>
      </c>
    </row>
    <row r="1227" spans="1:16" x14ac:dyDescent="0.35">
      <c r="A1227" s="1">
        <v>42866</v>
      </c>
      <c r="B1227">
        <v>6</v>
      </c>
      <c r="C1227">
        <v>6.6929999999999996</v>
      </c>
      <c r="D1227">
        <v>3</v>
      </c>
      <c r="E1227">
        <v>16</v>
      </c>
      <c r="F1227">
        <v>6</v>
      </c>
      <c r="G1227">
        <v>2</v>
      </c>
      <c r="H1227">
        <v>1</v>
      </c>
      <c r="I1227">
        <v>10</v>
      </c>
      <c r="J1227">
        <v>2017</v>
      </c>
      <c r="K1227">
        <v>5</v>
      </c>
      <c r="L1227" t="s">
        <v>11</v>
      </c>
      <c r="M1227">
        <f>SUM(Pharma_Sales_Data[[#This Row],[M01AB]:[R06]])</f>
        <v>50.692999999999998</v>
      </c>
      <c r="N1227" s="2">
        <f>Pharma_Sales_Data[[#This Row],[Total Drug Sales]]*150</f>
        <v>7603.95</v>
      </c>
      <c r="O1227" s="2">
        <f>Pharma_Sales_Data[[#This Row],[Total Revenue]]*0.3</f>
        <v>2281.1849999999999</v>
      </c>
      <c r="P1227" t="str">
        <f>IF(Pharma_Sales_Data[[#This Row],[Total Revenue]]&gt;20000,"High Value", IF(Pharma_Sales_Data[[#This Row],[Total Revenue]]&gt;=10000,"Medium Value","Low Value"))</f>
        <v>Low Value</v>
      </c>
    </row>
    <row r="1228" spans="1:16" x14ac:dyDescent="0.35">
      <c r="A1228" s="1">
        <v>42867</v>
      </c>
      <c r="B1228">
        <v>4.99</v>
      </c>
      <c r="C1228">
        <v>4.7030000000000003</v>
      </c>
      <c r="D1228">
        <v>6</v>
      </c>
      <c r="E1228">
        <v>16.399999999999999</v>
      </c>
      <c r="F1228">
        <v>4</v>
      </c>
      <c r="G1228">
        <v>9</v>
      </c>
      <c r="H1228">
        <v>0</v>
      </c>
      <c r="I1228">
        <v>6</v>
      </c>
      <c r="J1228">
        <v>2017</v>
      </c>
      <c r="K1228">
        <v>5</v>
      </c>
      <c r="L1228" t="s">
        <v>12</v>
      </c>
      <c r="M1228">
        <f>SUM(Pharma_Sales_Data[[#This Row],[M01AB]:[R06]])</f>
        <v>51.093000000000004</v>
      </c>
      <c r="N1228" s="2">
        <f>Pharma_Sales_Data[[#This Row],[Total Drug Sales]]*150</f>
        <v>7663.9500000000007</v>
      </c>
      <c r="O1228" s="2">
        <f>Pharma_Sales_Data[[#This Row],[Total Revenue]]*0.3</f>
        <v>2299.1849999999999</v>
      </c>
      <c r="P1228" t="str">
        <f>IF(Pharma_Sales_Data[[#This Row],[Total Revenue]]&gt;20000,"High Value", IF(Pharma_Sales_Data[[#This Row],[Total Revenue]]&gt;=10000,"Medium Value","Low Value"))</f>
        <v>Low Value</v>
      </c>
    </row>
    <row r="1229" spans="1:16" x14ac:dyDescent="0.35">
      <c r="A1229" s="1">
        <v>42868</v>
      </c>
      <c r="B1229">
        <v>5</v>
      </c>
      <c r="C1229">
        <v>2.363</v>
      </c>
      <c r="D1229">
        <v>6</v>
      </c>
      <c r="E1229">
        <v>12</v>
      </c>
      <c r="F1229">
        <v>4</v>
      </c>
      <c r="G1229">
        <v>0</v>
      </c>
      <c r="H1229">
        <v>1</v>
      </c>
      <c r="I1229">
        <v>7</v>
      </c>
      <c r="J1229">
        <v>2017</v>
      </c>
      <c r="K1229">
        <v>5</v>
      </c>
      <c r="L1229" t="s">
        <v>13</v>
      </c>
      <c r="M1229">
        <f>SUM(Pharma_Sales_Data[[#This Row],[M01AB]:[R06]])</f>
        <v>37.363</v>
      </c>
      <c r="N1229" s="2">
        <f>Pharma_Sales_Data[[#This Row],[Total Drug Sales]]*150</f>
        <v>5604.45</v>
      </c>
      <c r="O1229" s="2">
        <f>Pharma_Sales_Data[[#This Row],[Total Revenue]]*0.3</f>
        <v>1681.3349999999998</v>
      </c>
      <c r="P1229" t="str">
        <f>IF(Pharma_Sales_Data[[#This Row],[Total Revenue]]&gt;20000,"High Value", IF(Pharma_Sales_Data[[#This Row],[Total Revenue]]&gt;=10000,"Medium Value","Low Value"))</f>
        <v>Low Value</v>
      </c>
    </row>
    <row r="1230" spans="1:16" x14ac:dyDescent="0.35">
      <c r="A1230" s="1">
        <v>42869</v>
      </c>
      <c r="B1230">
        <v>4.67</v>
      </c>
      <c r="C1230">
        <v>2.0760000000000001</v>
      </c>
      <c r="D1230">
        <v>2.85</v>
      </c>
      <c r="E1230">
        <v>31.5</v>
      </c>
      <c r="F1230">
        <v>6</v>
      </c>
      <c r="G1230">
        <v>0</v>
      </c>
      <c r="H1230">
        <v>5</v>
      </c>
      <c r="I1230">
        <v>2.1</v>
      </c>
      <c r="J1230">
        <v>2017</v>
      </c>
      <c r="K1230">
        <v>5</v>
      </c>
      <c r="L1230" t="s">
        <v>14</v>
      </c>
      <c r="M1230">
        <f>SUM(Pharma_Sales_Data[[#This Row],[M01AB]:[R06]])</f>
        <v>54.196000000000005</v>
      </c>
      <c r="N1230" s="2">
        <f>Pharma_Sales_Data[[#This Row],[Total Drug Sales]]*150</f>
        <v>8129.4000000000005</v>
      </c>
      <c r="O1230" s="2">
        <f>Pharma_Sales_Data[[#This Row],[Total Revenue]]*0.3</f>
        <v>2438.8200000000002</v>
      </c>
      <c r="P1230" t="str">
        <f>IF(Pharma_Sales_Data[[#This Row],[Total Revenue]]&gt;20000,"High Value", IF(Pharma_Sales_Data[[#This Row],[Total Revenue]]&gt;=10000,"Medium Value","Low Value"))</f>
        <v>Low Value</v>
      </c>
    </row>
    <row r="1231" spans="1:16" x14ac:dyDescent="0.35">
      <c r="A1231" s="1">
        <v>42870</v>
      </c>
      <c r="B1231">
        <v>5.34</v>
      </c>
      <c r="C1231">
        <v>4.7030000000000003</v>
      </c>
      <c r="D1231">
        <v>2</v>
      </c>
      <c r="E1231">
        <v>17</v>
      </c>
      <c r="F1231">
        <v>0</v>
      </c>
      <c r="G1231">
        <v>3</v>
      </c>
      <c r="H1231">
        <v>3</v>
      </c>
      <c r="I1231">
        <v>7</v>
      </c>
      <c r="J1231">
        <v>2017</v>
      </c>
      <c r="K1231">
        <v>5</v>
      </c>
      <c r="L1231" t="s">
        <v>15</v>
      </c>
      <c r="M1231">
        <f>SUM(Pharma_Sales_Data[[#This Row],[M01AB]:[R06]])</f>
        <v>42.042999999999999</v>
      </c>
      <c r="N1231" s="2">
        <f>Pharma_Sales_Data[[#This Row],[Total Drug Sales]]*150</f>
        <v>6306.45</v>
      </c>
      <c r="O1231" s="2">
        <f>Pharma_Sales_Data[[#This Row],[Total Revenue]]*0.3</f>
        <v>1891.9349999999999</v>
      </c>
      <c r="P1231" t="str">
        <f>IF(Pharma_Sales_Data[[#This Row],[Total Revenue]]&gt;20000,"High Value", IF(Pharma_Sales_Data[[#This Row],[Total Revenue]]&gt;=10000,"Medium Value","Low Value"))</f>
        <v>Low Value</v>
      </c>
    </row>
    <row r="1232" spans="1:16" x14ac:dyDescent="0.35">
      <c r="A1232" s="1">
        <v>42871</v>
      </c>
      <c r="B1232">
        <v>2.33</v>
      </c>
      <c r="C1232">
        <v>5.66</v>
      </c>
      <c r="D1232">
        <v>1.5</v>
      </c>
      <c r="E1232">
        <v>16.2</v>
      </c>
      <c r="F1232">
        <v>2</v>
      </c>
      <c r="G1232">
        <v>0</v>
      </c>
      <c r="H1232">
        <v>6</v>
      </c>
      <c r="I1232">
        <v>7</v>
      </c>
      <c r="J1232">
        <v>2017</v>
      </c>
      <c r="K1232">
        <v>5</v>
      </c>
      <c r="L1232" t="s">
        <v>16</v>
      </c>
      <c r="M1232">
        <f>SUM(Pharma_Sales_Data[[#This Row],[M01AB]:[R06]])</f>
        <v>40.69</v>
      </c>
      <c r="N1232" s="2">
        <f>Pharma_Sales_Data[[#This Row],[Total Drug Sales]]*150</f>
        <v>6103.5</v>
      </c>
      <c r="O1232" s="2">
        <f>Pharma_Sales_Data[[#This Row],[Total Revenue]]*0.3</f>
        <v>1831.05</v>
      </c>
      <c r="P1232" t="str">
        <f>IF(Pharma_Sales_Data[[#This Row],[Total Revenue]]&gt;20000,"High Value", IF(Pharma_Sales_Data[[#This Row],[Total Revenue]]&gt;=10000,"Medium Value","Low Value"))</f>
        <v>Low Value</v>
      </c>
    </row>
    <row r="1233" spans="1:16" x14ac:dyDescent="0.35">
      <c r="A1233" s="1">
        <v>42872</v>
      </c>
      <c r="B1233">
        <v>6.34</v>
      </c>
      <c r="C1233">
        <v>4.84</v>
      </c>
      <c r="D1233">
        <v>0</v>
      </c>
      <c r="E1233">
        <v>9</v>
      </c>
      <c r="F1233">
        <v>5</v>
      </c>
      <c r="G1233">
        <v>0</v>
      </c>
      <c r="H1233">
        <v>0</v>
      </c>
      <c r="I1233">
        <v>2</v>
      </c>
      <c r="J1233">
        <v>2017</v>
      </c>
      <c r="K1233">
        <v>5</v>
      </c>
      <c r="L1233" t="s">
        <v>17</v>
      </c>
      <c r="M1233">
        <f>SUM(Pharma_Sales_Data[[#This Row],[M01AB]:[R06]])</f>
        <v>27.18</v>
      </c>
      <c r="N1233" s="2">
        <f>Pharma_Sales_Data[[#This Row],[Total Drug Sales]]*150</f>
        <v>4077</v>
      </c>
      <c r="O1233" s="2">
        <f>Pharma_Sales_Data[[#This Row],[Total Revenue]]*0.3</f>
        <v>1223.0999999999999</v>
      </c>
      <c r="P1233" t="str">
        <f>IF(Pharma_Sales_Data[[#This Row],[Total Revenue]]&gt;20000,"High Value", IF(Pharma_Sales_Data[[#This Row],[Total Revenue]]&gt;=10000,"Medium Value","Low Value"))</f>
        <v>Low Value</v>
      </c>
    </row>
    <row r="1234" spans="1:16" x14ac:dyDescent="0.35">
      <c r="A1234" s="1">
        <v>42873</v>
      </c>
      <c r="B1234">
        <v>3.33</v>
      </c>
      <c r="C1234">
        <v>5.01</v>
      </c>
      <c r="D1234">
        <v>4</v>
      </c>
      <c r="E1234">
        <v>28.2</v>
      </c>
      <c r="F1234">
        <v>4</v>
      </c>
      <c r="G1234">
        <v>0</v>
      </c>
      <c r="H1234">
        <v>0</v>
      </c>
      <c r="I1234">
        <v>3</v>
      </c>
      <c r="J1234">
        <v>2017</v>
      </c>
      <c r="K1234">
        <v>5</v>
      </c>
      <c r="L1234" t="s">
        <v>11</v>
      </c>
      <c r="M1234">
        <f>SUM(Pharma_Sales_Data[[#This Row],[M01AB]:[R06]])</f>
        <v>47.54</v>
      </c>
      <c r="N1234" s="2">
        <f>Pharma_Sales_Data[[#This Row],[Total Drug Sales]]*150</f>
        <v>7131</v>
      </c>
      <c r="O1234" s="2">
        <f>Pharma_Sales_Data[[#This Row],[Total Revenue]]*0.3</f>
        <v>2139.2999999999997</v>
      </c>
      <c r="P1234" t="str">
        <f>IF(Pharma_Sales_Data[[#This Row],[Total Revenue]]&gt;20000,"High Value", IF(Pharma_Sales_Data[[#This Row],[Total Revenue]]&gt;=10000,"Medium Value","Low Value"))</f>
        <v>Low Value</v>
      </c>
    </row>
    <row r="1235" spans="1:16" x14ac:dyDescent="0.35">
      <c r="A1235" s="1">
        <v>42874</v>
      </c>
      <c r="B1235">
        <v>4.34</v>
      </c>
      <c r="C1235">
        <v>3.44</v>
      </c>
      <c r="D1235">
        <v>2.2000000000000002</v>
      </c>
      <c r="E1235">
        <v>31.6</v>
      </c>
      <c r="F1235">
        <v>11</v>
      </c>
      <c r="G1235">
        <v>0</v>
      </c>
      <c r="H1235">
        <v>0</v>
      </c>
      <c r="I1235">
        <v>10</v>
      </c>
      <c r="J1235">
        <v>2017</v>
      </c>
      <c r="K1235">
        <v>5</v>
      </c>
      <c r="L1235" t="s">
        <v>12</v>
      </c>
      <c r="M1235">
        <f>SUM(Pharma_Sales_Data[[#This Row],[M01AB]:[R06]])</f>
        <v>62.58</v>
      </c>
      <c r="N1235" s="2">
        <f>Pharma_Sales_Data[[#This Row],[Total Drug Sales]]*150</f>
        <v>9387</v>
      </c>
      <c r="O1235" s="2">
        <f>Pharma_Sales_Data[[#This Row],[Total Revenue]]*0.3</f>
        <v>2816.1</v>
      </c>
      <c r="P1235" t="str">
        <f>IF(Pharma_Sales_Data[[#This Row],[Total Revenue]]&gt;20000,"High Value", IF(Pharma_Sales_Data[[#This Row],[Total Revenue]]&gt;=10000,"Medium Value","Low Value"))</f>
        <v>Low Value</v>
      </c>
    </row>
    <row r="1236" spans="1:16" x14ac:dyDescent="0.35">
      <c r="A1236" s="1">
        <v>42875</v>
      </c>
      <c r="B1236">
        <v>3.99</v>
      </c>
      <c r="C1236">
        <v>4.7130000000000001</v>
      </c>
      <c r="D1236">
        <v>0.25</v>
      </c>
      <c r="E1236">
        <v>16.399999999999999</v>
      </c>
      <c r="F1236">
        <v>5</v>
      </c>
      <c r="G1236">
        <v>0</v>
      </c>
      <c r="H1236">
        <v>6</v>
      </c>
      <c r="I1236">
        <v>6</v>
      </c>
      <c r="J1236">
        <v>2017</v>
      </c>
      <c r="K1236">
        <v>5</v>
      </c>
      <c r="L1236" t="s">
        <v>13</v>
      </c>
      <c r="M1236">
        <f>SUM(Pharma_Sales_Data[[#This Row],[M01AB]:[R06]])</f>
        <v>42.352999999999994</v>
      </c>
      <c r="N1236" s="2">
        <f>Pharma_Sales_Data[[#This Row],[Total Drug Sales]]*150</f>
        <v>6352.9499999999989</v>
      </c>
      <c r="O1236" s="2">
        <f>Pharma_Sales_Data[[#This Row],[Total Revenue]]*0.3</f>
        <v>1905.8849999999995</v>
      </c>
      <c r="P1236" t="str">
        <f>IF(Pharma_Sales_Data[[#This Row],[Total Revenue]]&gt;20000,"High Value", IF(Pharma_Sales_Data[[#This Row],[Total Revenue]]&gt;=10000,"Medium Value","Low Value"))</f>
        <v>Low Value</v>
      </c>
    </row>
    <row r="1237" spans="1:16" x14ac:dyDescent="0.35">
      <c r="A1237" s="1">
        <v>42876</v>
      </c>
      <c r="B1237">
        <v>6</v>
      </c>
      <c r="C1237">
        <v>3.0430000000000001</v>
      </c>
      <c r="D1237">
        <v>1.25</v>
      </c>
      <c r="E1237">
        <v>32.200000000000003</v>
      </c>
      <c r="F1237">
        <v>5</v>
      </c>
      <c r="G1237">
        <v>0</v>
      </c>
      <c r="H1237">
        <v>12</v>
      </c>
      <c r="I1237">
        <v>4</v>
      </c>
      <c r="J1237">
        <v>2017</v>
      </c>
      <c r="K1237">
        <v>5</v>
      </c>
      <c r="L1237" t="s">
        <v>14</v>
      </c>
      <c r="M1237">
        <f>SUM(Pharma_Sales_Data[[#This Row],[M01AB]:[R06]])</f>
        <v>63.493000000000002</v>
      </c>
      <c r="N1237" s="2">
        <f>Pharma_Sales_Data[[#This Row],[Total Drug Sales]]*150</f>
        <v>9523.9500000000007</v>
      </c>
      <c r="O1237" s="2">
        <f>Pharma_Sales_Data[[#This Row],[Total Revenue]]*0.3</f>
        <v>2857.1849999999999</v>
      </c>
      <c r="P1237" t="str">
        <f>IF(Pharma_Sales_Data[[#This Row],[Total Revenue]]&gt;20000,"High Value", IF(Pharma_Sales_Data[[#This Row],[Total Revenue]]&gt;=10000,"Medium Value","Low Value"))</f>
        <v>Low Value</v>
      </c>
    </row>
    <row r="1238" spans="1:16" x14ac:dyDescent="0.35">
      <c r="A1238" s="1">
        <v>42877</v>
      </c>
      <c r="B1238">
        <v>5.33</v>
      </c>
      <c r="C1238">
        <v>1.34</v>
      </c>
      <c r="D1238">
        <v>4.4000000000000004</v>
      </c>
      <c r="E1238">
        <v>22.4</v>
      </c>
      <c r="F1238">
        <v>5</v>
      </c>
      <c r="G1238">
        <v>0</v>
      </c>
      <c r="H1238">
        <v>7</v>
      </c>
      <c r="I1238">
        <v>11</v>
      </c>
      <c r="J1238">
        <v>2017</v>
      </c>
      <c r="K1238">
        <v>5</v>
      </c>
      <c r="L1238" t="s">
        <v>15</v>
      </c>
      <c r="M1238">
        <f>SUM(Pharma_Sales_Data[[#This Row],[M01AB]:[R06]])</f>
        <v>56.47</v>
      </c>
      <c r="N1238" s="2">
        <f>Pharma_Sales_Data[[#This Row],[Total Drug Sales]]*150</f>
        <v>8470.5</v>
      </c>
      <c r="O1238" s="2">
        <f>Pharma_Sales_Data[[#This Row],[Total Revenue]]*0.3</f>
        <v>2541.15</v>
      </c>
      <c r="P1238" t="str">
        <f>IF(Pharma_Sales_Data[[#This Row],[Total Revenue]]&gt;20000,"High Value", IF(Pharma_Sales_Data[[#This Row],[Total Revenue]]&gt;=10000,"Medium Value","Low Value"))</f>
        <v>Low Value</v>
      </c>
    </row>
    <row r="1239" spans="1:16" x14ac:dyDescent="0.35">
      <c r="A1239" s="1">
        <v>42878</v>
      </c>
      <c r="B1239">
        <v>3</v>
      </c>
      <c r="C1239">
        <v>2.4060000000000001</v>
      </c>
      <c r="D1239">
        <v>5</v>
      </c>
      <c r="E1239">
        <v>11</v>
      </c>
      <c r="F1239">
        <v>9</v>
      </c>
      <c r="G1239">
        <v>0</v>
      </c>
      <c r="H1239">
        <v>2</v>
      </c>
      <c r="I1239">
        <v>7</v>
      </c>
      <c r="J1239">
        <v>2017</v>
      </c>
      <c r="K1239">
        <v>5</v>
      </c>
      <c r="L1239" t="s">
        <v>16</v>
      </c>
      <c r="M1239">
        <f>SUM(Pharma_Sales_Data[[#This Row],[M01AB]:[R06]])</f>
        <v>39.405999999999999</v>
      </c>
      <c r="N1239" s="2">
        <f>Pharma_Sales_Data[[#This Row],[Total Drug Sales]]*150</f>
        <v>5910.9</v>
      </c>
      <c r="O1239" s="2">
        <f>Pharma_Sales_Data[[#This Row],[Total Revenue]]*0.3</f>
        <v>1773.2699999999998</v>
      </c>
      <c r="P1239" t="str">
        <f>IF(Pharma_Sales_Data[[#This Row],[Total Revenue]]&gt;20000,"High Value", IF(Pharma_Sales_Data[[#This Row],[Total Revenue]]&gt;=10000,"Medium Value","Low Value"))</f>
        <v>Low Value</v>
      </c>
    </row>
    <row r="1240" spans="1:16" x14ac:dyDescent="0.35">
      <c r="A1240" s="1">
        <v>42879</v>
      </c>
      <c r="B1240">
        <v>6.68</v>
      </c>
      <c r="C1240">
        <v>3.34</v>
      </c>
      <c r="D1240">
        <v>3</v>
      </c>
      <c r="E1240">
        <v>14.2</v>
      </c>
      <c r="F1240">
        <v>9</v>
      </c>
      <c r="G1240">
        <v>0</v>
      </c>
      <c r="H1240">
        <v>4</v>
      </c>
      <c r="I1240">
        <v>4.71</v>
      </c>
      <c r="J1240">
        <v>2017</v>
      </c>
      <c r="K1240">
        <v>5</v>
      </c>
      <c r="L1240" t="s">
        <v>17</v>
      </c>
      <c r="M1240">
        <f>SUM(Pharma_Sales_Data[[#This Row],[M01AB]:[R06]])</f>
        <v>44.93</v>
      </c>
      <c r="N1240" s="2">
        <f>Pharma_Sales_Data[[#This Row],[Total Drug Sales]]*150</f>
        <v>6739.5</v>
      </c>
      <c r="O1240" s="2">
        <f>Pharma_Sales_Data[[#This Row],[Total Revenue]]*0.3</f>
        <v>2021.85</v>
      </c>
      <c r="P1240" t="str">
        <f>IF(Pharma_Sales_Data[[#This Row],[Total Revenue]]&gt;20000,"High Value", IF(Pharma_Sales_Data[[#This Row],[Total Revenue]]&gt;=10000,"Medium Value","Low Value"))</f>
        <v>Low Value</v>
      </c>
    </row>
    <row r="1241" spans="1:16" x14ac:dyDescent="0.35">
      <c r="A1241" s="1">
        <v>42880</v>
      </c>
      <c r="B1241">
        <v>5.66</v>
      </c>
      <c r="C1241">
        <v>5.36</v>
      </c>
      <c r="D1241">
        <v>2</v>
      </c>
      <c r="E1241">
        <v>18.2</v>
      </c>
      <c r="F1241">
        <v>3</v>
      </c>
      <c r="G1241">
        <v>0</v>
      </c>
      <c r="H1241">
        <v>2</v>
      </c>
      <c r="I1241">
        <v>4.3</v>
      </c>
      <c r="J1241">
        <v>2017</v>
      </c>
      <c r="K1241">
        <v>5</v>
      </c>
      <c r="L1241" t="s">
        <v>11</v>
      </c>
      <c r="M1241">
        <f>SUM(Pharma_Sales_Data[[#This Row],[M01AB]:[R06]])</f>
        <v>40.519999999999996</v>
      </c>
      <c r="N1241" s="2">
        <f>Pharma_Sales_Data[[#This Row],[Total Drug Sales]]*150</f>
        <v>6077.9999999999991</v>
      </c>
      <c r="O1241" s="2">
        <f>Pharma_Sales_Data[[#This Row],[Total Revenue]]*0.3</f>
        <v>1823.3999999999996</v>
      </c>
      <c r="P1241" t="str">
        <f>IF(Pharma_Sales_Data[[#This Row],[Total Revenue]]&gt;20000,"High Value", IF(Pharma_Sales_Data[[#This Row],[Total Revenue]]&gt;=10000,"Medium Value","Low Value"))</f>
        <v>Low Value</v>
      </c>
    </row>
    <row r="1242" spans="1:16" x14ac:dyDescent="0.35">
      <c r="A1242" s="1">
        <v>42881</v>
      </c>
      <c r="B1242">
        <v>2.34</v>
      </c>
      <c r="C1242">
        <v>3.67</v>
      </c>
      <c r="D1242">
        <v>5</v>
      </c>
      <c r="E1242">
        <v>29</v>
      </c>
      <c r="F1242">
        <v>4</v>
      </c>
      <c r="G1242">
        <v>0</v>
      </c>
      <c r="H1242">
        <v>8</v>
      </c>
      <c r="I1242">
        <v>2</v>
      </c>
      <c r="J1242">
        <v>2017</v>
      </c>
      <c r="K1242">
        <v>5</v>
      </c>
      <c r="L1242" t="s">
        <v>12</v>
      </c>
      <c r="M1242">
        <f>SUM(Pharma_Sales_Data[[#This Row],[M01AB]:[R06]])</f>
        <v>54.01</v>
      </c>
      <c r="N1242" s="2">
        <f>Pharma_Sales_Data[[#This Row],[Total Drug Sales]]*150</f>
        <v>8101.5</v>
      </c>
      <c r="O1242" s="2">
        <f>Pharma_Sales_Data[[#This Row],[Total Revenue]]*0.3</f>
        <v>2430.4499999999998</v>
      </c>
      <c r="P1242" t="str">
        <f>IF(Pharma_Sales_Data[[#This Row],[Total Revenue]]&gt;20000,"High Value", IF(Pharma_Sales_Data[[#This Row],[Total Revenue]]&gt;=10000,"Medium Value","Low Value"))</f>
        <v>Low Value</v>
      </c>
    </row>
    <row r="1243" spans="1:16" x14ac:dyDescent="0.35">
      <c r="A1243" s="1">
        <v>42882</v>
      </c>
      <c r="B1243">
        <v>7.33</v>
      </c>
      <c r="C1243">
        <v>3.2210000000000001</v>
      </c>
      <c r="D1243">
        <v>2</v>
      </c>
      <c r="E1243">
        <v>23.4</v>
      </c>
      <c r="F1243">
        <v>5</v>
      </c>
      <c r="G1243">
        <v>0</v>
      </c>
      <c r="H1243">
        <v>0</v>
      </c>
      <c r="I1243">
        <v>10</v>
      </c>
      <c r="J1243">
        <v>2017</v>
      </c>
      <c r="K1243">
        <v>5</v>
      </c>
      <c r="L1243" t="s">
        <v>13</v>
      </c>
      <c r="M1243">
        <f>SUM(Pharma_Sales_Data[[#This Row],[M01AB]:[R06]])</f>
        <v>50.951000000000001</v>
      </c>
      <c r="N1243" s="2">
        <f>Pharma_Sales_Data[[#This Row],[Total Drug Sales]]*150</f>
        <v>7642.65</v>
      </c>
      <c r="O1243" s="2">
        <f>Pharma_Sales_Data[[#This Row],[Total Revenue]]*0.3</f>
        <v>2292.7949999999996</v>
      </c>
      <c r="P1243" t="str">
        <f>IF(Pharma_Sales_Data[[#This Row],[Total Revenue]]&gt;20000,"High Value", IF(Pharma_Sales_Data[[#This Row],[Total Revenue]]&gt;=10000,"Medium Value","Low Value"))</f>
        <v>Low Value</v>
      </c>
    </row>
    <row r="1244" spans="1:16" x14ac:dyDescent="0.35">
      <c r="A1244" s="1">
        <v>42883</v>
      </c>
      <c r="B1244">
        <v>1.99</v>
      </c>
      <c r="C1244">
        <v>6.2430000000000003</v>
      </c>
      <c r="D1244">
        <v>2.4500000000000002</v>
      </c>
      <c r="E1244">
        <v>11.19</v>
      </c>
      <c r="F1244">
        <v>2</v>
      </c>
      <c r="G1244">
        <v>0</v>
      </c>
      <c r="H1244">
        <v>0</v>
      </c>
      <c r="I1244">
        <v>3</v>
      </c>
      <c r="J1244">
        <v>2017</v>
      </c>
      <c r="K1244">
        <v>5</v>
      </c>
      <c r="L1244" t="s">
        <v>14</v>
      </c>
      <c r="M1244">
        <f>SUM(Pharma_Sales_Data[[#This Row],[M01AB]:[R06]])</f>
        <v>26.872999999999998</v>
      </c>
      <c r="N1244" s="2">
        <f>Pharma_Sales_Data[[#This Row],[Total Drug Sales]]*150</f>
        <v>4030.95</v>
      </c>
      <c r="O1244" s="2">
        <f>Pharma_Sales_Data[[#This Row],[Total Revenue]]*0.3</f>
        <v>1209.2849999999999</v>
      </c>
      <c r="P1244" t="str">
        <f>IF(Pharma_Sales_Data[[#This Row],[Total Revenue]]&gt;20000,"High Value", IF(Pharma_Sales_Data[[#This Row],[Total Revenue]]&gt;=10000,"Medium Value","Low Value"))</f>
        <v>Low Value</v>
      </c>
    </row>
    <row r="1245" spans="1:16" x14ac:dyDescent="0.35">
      <c r="A1245" s="1">
        <v>42884</v>
      </c>
      <c r="B1245">
        <v>3.34</v>
      </c>
      <c r="C1245">
        <v>4.0229999999999997</v>
      </c>
      <c r="D1245">
        <v>1.6</v>
      </c>
      <c r="E1245">
        <v>28</v>
      </c>
      <c r="F1245">
        <v>4</v>
      </c>
      <c r="G1245">
        <v>2</v>
      </c>
      <c r="H1245">
        <v>4</v>
      </c>
      <c r="I1245">
        <v>5</v>
      </c>
      <c r="J1245">
        <v>2017</v>
      </c>
      <c r="K1245">
        <v>5</v>
      </c>
      <c r="L1245" t="s">
        <v>15</v>
      </c>
      <c r="M1245">
        <f>SUM(Pharma_Sales_Data[[#This Row],[M01AB]:[R06]])</f>
        <v>51.963000000000001</v>
      </c>
      <c r="N1245" s="2">
        <f>Pharma_Sales_Data[[#This Row],[Total Drug Sales]]*150</f>
        <v>7794.45</v>
      </c>
      <c r="O1245" s="2">
        <f>Pharma_Sales_Data[[#This Row],[Total Revenue]]*0.3</f>
        <v>2338.335</v>
      </c>
      <c r="P1245" t="str">
        <f>IF(Pharma_Sales_Data[[#This Row],[Total Revenue]]&gt;20000,"High Value", IF(Pharma_Sales_Data[[#This Row],[Total Revenue]]&gt;=10000,"Medium Value","Low Value"))</f>
        <v>Low Value</v>
      </c>
    </row>
    <row r="1246" spans="1:16" x14ac:dyDescent="0.35">
      <c r="A1246" s="1">
        <v>42885</v>
      </c>
      <c r="B1246">
        <v>8</v>
      </c>
      <c r="C1246">
        <v>3.3959999999999999</v>
      </c>
      <c r="D1246">
        <v>4.3</v>
      </c>
      <c r="E1246">
        <v>25</v>
      </c>
      <c r="F1246">
        <v>3</v>
      </c>
      <c r="G1246">
        <v>0</v>
      </c>
      <c r="H1246">
        <v>5</v>
      </c>
      <c r="I1246">
        <v>5</v>
      </c>
      <c r="J1246">
        <v>2017</v>
      </c>
      <c r="K1246">
        <v>5</v>
      </c>
      <c r="L1246" t="s">
        <v>16</v>
      </c>
      <c r="M1246">
        <f>SUM(Pharma_Sales_Data[[#This Row],[M01AB]:[R06]])</f>
        <v>53.695999999999998</v>
      </c>
      <c r="N1246" s="2">
        <f>Pharma_Sales_Data[[#This Row],[Total Drug Sales]]*150</f>
        <v>8054.4</v>
      </c>
      <c r="O1246" s="2">
        <f>Pharma_Sales_Data[[#This Row],[Total Revenue]]*0.3</f>
        <v>2416.3199999999997</v>
      </c>
      <c r="P1246" t="str">
        <f>IF(Pharma_Sales_Data[[#This Row],[Total Revenue]]&gt;20000,"High Value", IF(Pharma_Sales_Data[[#This Row],[Total Revenue]]&gt;=10000,"Medium Value","Low Value"))</f>
        <v>Low Value</v>
      </c>
    </row>
    <row r="1247" spans="1:16" x14ac:dyDescent="0.35">
      <c r="A1247" s="1">
        <v>42886</v>
      </c>
      <c r="B1247">
        <v>4</v>
      </c>
      <c r="C1247">
        <v>2.4289999999999998</v>
      </c>
      <c r="D1247">
        <v>7</v>
      </c>
      <c r="E1247">
        <v>12.2</v>
      </c>
      <c r="F1247">
        <v>6</v>
      </c>
      <c r="G1247">
        <v>4</v>
      </c>
      <c r="H1247">
        <v>1</v>
      </c>
      <c r="I1247">
        <v>5</v>
      </c>
      <c r="J1247">
        <v>2017</v>
      </c>
      <c r="K1247">
        <v>5</v>
      </c>
      <c r="L1247" t="s">
        <v>17</v>
      </c>
      <c r="M1247">
        <f>SUM(Pharma_Sales_Data[[#This Row],[M01AB]:[R06]])</f>
        <v>41.628999999999998</v>
      </c>
      <c r="N1247" s="2">
        <f>Pharma_Sales_Data[[#This Row],[Total Drug Sales]]*150</f>
        <v>6244.3499999999995</v>
      </c>
      <c r="O1247" s="2">
        <f>Pharma_Sales_Data[[#This Row],[Total Revenue]]*0.3</f>
        <v>1873.3049999999998</v>
      </c>
      <c r="P1247" t="str">
        <f>IF(Pharma_Sales_Data[[#This Row],[Total Revenue]]&gt;20000,"High Value", IF(Pharma_Sales_Data[[#This Row],[Total Revenue]]&gt;=10000,"Medium Value","Low Value"))</f>
        <v>Low Value</v>
      </c>
    </row>
    <row r="1248" spans="1:16" x14ac:dyDescent="0.35">
      <c r="A1248" s="1">
        <v>42887</v>
      </c>
      <c r="B1248">
        <v>1.34</v>
      </c>
      <c r="C1248">
        <v>3.67</v>
      </c>
      <c r="D1248">
        <v>2</v>
      </c>
      <c r="E1248">
        <v>21.4</v>
      </c>
      <c r="F1248">
        <v>10</v>
      </c>
      <c r="G1248">
        <v>0</v>
      </c>
      <c r="H1248">
        <v>2</v>
      </c>
      <c r="I1248">
        <v>2</v>
      </c>
      <c r="J1248">
        <v>2017</v>
      </c>
      <c r="K1248">
        <v>6</v>
      </c>
      <c r="L1248" t="s">
        <v>11</v>
      </c>
      <c r="M1248">
        <f>SUM(Pharma_Sales_Data[[#This Row],[M01AB]:[R06]])</f>
        <v>42.41</v>
      </c>
      <c r="N1248" s="2">
        <f>Pharma_Sales_Data[[#This Row],[Total Drug Sales]]*150</f>
        <v>6361.4999999999991</v>
      </c>
      <c r="O1248" s="2">
        <f>Pharma_Sales_Data[[#This Row],[Total Revenue]]*0.3</f>
        <v>1908.4499999999996</v>
      </c>
      <c r="P1248" t="str">
        <f>IF(Pharma_Sales_Data[[#This Row],[Total Revenue]]&gt;20000,"High Value", IF(Pharma_Sales_Data[[#This Row],[Total Revenue]]&gt;=10000,"Medium Value","Low Value"))</f>
        <v>Low Value</v>
      </c>
    </row>
    <row r="1249" spans="1:16" x14ac:dyDescent="0.35">
      <c r="A1249" s="1">
        <v>42888</v>
      </c>
      <c r="B1249">
        <v>2.33</v>
      </c>
      <c r="C1249">
        <v>4</v>
      </c>
      <c r="D1249">
        <v>4</v>
      </c>
      <c r="E1249">
        <v>17.399999999999999</v>
      </c>
      <c r="F1249">
        <v>9</v>
      </c>
      <c r="G1249">
        <v>1</v>
      </c>
      <c r="H1249">
        <v>5</v>
      </c>
      <c r="I1249">
        <v>3</v>
      </c>
      <c r="J1249">
        <v>2017</v>
      </c>
      <c r="K1249">
        <v>6</v>
      </c>
      <c r="L1249" t="s">
        <v>12</v>
      </c>
      <c r="M1249">
        <f>SUM(Pharma_Sales_Data[[#This Row],[M01AB]:[R06]])</f>
        <v>45.73</v>
      </c>
      <c r="N1249" s="2">
        <f>Pharma_Sales_Data[[#This Row],[Total Drug Sales]]*150</f>
        <v>6859.4999999999991</v>
      </c>
      <c r="O1249" s="2">
        <f>Pharma_Sales_Data[[#This Row],[Total Revenue]]*0.3</f>
        <v>2057.8499999999995</v>
      </c>
      <c r="P1249" t="str">
        <f>IF(Pharma_Sales_Data[[#This Row],[Total Revenue]]&gt;20000,"High Value", IF(Pharma_Sales_Data[[#This Row],[Total Revenue]]&gt;=10000,"Medium Value","Low Value"))</f>
        <v>Low Value</v>
      </c>
    </row>
    <row r="1250" spans="1:16" x14ac:dyDescent="0.35">
      <c r="A1250" s="1">
        <v>42889</v>
      </c>
      <c r="B1250">
        <v>5</v>
      </c>
      <c r="C1250">
        <v>1.726</v>
      </c>
      <c r="D1250">
        <v>3</v>
      </c>
      <c r="E1250">
        <v>10</v>
      </c>
      <c r="F1250">
        <v>3</v>
      </c>
      <c r="G1250">
        <v>1</v>
      </c>
      <c r="H1250">
        <v>22</v>
      </c>
      <c r="I1250">
        <v>2</v>
      </c>
      <c r="J1250">
        <v>2017</v>
      </c>
      <c r="K1250">
        <v>6</v>
      </c>
      <c r="L1250" t="s">
        <v>13</v>
      </c>
      <c r="M1250">
        <f>SUM(Pharma_Sales_Data[[#This Row],[M01AB]:[R06]])</f>
        <v>47.725999999999999</v>
      </c>
      <c r="N1250" s="2">
        <f>Pharma_Sales_Data[[#This Row],[Total Drug Sales]]*150</f>
        <v>7158.9</v>
      </c>
      <c r="O1250" s="2">
        <f>Pharma_Sales_Data[[#This Row],[Total Revenue]]*0.3</f>
        <v>2147.6699999999996</v>
      </c>
      <c r="P1250" t="str">
        <f>IF(Pharma_Sales_Data[[#This Row],[Total Revenue]]&gt;20000,"High Value", IF(Pharma_Sales_Data[[#This Row],[Total Revenue]]&gt;=10000,"Medium Value","Low Value"))</f>
        <v>Low Value</v>
      </c>
    </row>
    <row r="1251" spans="1:16" x14ac:dyDescent="0.35">
      <c r="A1251" s="1">
        <v>42890</v>
      </c>
      <c r="B1251">
        <v>7</v>
      </c>
      <c r="C1251">
        <v>1.7470000000000001</v>
      </c>
      <c r="D1251">
        <v>2.25</v>
      </c>
      <c r="E1251">
        <v>23.4</v>
      </c>
      <c r="F1251">
        <v>3</v>
      </c>
      <c r="G1251">
        <v>1</v>
      </c>
      <c r="H1251">
        <v>5</v>
      </c>
      <c r="I1251">
        <v>4</v>
      </c>
      <c r="J1251">
        <v>2017</v>
      </c>
      <c r="K1251">
        <v>6</v>
      </c>
      <c r="L1251" t="s">
        <v>14</v>
      </c>
      <c r="M1251">
        <f>SUM(Pharma_Sales_Data[[#This Row],[M01AB]:[R06]])</f>
        <v>47.396999999999998</v>
      </c>
      <c r="N1251" s="2">
        <f>Pharma_Sales_Data[[#This Row],[Total Drug Sales]]*150</f>
        <v>7109.55</v>
      </c>
      <c r="O1251" s="2">
        <f>Pharma_Sales_Data[[#This Row],[Total Revenue]]*0.3</f>
        <v>2132.8649999999998</v>
      </c>
      <c r="P1251" t="str">
        <f>IF(Pharma_Sales_Data[[#This Row],[Total Revenue]]&gt;20000,"High Value", IF(Pharma_Sales_Data[[#This Row],[Total Revenue]]&gt;=10000,"Medium Value","Low Value"))</f>
        <v>Low Value</v>
      </c>
    </row>
    <row r="1252" spans="1:16" x14ac:dyDescent="0.35">
      <c r="A1252" s="1">
        <v>42891</v>
      </c>
      <c r="B1252">
        <v>3.33</v>
      </c>
      <c r="C1252">
        <v>5.99</v>
      </c>
      <c r="D1252">
        <v>4.5</v>
      </c>
      <c r="E1252">
        <v>9.6999999999999993</v>
      </c>
      <c r="F1252">
        <v>5</v>
      </c>
      <c r="G1252">
        <v>0</v>
      </c>
      <c r="H1252">
        <v>0</v>
      </c>
      <c r="I1252">
        <v>8</v>
      </c>
      <c r="J1252">
        <v>2017</v>
      </c>
      <c r="K1252">
        <v>6</v>
      </c>
      <c r="L1252" t="s">
        <v>15</v>
      </c>
      <c r="M1252">
        <f>SUM(Pharma_Sales_Data[[#This Row],[M01AB]:[R06]])</f>
        <v>36.519999999999996</v>
      </c>
      <c r="N1252" s="2">
        <f>Pharma_Sales_Data[[#This Row],[Total Drug Sales]]*150</f>
        <v>5477.9999999999991</v>
      </c>
      <c r="O1252" s="2">
        <f>Pharma_Sales_Data[[#This Row],[Total Revenue]]*0.3</f>
        <v>1643.3999999999996</v>
      </c>
      <c r="P1252" t="str">
        <f>IF(Pharma_Sales_Data[[#This Row],[Total Revenue]]&gt;20000,"High Value", IF(Pharma_Sales_Data[[#This Row],[Total Revenue]]&gt;=10000,"Medium Value","Low Value"))</f>
        <v>Low Value</v>
      </c>
    </row>
    <row r="1253" spans="1:16" x14ac:dyDescent="0.35">
      <c r="A1253" s="1">
        <v>42892</v>
      </c>
      <c r="B1253">
        <v>1</v>
      </c>
      <c r="C1253">
        <v>3</v>
      </c>
      <c r="D1253">
        <v>0</v>
      </c>
      <c r="E1253">
        <v>18</v>
      </c>
      <c r="F1253">
        <v>3</v>
      </c>
      <c r="G1253">
        <v>0</v>
      </c>
      <c r="H1253">
        <v>6</v>
      </c>
      <c r="I1253">
        <v>7.5</v>
      </c>
      <c r="J1253">
        <v>2017</v>
      </c>
      <c r="K1253">
        <v>6</v>
      </c>
      <c r="L1253" t="s">
        <v>16</v>
      </c>
      <c r="M1253">
        <f>SUM(Pharma_Sales_Data[[#This Row],[M01AB]:[R06]])</f>
        <v>38.5</v>
      </c>
      <c r="N1253" s="2">
        <f>Pharma_Sales_Data[[#This Row],[Total Drug Sales]]*150</f>
        <v>5775</v>
      </c>
      <c r="O1253" s="2">
        <f>Pharma_Sales_Data[[#This Row],[Total Revenue]]*0.3</f>
        <v>1732.5</v>
      </c>
      <c r="P1253" t="str">
        <f>IF(Pharma_Sales_Data[[#This Row],[Total Revenue]]&gt;20000,"High Value", IF(Pharma_Sales_Data[[#This Row],[Total Revenue]]&gt;=10000,"Medium Value","Low Value"))</f>
        <v>Low Value</v>
      </c>
    </row>
    <row r="1254" spans="1:16" x14ac:dyDescent="0.35">
      <c r="A1254" s="1">
        <v>42893</v>
      </c>
      <c r="B1254">
        <v>5.33</v>
      </c>
      <c r="C1254">
        <v>4.6929999999999996</v>
      </c>
      <c r="D1254">
        <v>4</v>
      </c>
      <c r="E1254">
        <v>21</v>
      </c>
      <c r="F1254">
        <v>13</v>
      </c>
      <c r="G1254">
        <v>0</v>
      </c>
      <c r="H1254">
        <v>20</v>
      </c>
      <c r="I1254">
        <v>7</v>
      </c>
      <c r="J1254">
        <v>2017</v>
      </c>
      <c r="K1254">
        <v>6</v>
      </c>
      <c r="L1254" t="s">
        <v>17</v>
      </c>
      <c r="M1254">
        <f>SUM(Pharma_Sales_Data[[#This Row],[M01AB]:[R06]])</f>
        <v>75.022999999999996</v>
      </c>
      <c r="N1254" s="2">
        <f>Pharma_Sales_Data[[#This Row],[Total Drug Sales]]*150</f>
        <v>11253.449999999999</v>
      </c>
      <c r="O1254" s="2">
        <f>Pharma_Sales_Data[[#This Row],[Total Revenue]]*0.3</f>
        <v>3376.0349999999994</v>
      </c>
      <c r="P1254" t="str">
        <f>IF(Pharma_Sales_Data[[#This Row],[Total Revenue]]&gt;20000,"High Value", IF(Pharma_Sales_Data[[#This Row],[Total Revenue]]&gt;=10000,"Medium Value","Low Value"))</f>
        <v>Medium Value</v>
      </c>
    </row>
    <row r="1255" spans="1:16" x14ac:dyDescent="0.35">
      <c r="A1255" s="1">
        <v>42894</v>
      </c>
      <c r="B1255">
        <v>5</v>
      </c>
      <c r="C1255">
        <v>1.823</v>
      </c>
      <c r="D1255">
        <v>3.15</v>
      </c>
      <c r="E1255">
        <v>21</v>
      </c>
      <c r="F1255">
        <v>4</v>
      </c>
      <c r="G1255">
        <v>0</v>
      </c>
      <c r="H1255">
        <v>2</v>
      </c>
      <c r="I1255">
        <v>4.2</v>
      </c>
      <c r="J1255">
        <v>2017</v>
      </c>
      <c r="K1255">
        <v>6</v>
      </c>
      <c r="L1255" t="s">
        <v>11</v>
      </c>
      <c r="M1255">
        <f>SUM(Pharma_Sales_Data[[#This Row],[M01AB]:[R06]])</f>
        <v>41.173000000000002</v>
      </c>
      <c r="N1255" s="2">
        <f>Pharma_Sales_Data[[#This Row],[Total Drug Sales]]*150</f>
        <v>6175.9500000000007</v>
      </c>
      <c r="O1255" s="2">
        <f>Pharma_Sales_Data[[#This Row],[Total Revenue]]*0.3</f>
        <v>1852.7850000000001</v>
      </c>
      <c r="P1255" t="str">
        <f>IF(Pharma_Sales_Data[[#This Row],[Total Revenue]]&gt;20000,"High Value", IF(Pharma_Sales_Data[[#This Row],[Total Revenue]]&gt;=10000,"Medium Value","Low Value"))</f>
        <v>Low Value</v>
      </c>
    </row>
    <row r="1256" spans="1:16" x14ac:dyDescent="0.35">
      <c r="A1256" s="1">
        <v>42895</v>
      </c>
      <c r="B1256">
        <v>1.33</v>
      </c>
      <c r="C1256">
        <v>4.09</v>
      </c>
      <c r="D1256">
        <v>3.1</v>
      </c>
      <c r="E1256">
        <v>10</v>
      </c>
      <c r="F1256">
        <v>2</v>
      </c>
      <c r="G1256">
        <v>0</v>
      </c>
      <c r="H1256">
        <v>0</v>
      </c>
      <c r="I1256">
        <v>6</v>
      </c>
      <c r="J1256">
        <v>2017</v>
      </c>
      <c r="K1256">
        <v>6</v>
      </c>
      <c r="L1256" t="s">
        <v>12</v>
      </c>
      <c r="M1256">
        <f>SUM(Pharma_Sales_Data[[#This Row],[M01AB]:[R06]])</f>
        <v>26.52</v>
      </c>
      <c r="N1256" s="2">
        <f>Pharma_Sales_Data[[#This Row],[Total Drug Sales]]*150</f>
        <v>3978</v>
      </c>
      <c r="O1256" s="2">
        <f>Pharma_Sales_Data[[#This Row],[Total Revenue]]*0.3</f>
        <v>1193.3999999999999</v>
      </c>
      <c r="P1256" t="str">
        <f>IF(Pharma_Sales_Data[[#This Row],[Total Revenue]]&gt;20000,"High Value", IF(Pharma_Sales_Data[[#This Row],[Total Revenue]]&gt;=10000,"Medium Value","Low Value"))</f>
        <v>Low Value</v>
      </c>
    </row>
    <row r="1257" spans="1:16" x14ac:dyDescent="0.35">
      <c r="A1257" s="1">
        <v>42896</v>
      </c>
      <c r="B1257">
        <v>9</v>
      </c>
      <c r="C1257">
        <v>7.01</v>
      </c>
      <c r="D1257">
        <v>4</v>
      </c>
      <c r="E1257">
        <v>15</v>
      </c>
      <c r="F1257">
        <v>2</v>
      </c>
      <c r="G1257">
        <v>0</v>
      </c>
      <c r="H1257">
        <v>7</v>
      </c>
      <c r="I1257">
        <v>3</v>
      </c>
      <c r="J1257">
        <v>2017</v>
      </c>
      <c r="K1257">
        <v>6</v>
      </c>
      <c r="L1257" t="s">
        <v>13</v>
      </c>
      <c r="M1257">
        <f>SUM(Pharma_Sales_Data[[#This Row],[M01AB]:[R06]])</f>
        <v>47.01</v>
      </c>
      <c r="N1257" s="2">
        <f>Pharma_Sales_Data[[#This Row],[Total Drug Sales]]*150</f>
        <v>7051.5</v>
      </c>
      <c r="O1257" s="2">
        <f>Pharma_Sales_Data[[#This Row],[Total Revenue]]*0.3</f>
        <v>2115.4499999999998</v>
      </c>
      <c r="P1257" t="str">
        <f>IF(Pharma_Sales_Data[[#This Row],[Total Revenue]]&gt;20000,"High Value", IF(Pharma_Sales_Data[[#This Row],[Total Revenue]]&gt;=10000,"Medium Value","Low Value"))</f>
        <v>Low Value</v>
      </c>
    </row>
    <row r="1258" spans="1:16" x14ac:dyDescent="0.35">
      <c r="A1258" s="1">
        <v>42897</v>
      </c>
      <c r="B1258">
        <v>5.5</v>
      </c>
      <c r="C1258">
        <v>3.99</v>
      </c>
      <c r="D1258">
        <v>8.5</v>
      </c>
      <c r="E1258">
        <v>28.25</v>
      </c>
      <c r="F1258">
        <v>8</v>
      </c>
      <c r="G1258">
        <v>0</v>
      </c>
      <c r="H1258">
        <v>2</v>
      </c>
      <c r="I1258">
        <v>3</v>
      </c>
      <c r="J1258">
        <v>2017</v>
      </c>
      <c r="K1258">
        <v>6</v>
      </c>
      <c r="L1258" t="s">
        <v>14</v>
      </c>
      <c r="M1258">
        <f>SUM(Pharma_Sales_Data[[#This Row],[M01AB]:[R06]])</f>
        <v>59.24</v>
      </c>
      <c r="N1258" s="2">
        <f>Pharma_Sales_Data[[#This Row],[Total Drug Sales]]*150</f>
        <v>8886</v>
      </c>
      <c r="O1258" s="2">
        <f>Pharma_Sales_Data[[#This Row],[Total Revenue]]*0.3</f>
        <v>2665.7999999999997</v>
      </c>
      <c r="P1258" t="str">
        <f>IF(Pharma_Sales_Data[[#This Row],[Total Revenue]]&gt;20000,"High Value", IF(Pharma_Sales_Data[[#This Row],[Total Revenue]]&gt;=10000,"Medium Value","Low Value"))</f>
        <v>Low Value</v>
      </c>
    </row>
    <row r="1259" spans="1:16" x14ac:dyDescent="0.35">
      <c r="A1259" s="1">
        <v>42898</v>
      </c>
      <c r="B1259">
        <v>4.34</v>
      </c>
      <c r="C1259">
        <v>3.34</v>
      </c>
      <c r="D1259">
        <v>1</v>
      </c>
      <c r="E1259">
        <v>13.6</v>
      </c>
      <c r="F1259">
        <v>3</v>
      </c>
      <c r="G1259">
        <v>0</v>
      </c>
      <c r="H1259">
        <v>13</v>
      </c>
      <c r="I1259">
        <v>12</v>
      </c>
      <c r="J1259">
        <v>2017</v>
      </c>
      <c r="K1259">
        <v>6</v>
      </c>
      <c r="L1259" t="s">
        <v>15</v>
      </c>
      <c r="M1259">
        <f>SUM(Pharma_Sales_Data[[#This Row],[M01AB]:[R06]])</f>
        <v>50.28</v>
      </c>
      <c r="N1259" s="2">
        <f>Pharma_Sales_Data[[#This Row],[Total Drug Sales]]*150</f>
        <v>7542</v>
      </c>
      <c r="O1259" s="2">
        <f>Pharma_Sales_Data[[#This Row],[Total Revenue]]*0.3</f>
        <v>2262.6</v>
      </c>
      <c r="P1259" t="str">
        <f>IF(Pharma_Sales_Data[[#This Row],[Total Revenue]]&gt;20000,"High Value", IF(Pharma_Sales_Data[[#This Row],[Total Revenue]]&gt;=10000,"Medium Value","Low Value"))</f>
        <v>Low Value</v>
      </c>
    </row>
    <row r="1260" spans="1:16" x14ac:dyDescent="0.35">
      <c r="A1260" s="1">
        <v>42899</v>
      </c>
      <c r="B1260">
        <v>2.99</v>
      </c>
      <c r="C1260">
        <v>3.0230000000000001</v>
      </c>
      <c r="D1260">
        <v>3</v>
      </c>
      <c r="E1260">
        <v>8</v>
      </c>
      <c r="F1260">
        <v>9</v>
      </c>
      <c r="G1260">
        <v>0</v>
      </c>
      <c r="H1260">
        <v>0</v>
      </c>
      <c r="I1260">
        <v>9.1</v>
      </c>
      <c r="J1260">
        <v>2017</v>
      </c>
      <c r="K1260">
        <v>6</v>
      </c>
      <c r="L1260" t="s">
        <v>16</v>
      </c>
      <c r="M1260">
        <f>SUM(Pharma_Sales_Data[[#This Row],[M01AB]:[R06]])</f>
        <v>35.113</v>
      </c>
      <c r="N1260" s="2">
        <f>Pharma_Sales_Data[[#This Row],[Total Drug Sales]]*150</f>
        <v>5266.95</v>
      </c>
      <c r="O1260" s="2">
        <f>Pharma_Sales_Data[[#This Row],[Total Revenue]]*0.3</f>
        <v>1580.0849999999998</v>
      </c>
      <c r="P1260" t="str">
        <f>IF(Pharma_Sales_Data[[#This Row],[Total Revenue]]&gt;20000,"High Value", IF(Pharma_Sales_Data[[#This Row],[Total Revenue]]&gt;=10000,"Medium Value","Low Value"))</f>
        <v>Low Value</v>
      </c>
    </row>
    <row r="1261" spans="1:16" x14ac:dyDescent="0.35">
      <c r="A1261" s="1">
        <v>42900</v>
      </c>
      <c r="B1261">
        <v>1.33</v>
      </c>
      <c r="C1261">
        <v>1.33</v>
      </c>
      <c r="D1261">
        <v>1</v>
      </c>
      <c r="E1261">
        <v>9</v>
      </c>
      <c r="F1261">
        <v>6</v>
      </c>
      <c r="G1261">
        <v>3</v>
      </c>
      <c r="H1261">
        <v>5</v>
      </c>
      <c r="I1261">
        <v>3</v>
      </c>
      <c r="J1261">
        <v>2017</v>
      </c>
      <c r="K1261">
        <v>6</v>
      </c>
      <c r="L1261" t="s">
        <v>17</v>
      </c>
      <c r="M1261">
        <f>SUM(Pharma_Sales_Data[[#This Row],[M01AB]:[R06]])</f>
        <v>29.66</v>
      </c>
      <c r="N1261" s="2">
        <f>Pharma_Sales_Data[[#This Row],[Total Drug Sales]]*150</f>
        <v>4449</v>
      </c>
      <c r="O1261" s="2">
        <f>Pharma_Sales_Data[[#This Row],[Total Revenue]]*0.3</f>
        <v>1334.7</v>
      </c>
      <c r="P1261" t="str">
        <f>IF(Pharma_Sales_Data[[#This Row],[Total Revenue]]&gt;20000,"High Value", IF(Pharma_Sales_Data[[#This Row],[Total Revenue]]&gt;=10000,"Medium Value","Low Value"))</f>
        <v>Low Value</v>
      </c>
    </row>
    <row r="1262" spans="1:16" x14ac:dyDescent="0.35">
      <c r="A1262" s="1">
        <v>42901</v>
      </c>
      <c r="B1262">
        <v>3</v>
      </c>
      <c r="C1262">
        <v>4.33</v>
      </c>
      <c r="D1262">
        <v>3.15</v>
      </c>
      <c r="E1262">
        <v>15</v>
      </c>
      <c r="F1262">
        <v>10</v>
      </c>
      <c r="G1262">
        <v>0</v>
      </c>
      <c r="H1262">
        <v>5</v>
      </c>
      <c r="I1262">
        <v>6.5</v>
      </c>
      <c r="J1262">
        <v>2017</v>
      </c>
      <c r="K1262">
        <v>6</v>
      </c>
      <c r="L1262" t="s">
        <v>11</v>
      </c>
      <c r="M1262">
        <f>SUM(Pharma_Sales_Data[[#This Row],[M01AB]:[R06]])</f>
        <v>46.980000000000004</v>
      </c>
      <c r="N1262" s="2">
        <f>Pharma_Sales_Data[[#This Row],[Total Drug Sales]]*150</f>
        <v>7047.0000000000009</v>
      </c>
      <c r="O1262" s="2">
        <f>Pharma_Sales_Data[[#This Row],[Total Revenue]]*0.3</f>
        <v>2114.1000000000004</v>
      </c>
      <c r="P1262" t="str">
        <f>IF(Pharma_Sales_Data[[#This Row],[Total Revenue]]&gt;20000,"High Value", IF(Pharma_Sales_Data[[#This Row],[Total Revenue]]&gt;=10000,"Medium Value","Low Value"))</f>
        <v>Low Value</v>
      </c>
    </row>
    <row r="1263" spans="1:16" x14ac:dyDescent="0.35">
      <c r="A1263" s="1">
        <v>42902</v>
      </c>
      <c r="B1263">
        <v>4</v>
      </c>
      <c r="C1263">
        <v>2.0099999999999998</v>
      </c>
      <c r="D1263">
        <v>0</v>
      </c>
      <c r="E1263">
        <v>12.25</v>
      </c>
      <c r="F1263">
        <v>6</v>
      </c>
      <c r="G1263">
        <v>0</v>
      </c>
      <c r="H1263">
        <v>0</v>
      </c>
      <c r="I1263">
        <v>5.44</v>
      </c>
      <c r="J1263">
        <v>2017</v>
      </c>
      <c r="K1263">
        <v>6</v>
      </c>
      <c r="L1263" t="s">
        <v>12</v>
      </c>
      <c r="M1263">
        <f>SUM(Pharma_Sales_Data[[#This Row],[M01AB]:[R06]])</f>
        <v>29.7</v>
      </c>
      <c r="N1263" s="2">
        <f>Pharma_Sales_Data[[#This Row],[Total Drug Sales]]*150</f>
        <v>4455</v>
      </c>
      <c r="O1263" s="2">
        <f>Pharma_Sales_Data[[#This Row],[Total Revenue]]*0.3</f>
        <v>1336.5</v>
      </c>
      <c r="P1263" t="str">
        <f>IF(Pharma_Sales_Data[[#This Row],[Total Revenue]]&gt;20000,"High Value", IF(Pharma_Sales_Data[[#This Row],[Total Revenue]]&gt;=10000,"Medium Value","Low Value"))</f>
        <v>Low Value</v>
      </c>
    </row>
    <row r="1264" spans="1:16" x14ac:dyDescent="0.35">
      <c r="A1264" s="1">
        <v>42903</v>
      </c>
      <c r="B1264">
        <v>2</v>
      </c>
      <c r="C1264">
        <v>8.7260000000000009</v>
      </c>
      <c r="D1264">
        <v>5</v>
      </c>
      <c r="E1264">
        <v>12</v>
      </c>
      <c r="F1264">
        <v>4</v>
      </c>
      <c r="G1264">
        <v>0</v>
      </c>
      <c r="H1264">
        <v>5</v>
      </c>
      <c r="I1264">
        <v>5</v>
      </c>
      <c r="J1264">
        <v>2017</v>
      </c>
      <c r="K1264">
        <v>6</v>
      </c>
      <c r="L1264" t="s">
        <v>13</v>
      </c>
      <c r="M1264">
        <f>SUM(Pharma_Sales_Data[[#This Row],[M01AB]:[R06]])</f>
        <v>41.725999999999999</v>
      </c>
      <c r="N1264" s="2">
        <f>Pharma_Sales_Data[[#This Row],[Total Drug Sales]]*150</f>
        <v>6258.9</v>
      </c>
      <c r="O1264" s="2">
        <f>Pharma_Sales_Data[[#This Row],[Total Revenue]]*0.3</f>
        <v>1877.6699999999998</v>
      </c>
      <c r="P1264" t="str">
        <f>IF(Pharma_Sales_Data[[#This Row],[Total Revenue]]&gt;20000,"High Value", IF(Pharma_Sales_Data[[#This Row],[Total Revenue]]&gt;=10000,"Medium Value","Low Value"))</f>
        <v>Low Value</v>
      </c>
    </row>
    <row r="1265" spans="1:16" x14ac:dyDescent="0.35">
      <c r="A1265" s="1">
        <v>42904</v>
      </c>
      <c r="B1265">
        <v>4</v>
      </c>
      <c r="C1265">
        <v>7.34</v>
      </c>
      <c r="D1265">
        <v>1.1000000000000001</v>
      </c>
      <c r="E1265">
        <v>26.6</v>
      </c>
      <c r="F1265">
        <v>2</v>
      </c>
      <c r="G1265">
        <v>0</v>
      </c>
      <c r="H1265">
        <v>12</v>
      </c>
      <c r="I1265">
        <v>3.33</v>
      </c>
      <c r="J1265">
        <v>2017</v>
      </c>
      <c r="K1265">
        <v>6</v>
      </c>
      <c r="L1265" t="s">
        <v>14</v>
      </c>
      <c r="M1265">
        <f>SUM(Pharma_Sales_Data[[#This Row],[M01AB]:[R06]])</f>
        <v>56.37</v>
      </c>
      <c r="N1265" s="2">
        <f>Pharma_Sales_Data[[#This Row],[Total Drug Sales]]*150</f>
        <v>8455.5</v>
      </c>
      <c r="O1265" s="2">
        <f>Pharma_Sales_Data[[#This Row],[Total Revenue]]*0.3</f>
        <v>2536.65</v>
      </c>
      <c r="P1265" t="str">
        <f>IF(Pharma_Sales_Data[[#This Row],[Total Revenue]]&gt;20000,"High Value", IF(Pharma_Sales_Data[[#This Row],[Total Revenue]]&gt;=10000,"Medium Value","Low Value"))</f>
        <v>Low Value</v>
      </c>
    </row>
    <row r="1266" spans="1:16" x14ac:dyDescent="0.35">
      <c r="A1266" s="1">
        <v>42905</v>
      </c>
      <c r="B1266">
        <v>1.33</v>
      </c>
      <c r="C1266">
        <v>1.98</v>
      </c>
      <c r="D1266">
        <v>1</v>
      </c>
      <c r="E1266">
        <v>18</v>
      </c>
      <c r="F1266">
        <v>1</v>
      </c>
      <c r="G1266">
        <v>1</v>
      </c>
      <c r="H1266">
        <v>8</v>
      </c>
      <c r="I1266">
        <v>3</v>
      </c>
      <c r="J1266">
        <v>2017</v>
      </c>
      <c r="K1266">
        <v>6</v>
      </c>
      <c r="L1266" t="s">
        <v>15</v>
      </c>
      <c r="M1266">
        <f>SUM(Pharma_Sales_Data[[#This Row],[M01AB]:[R06]])</f>
        <v>35.31</v>
      </c>
      <c r="N1266" s="2">
        <f>Pharma_Sales_Data[[#This Row],[Total Drug Sales]]*150</f>
        <v>5296.5</v>
      </c>
      <c r="O1266" s="2">
        <f>Pharma_Sales_Data[[#This Row],[Total Revenue]]*0.3</f>
        <v>1588.95</v>
      </c>
      <c r="P1266" t="str">
        <f>IF(Pharma_Sales_Data[[#This Row],[Total Revenue]]&gt;20000,"High Value", IF(Pharma_Sales_Data[[#This Row],[Total Revenue]]&gt;=10000,"Medium Value","Low Value"))</f>
        <v>Low Value</v>
      </c>
    </row>
    <row r="1267" spans="1:16" x14ac:dyDescent="0.35">
      <c r="A1267" s="1">
        <v>42906</v>
      </c>
      <c r="B1267">
        <v>9.33</v>
      </c>
      <c r="C1267">
        <v>1</v>
      </c>
      <c r="D1267">
        <v>5.0999999999999996</v>
      </c>
      <c r="E1267">
        <v>12</v>
      </c>
      <c r="F1267">
        <v>5</v>
      </c>
      <c r="G1267">
        <v>0</v>
      </c>
      <c r="H1267">
        <v>5</v>
      </c>
      <c r="I1267">
        <v>8.6300000000000008</v>
      </c>
      <c r="J1267">
        <v>2017</v>
      </c>
      <c r="K1267">
        <v>6</v>
      </c>
      <c r="L1267" t="s">
        <v>16</v>
      </c>
      <c r="M1267">
        <f>SUM(Pharma_Sales_Data[[#This Row],[M01AB]:[R06]])</f>
        <v>46.06</v>
      </c>
      <c r="N1267" s="2">
        <f>Pharma_Sales_Data[[#This Row],[Total Drug Sales]]*150</f>
        <v>6909</v>
      </c>
      <c r="O1267" s="2">
        <f>Pharma_Sales_Data[[#This Row],[Total Revenue]]*0.3</f>
        <v>2072.6999999999998</v>
      </c>
      <c r="P1267" t="str">
        <f>IF(Pharma_Sales_Data[[#This Row],[Total Revenue]]&gt;20000,"High Value", IF(Pharma_Sales_Data[[#This Row],[Total Revenue]]&gt;=10000,"Medium Value","Low Value"))</f>
        <v>Low Value</v>
      </c>
    </row>
    <row r="1268" spans="1:16" x14ac:dyDescent="0.35">
      <c r="A1268" s="1">
        <v>42907</v>
      </c>
      <c r="B1268">
        <v>4</v>
      </c>
      <c r="C1268">
        <v>1.33</v>
      </c>
      <c r="D1268">
        <v>2</v>
      </c>
      <c r="E1268">
        <v>21</v>
      </c>
      <c r="F1268">
        <v>4</v>
      </c>
      <c r="G1268">
        <v>0</v>
      </c>
      <c r="H1268">
        <v>2</v>
      </c>
      <c r="I1268">
        <v>5.4</v>
      </c>
      <c r="J1268">
        <v>2017</v>
      </c>
      <c r="K1268">
        <v>6</v>
      </c>
      <c r="L1268" t="s">
        <v>17</v>
      </c>
      <c r="M1268">
        <f>SUM(Pharma_Sales_Data[[#This Row],[M01AB]:[R06]])</f>
        <v>39.729999999999997</v>
      </c>
      <c r="N1268" s="2">
        <f>Pharma_Sales_Data[[#This Row],[Total Drug Sales]]*150</f>
        <v>5959.4999999999991</v>
      </c>
      <c r="O1268" s="2">
        <f>Pharma_Sales_Data[[#This Row],[Total Revenue]]*0.3</f>
        <v>1787.8499999999997</v>
      </c>
      <c r="P1268" t="str">
        <f>IF(Pharma_Sales_Data[[#This Row],[Total Revenue]]&gt;20000,"High Value", IF(Pharma_Sales_Data[[#This Row],[Total Revenue]]&gt;=10000,"Medium Value","Low Value"))</f>
        <v>Low Value</v>
      </c>
    </row>
    <row r="1269" spans="1:16" x14ac:dyDescent="0.35">
      <c r="A1269" s="1">
        <v>42908</v>
      </c>
      <c r="B1269">
        <v>1</v>
      </c>
      <c r="C1269">
        <v>3.34</v>
      </c>
      <c r="D1269">
        <v>0</v>
      </c>
      <c r="E1269">
        <v>7</v>
      </c>
      <c r="F1269">
        <v>4</v>
      </c>
      <c r="G1269">
        <v>0</v>
      </c>
      <c r="H1269">
        <v>8</v>
      </c>
      <c r="I1269">
        <v>11</v>
      </c>
      <c r="J1269">
        <v>2017</v>
      </c>
      <c r="K1269">
        <v>6</v>
      </c>
      <c r="L1269" t="s">
        <v>11</v>
      </c>
      <c r="M1269">
        <f>SUM(Pharma_Sales_Data[[#This Row],[M01AB]:[R06]])</f>
        <v>34.340000000000003</v>
      </c>
      <c r="N1269" s="2">
        <f>Pharma_Sales_Data[[#This Row],[Total Drug Sales]]*150</f>
        <v>5151.0000000000009</v>
      </c>
      <c r="O1269" s="2">
        <f>Pharma_Sales_Data[[#This Row],[Total Revenue]]*0.3</f>
        <v>1545.3000000000002</v>
      </c>
      <c r="P1269" t="str">
        <f>IF(Pharma_Sales_Data[[#This Row],[Total Revenue]]&gt;20000,"High Value", IF(Pharma_Sales_Data[[#This Row],[Total Revenue]]&gt;=10000,"Medium Value","Low Value"))</f>
        <v>Low Value</v>
      </c>
    </row>
    <row r="1270" spans="1:16" x14ac:dyDescent="0.35">
      <c r="A1270" s="1">
        <v>42909</v>
      </c>
      <c r="B1270">
        <v>1</v>
      </c>
      <c r="C1270">
        <v>1.34</v>
      </c>
      <c r="D1270">
        <v>2</v>
      </c>
      <c r="E1270">
        <v>16</v>
      </c>
      <c r="F1270">
        <v>5</v>
      </c>
      <c r="G1270">
        <v>0</v>
      </c>
      <c r="H1270">
        <v>0</v>
      </c>
      <c r="I1270">
        <v>1.2</v>
      </c>
      <c r="J1270">
        <v>2017</v>
      </c>
      <c r="K1270">
        <v>6</v>
      </c>
      <c r="L1270" t="s">
        <v>12</v>
      </c>
      <c r="M1270">
        <f>SUM(Pharma_Sales_Data[[#This Row],[M01AB]:[R06]])</f>
        <v>26.54</v>
      </c>
      <c r="N1270" s="2">
        <f>Pharma_Sales_Data[[#This Row],[Total Drug Sales]]*150</f>
        <v>3981</v>
      </c>
      <c r="O1270" s="2">
        <f>Pharma_Sales_Data[[#This Row],[Total Revenue]]*0.3</f>
        <v>1194.3</v>
      </c>
      <c r="P1270" t="str">
        <f>IF(Pharma_Sales_Data[[#This Row],[Total Revenue]]&gt;20000,"High Value", IF(Pharma_Sales_Data[[#This Row],[Total Revenue]]&gt;=10000,"Medium Value","Low Value"))</f>
        <v>Low Value</v>
      </c>
    </row>
    <row r="1271" spans="1:16" x14ac:dyDescent="0.35">
      <c r="A1271" s="1">
        <v>42910</v>
      </c>
      <c r="B1271">
        <v>5</v>
      </c>
      <c r="C1271">
        <v>3.65</v>
      </c>
      <c r="D1271">
        <v>6</v>
      </c>
      <c r="E1271">
        <v>32</v>
      </c>
      <c r="F1271">
        <v>8</v>
      </c>
      <c r="G1271">
        <v>1</v>
      </c>
      <c r="H1271">
        <v>0</v>
      </c>
      <c r="I1271">
        <v>1</v>
      </c>
      <c r="J1271">
        <v>2017</v>
      </c>
      <c r="K1271">
        <v>6</v>
      </c>
      <c r="L1271" t="s">
        <v>13</v>
      </c>
      <c r="M1271">
        <f>SUM(Pharma_Sales_Data[[#This Row],[M01AB]:[R06]])</f>
        <v>56.65</v>
      </c>
      <c r="N1271" s="2">
        <f>Pharma_Sales_Data[[#This Row],[Total Drug Sales]]*150</f>
        <v>8497.5</v>
      </c>
      <c r="O1271" s="2">
        <f>Pharma_Sales_Data[[#This Row],[Total Revenue]]*0.3</f>
        <v>2549.25</v>
      </c>
      <c r="P1271" t="str">
        <f>IF(Pharma_Sales_Data[[#This Row],[Total Revenue]]&gt;20000,"High Value", IF(Pharma_Sales_Data[[#This Row],[Total Revenue]]&gt;=10000,"Medium Value","Low Value"))</f>
        <v>Low Value</v>
      </c>
    </row>
    <row r="1272" spans="1:16" x14ac:dyDescent="0.35">
      <c r="A1272" s="1">
        <v>42911</v>
      </c>
      <c r="B1272">
        <v>6.5</v>
      </c>
      <c r="C1272">
        <v>2.34</v>
      </c>
      <c r="D1272">
        <v>6</v>
      </c>
      <c r="E1272">
        <v>22</v>
      </c>
      <c r="F1272">
        <v>4</v>
      </c>
      <c r="G1272">
        <v>0</v>
      </c>
      <c r="H1272">
        <v>0</v>
      </c>
      <c r="I1272">
        <v>4.5999999999999996</v>
      </c>
      <c r="J1272">
        <v>2017</v>
      </c>
      <c r="K1272">
        <v>6</v>
      </c>
      <c r="L1272" t="s">
        <v>14</v>
      </c>
      <c r="M1272">
        <f>SUM(Pharma_Sales_Data[[#This Row],[M01AB]:[R06]])</f>
        <v>45.440000000000005</v>
      </c>
      <c r="N1272" s="2">
        <f>Pharma_Sales_Data[[#This Row],[Total Drug Sales]]*150</f>
        <v>6816.0000000000009</v>
      </c>
      <c r="O1272" s="2">
        <f>Pharma_Sales_Data[[#This Row],[Total Revenue]]*0.3</f>
        <v>2044.8000000000002</v>
      </c>
      <c r="P1272" t="str">
        <f>IF(Pharma_Sales_Data[[#This Row],[Total Revenue]]&gt;20000,"High Value", IF(Pharma_Sales_Data[[#This Row],[Total Revenue]]&gt;=10000,"Medium Value","Low Value"))</f>
        <v>Low Value</v>
      </c>
    </row>
    <row r="1273" spans="1:16" x14ac:dyDescent="0.35">
      <c r="A1273" s="1">
        <v>42912</v>
      </c>
      <c r="B1273">
        <v>7.68</v>
      </c>
      <c r="C1273">
        <v>3.0329999999999999</v>
      </c>
      <c r="D1273">
        <v>6.25</v>
      </c>
      <c r="E1273">
        <v>10</v>
      </c>
      <c r="F1273">
        <v>11</v>
      </c>
      <c r="G1273">
        <v>0</v>
      </c>
      <c r="H1273">
        <v>0</v>
      </c>
      <c r="I1273">
        <v>3</v>
      </c>
      <c r="J1273">
        <v>2017</v>
      </c>
      <c r="K1273">
        <v>6</v>
      </c>
      <c r="L1273" t="s">
        <v>15</v>
      </c>
      <c r="M1273">
        <f>SUM(Pharma_Sales_Data[[#This Row],[M01AB]:[R06]])</f>
        <v>40.963000000000001</v>
      </c>
      <c r="N1273" s="2">
        <f>Pharma_Sales_Data[[#This Row],[Total Drug Sales]]*150</f>
        <v>6144.45</v>
      </c>
      <c r="O1273" s="2">
        <f>Pharma_Sales_Data[[#This Row],[Total Revenue]]*0.3</f>
        <v>1843.3349999999998</v>
      </c>
      <c r="P1273" t="str">
        <f>IF(Pharma_Sales_Data[[#This Row],[Total Revenue]]&gt;20000,"High Value", IF(Pharma_Sales_Data[[#This Row],[Total Revenue]]&gt;=10000,"Medium Value","Low Value"))</f>
        <v>Low Value</v>
      </c>
    </row>
    <row r="1274" spans="1:16" x14ac:dyDescent="0.35">
      <c r="A1274" s="1">
        <v>42913</v>
      </c>
      <c r="B1274">
        <v>4</v>
      </c>
      <c r="C1274">
        <v>3.32</v>
      </c>
      <c r="D1274">
        <v>6</v>
      </c>
      <c r="E1274">
        <v>13.5</v>
      </c>
      <c r="F1274">
        <v>9</v>
      </c>
      <c r="G1274">
        <v>0</v>
      </c>
      <c r="H1274">
        <v>3</v>
      </c>
      <c r="I1274">
        <v>6</v>
      </c>
      <c r="J1274">
        <v>2017</v>
      </c>
      <c r="K1274">
        <v>6</v>
      </c>
      <c r="L1274" t="s">
        <v>16</v>
      </c>
      <c r="M1274">
        <f>SUM(Pharma_Sales_Data[[#This Row],[M01AB]:[R06]])</f>
        <v>44.82</v>
      </c>
      <c r="N1274" s="2">
        <f>Pharma_Sales_Data[[#This Row],[Total Drug Sales]]*150</f>
        <v>6723</v>
      </c>
      <c r="O1274" s="2">
        <f>Pharma_Sales_Data[[#This Row],[Total Revenue]]*0.3</f>
        <v>2016.8999999999999</v>
      </c>
      <c r="P1274" t="str">
        <f>IF(Pharma_Sales_Data[[#This Row],[Total Revenue]]&gt;20000,"High Value", IF(Pharma_Sales_Data[[#This Row],[Total Revenue]]&gt;=10000,"Medium Value","Low Value"))</f>
        <v>Low Value</v>
      </c>
    </row>
    <row r="1275" spans="1:16" x14ac:dyDescent="0.35">
      <c r="A1275" s="1">
        <v>42914</v>
      </c>
      <c r="B1275">
        <v>4</v>
      </c>
      <c r="C1275">
        <v>4.0330000000000004</v>
      </c>
      <c r="D1275">
        <v>4.5</v>
      </c>
      <c r="E1275">
        <v>18</v>
      </c>
      <c r="F1275">
        <v>7</v>
      </c>
      <c r="G1275">
        <v>0</v>
      </c>
      <c r="H1275">
        <v>5</v>
      </c>
      <c r="I1275">
        <v>3</v>
      </c>
      <c r="J1275">
        <v>2017</v>
      </c>
      <c r="K1275">
        <v>6</v>
      </c>
      <c r="L1275" t="s">
        <v>17</v>
      </c>
      <c r="M1275">
        <f>SUM(Pharma_Sales_Data[[#This Row],[M01AB]:[R06]])</f>
        <v>45.533000000000001</v>
      </c>
      <c r="N1275" s="2">
        <f>Pharma_Sales_Data[[#This Row],[Total Drug Sales]]*150</f>
        <v>6829.95</v>
      </c>
      <c r="O1275" s="2">
        <f>Pharma_Sales_Data[[#This Row],[Total Revenue]]*0.3</f>
        <v>2048.9849999999997</v>
      </c>
      <c r="P1275" t="str">
        <f>IF(Pharma_Sales_Data[[#This Row],[Total Revenue]]&gt;20000,"High Value", IF(Pharma_Sales_Data[[#This Row],[Total Revenue]]&gt;=10000,"Medium Value","Low Value"))</f>
        <v>Low Value</v>
      </c>
    </row>
    <row r="1276" spans="1:16" x14ac:dyDescent="0.35">
      <c r="A1276" s="1">
        <v>42915</v>
      </c>
      <c r="B1276">
        <v>4</v>
      </c>
      <c r="C1276">
        <v>3.67</v>
      </c>
      <c r="D1276">
        <v>6</v>
      </c>
      <c r="E1276">
        <v>17</v>
      </c>
      <c r="F1276">
        <v>1</v>
      </c>
      <c r="G1276">
        <v>0</v>
      </c>
      <c r="H1276">
        <v>21</v>
      </c>
      <c r="I1276">
        <v>5</v>
      </c>
      <c r="J1276">
        <v>2017</v>
      </c>
      <c r="K1276">
        <v>6</v>
      </c>
      <c r="L1276" t="s">
        <v>11</v>
      </c>
      <c r="M1276">
        <f>SUM(Pharma_Sales_Data[[#This Row],[M01AB]:[R06]])</f>
        <v>57.67</v>
      </c>
      <c r="N1276" s="2">
        <f>Pharma_Sales_Data[[#This Row],[Total Drug Sales]]*150</f>
        <v>8650.5</v>
      </c>
      <c r="O1276" s="2">
        <f>Pharma_Sales_Data[[#This Row],[Total Revenue]]*0.3</f>
        <v>2595.15</v>
      </c>
      <c r="P1276" t="str">
        <f>IF(Pharma_Sales_Data[[#This Row],[Total Revenue]]&gt;20000,"High Value", IF(Pharma_Sales_Data[[#This Row],[Total Revenue]]&gt;=10000,"Medium Value","Low Value"))</f>
        <v>Low Value</v>
      </c>
    </row>
    <row r="1277" spans="1:16" x14ac:dyDescent="0.35">
      <c r="A1277" s="1">
        <v>42916</v>
      </c>
      <c r="B1277">
        <v>6.67</v>
      </c>
      <c r="C1277">
        <v>2.1320000000000001</v>
      </c>
      <c r="D1277">
        <v>2</v>
      </c>
      <c r="E1277">
        <v>18</v>
      </c>
      <c r="F1277">
        <v>2</v>
      </c>
      <c r="G1277">
        <v>0</v>
      </c>
      <c r="H1277">
        <v>0</v>
      </c>
      <c r="I1277">
        <v>6</v>
      </c>
      <c r="J1277">
        <v>2017</v>
      </c>
      <c r="K1277">
        <v>6</v>
      </c>
      <c r="L1277" t="s">
        <v>12</v>
      </c>
      <c r="M1277">
        <f>SUM(Pharma_Sales_Data[[#This Row],[M01AB]:[R06]])</f>
        <v>36.802</v>
      </c>
      <c r="N1277" s="2">
        <f>Pharma_Sales_Data[[#This Row],[Total Drug Sales]]*150</f>
        <v>5520.3</v>
      </c>
      <c r="O1277" s="2">
        <f>Pharma_Sales_Data[[#This Row],[Total Revenue]]*0.3</f>
        <v>1656.09</v>
      </c>
      <c r="P1277" t="str">
        <f>IF(Pharma_Sales_Data[[#This Row],[Total Revenue]]&gt;20000,"High Value", IF(Pharma_Sales_Data[[#This Row],[Total Revenue]]&gt;=10000,"Medium Value","Low Value"))</f>
        <v>Low Value</v>
      </c>
    </row>
    <row r="1278" spans="1:16" x14ac:dyDescent="0.35">
      <c r="A1278" s="1">
        <v>42917</v>
      </c>
      <c r="B1278">
        <v>3.33</v>
      </c>
      <c r="C1278">
        <v>2.33</v>
      </c>
      <c r="D1278">
        <v>1</v>
      </c>
      <c r="E1278">
        <v>10</v>
      </c>
      <c r="F1278">
        <v>5</v>
      </c>
      <c r="G1278">
        <v>0</v>
      </c>
      <c r="H1278">
        <v>10</v>
      </c>
      <c r="I1278">
        <v>4</v>
      </c>
      <c r="J1278">
        <v>2017</v>
      </c>
      <c r="K1278">
        <v>7</v>
      </c>
      <c r="L1278" t="s">
        <v>13</v>
      </c>
      <c r="M1278">
        <f>SUM(Pharma_Sales_Data[[#This Row],[M01AB]:[R06]])</f>
        <v>35.659999999999997</v>
      </c>
      <c r="N1278" s="2">
        <f>Pharma_Sales_Data[[#This Row],[Total Drug Sales]]*150</f>
        <v>5348.9999999999991</v>
      </c>
      <c r="O1278" s="2">
        <f>Pharma_Sales_Data[[#This Row],[Total Revenue]]*0.3</f>
        <v>1604.6999999999996</v>
      </c>
      <c r="P1278" t="str">
        <f>IF(Pharma_Sales_Data[[#This Row],[Total Revenue]]&gt;20000,"High Value", IF(Pharma_Sales_Data[[#This Row],[Total Revenue]]&gt;=10000,"Medium Value","Low Value"))</f>
        <v>Low Value</v>
      </c>
    </row>
    <row r="1279" spans="1:16" x14ac:dyDescent="0.35">
      <c r="A1279" s="1">
        <v>42918</v>
      </c>
      <c r="B1279">
        <v>5</v>
      </c>
      <c r="C1279">
        <v>3.68</v>
      </c>
      <c r="D1279">
        <v>2</v>
      </c>
      <c r="E1279">
        <v>9</v>
      </c>
      <c r="F1279">
        <v>6</v>
      </c>
      <c r="G1279">
        <v>0</v>
      </c>
      <c r="H1279">
        <v>0</v>
      </c>
      <c r="I1279">
        <v>4</v>
      </c>
      <c r="J1279">
        <v>2017</v>
      </c>
      <c r="K1279">
        <v>7</v>
      </c>
      <c r="L1279" t="s">
        <v>14</v>
      </c>
      <c r="M1279">
        <f>SUM(Pharma_Sales_Data[[#This Row],[M01AB]:[R06]])</f>
        <v>29.68</v>
      </c>
      <c r="N1279" s="2">
        <f>Pharma_Sales_Data[[#This Row],[Total Drug Sales]]*150</f>
        <v>4452</v>
      </c>
      <c r="O1279" s="2">
        <f>Pharma_Sales_Data[[#This Row],[Total Revenue]]*0.3</f>
        <v>1335.6</v>
      </c>
      <c r="P1279" t="str">
        <f>IF(Pharma_Sales_Data[[#This Row],[Total Revenue]]&gt;20000,"High Value", IF(Pharma_Sales_Data[[#This Row],[Total Revenue]]&gt;=10000,"Medium Value","Low Value"))</f>
        <v>Low Value</v>
      </c>
    </row>
    <row r="1280" spans="1:16" x14ac:dyDescent="0.35">
      <c r="A1280" s="1">
        <v>42919</v>
      </c>
      <c r="B1280">
        <v>3.67</v>
      </c>
      <c r="C1280">
        <v>0</v>
      </c>
      <c r="D1280">
        <v>1.5</v>
      </c>
      <c r="E1280">
        <v>8</v>
      </c>
      <c r="F1280">
        <v>11</v>
      </c>
      <c r="G1280">
        <v>0</v>
      </c>
      <c r="H1280">
        <v>11</v>
      </c>
      <c r="I1280">
        <v>0</v>
      </c>
      <c r="J1280">
        <v>2017</v>
      </c>
      <c r="K1280">
        <v>7</v>
      </c>
      <c r="L1280" t="s">
        <v>15</v>
      </c>
      <c r="M1280">
        <f>SUM(Pharma_Sales_Data[[#This Row],[M01AB]:[R06]])</f>
        <v>35.17</v>
      </c>
      <c r="N1280" s="2">
        <f>Pharma_Sales_Data[[#This Row],[Total Drug Sales]]*150</f>
        <v>5275.5</v>
      </c>
      <c r="O1280" s="2">
        <f>Pharma_Sales_Data[[#This Row],[Total Revenue]]*0.3</f>
        <v>1582.6499999999999</v>
      </c>
      <c r="P1280" t="str">
        <f>IF(Pharma_Sales_Data[[#This Row],[Total Revenue]]&gt;20000,"High Value", IF(Pharma_Sales_Data[[#This Row],[Total Revenue]]&gt;=10000,"Medium Value","Low Value"))</f>
        <v>Low Value</v>
      </c>
    </row>
    <row r="1281" spans="1:16" x14ac:dyDescent="0.35">
      <c r="A1281" s="1">
        <v>42920</v>
      </c>
      <c r="B1281">
        <v>10.67</v>
      </c>
      <c r="C1281">
        <v>2.34</v>
      </c>
      <c r="D1281">
        <v>5</v>
      </c>
      <c r="E1281">
        <v>18</v>
      </c>
      <c r="F1281">
        <v>7</v>
      </c>
      <c r="G1281">
        <v>0</v>
      </c>
      <c r="H1281">
        <v>0</v>
      </c>
      <c r="I1281">
        <v>6</v>
      </c>
      <c r="J1281">
        <v>2017</v>
      </c>
      <c r="K1281">
        <v>7</v>
      </c>
      <c r="L1281" t="s">
        <v>16</v>
      </c>
      <c r="M1281">
        <f>SUM(Pharma_Sales_Data[[#This Row],[M01AB]:[R06]])</f>
        <v>49.01</v>
      </c>
      <c r="N1281" s="2">
        <f>Pharma_Sales_Data[[#This Row],[Total Drug Sales]]*150</f>
        <v>7351.5</v>
      </c>
      <c r="O1281" s="2">
        <f>Pharma_Sales_Data[[#This Row],[Total Revenue]]*0.3</f>
        <v>2205.4499999999998</v>
      </c>
      <c r="P1281" t="str">
        <f>IF(Pharma_Sales_Data[[#This Row],[Total Revenue]]&gt;20000,"High Value", IF(Pharma_Sales_Data[[#This Row],[Total Revenue]]&gt;=10000,"Medium Value","Low Value"))</f>
        <v>Low Value</v>
      </c>
    </row>
    <row r="1282" spans="1:16" x14ac:dyDescent="0.35">
      <c r="A1282" s="1">
        <v>42921</v>
      </c>
      <c r="B1282">
        <v>4.5</v>
      </c>
      <c r="C1282">
        <v>1.66</v>
      </c>
      <c r="D1282">
        <v>2</v>
      </c>
      <c r="E1282">
        <v>16</v>
      </c>
      <c r="F1282">
        <v>20</v>
      </c>
      <c r="G1282">
        <v>0</v>
      </c>
      <c r="H1282">
        <v>22</v>
      </c>
      <c r="I1282">
        <v>6</v>
      </c>
      <c r="J1282">
        <v>2017</v>
      </c>
      <c r="K1282">
        <v>7</v>
      </c>
      <c r="L1282" t="s">
        <v>17</v>
      </c>
      <c r="M1282">
        <f>SUM(Pharma_Sales_Data[[#This Row],[M01AB]:[R06]])</f>
        <v>72.16</v>
      </c>
      <c r="N1282" s="2">
        <f>Pharma_Sales_Data[[#This Row],[Total Drug Sales]]*150</f>
        <v>10824</v>
      </c>
      <c r="O1282" s="2">
        <f>Pharma_Sales_Data[[#This Row],[Total Revenue]]*0.3</f>
        <v>3247.2</v>
      </c>
      <c r="P1282" t="str">
        <f>IF(Pharma_Sales_Data[[#This Row],[Total Revenue]]&gt;20000,"High Value", IF(Pharma_Sales_Data[[#This Row],[Total Revenue]]&gt;=10000,"Medium Value","Low Value"))</f>
        <v>Medium Value</v>
      </c>
    </row>
    <row r="1283" spans="1:16" x14ac:dyDescent="0.35">
      <c r="A1283" s="1">
        <v>42922</v>
      </c>
      <c r="B1283">
        <v>4.33</v>
      </c>
      <c r="C1283">
        <v>7</v>
      </c>
      <c r="D1283">
        <v>4</v>
      </c>
      <c r="E1283">
        <v>20.6</v>
      </c>
      <c r="F1283">
        <v>3</v>
      </c>
      <c r="G1283">
        <v>1</v>
      </c>
      <c r="H1283">
        <v>1</v>
      </c>
      <c r="I1283">
        <v>1</v>
      </c>
      <c r="J1283">
        <v>2017</v>
      </c>
      <c r="K1283">
        <v>7</v>
      </c>
      <c r="L1283" t="s">
        <v>11</v>
      </c>
      <c r="M1283">
        <f>SUM(Pharma_Sales_Data[[#This Row],[M01AB]:[R06]])</f>
        <v>41.93</v>
      </c>
      <c r="N1283" s="2">
        <f>Pharma_Sales_Data[[#This Row],[Total Drug Sales]]*150</f>
        <v>6289.5</v>
      </c>
      <c r="O1283" s="2">
        <f>Pharma_Sales_Data[[#This Row],[Total Revenue]]*0.3</f>
        <v>1886.85</v>
      </c>
      <c r="P1283" t="str">
        <f>IF(Pharma_Sales_Data[[#This Row],[Total Revenue]]&gt;20000,"High Value", IF(Pharma_Sales_Data[[#This Row],[Total Revenue]]&gt;=10000,"Medium Value","Low Value"))</f>
        <v>Low Value</v>
      </c>
    </row>
    <row r="1284" spans="1:16" x14ac:dyDescent="0.35">
      <c r="A1284" s="1">
        <v>42923</v>
      </c>
      <c r="B1284">
        <v>5</v>
      </c>
      <c r="C1284">
        <v>2</v>
      </c>
      <c r="D1284">
        <v>4.0999999999999996</v>
      </c>
      <c r="E1284">
        <v>17</v>
      </c>
      <c r="F1284">
        <v>6</v>
      </c>
      <c r="G1284">
        <v>0</v>
      </c>
      <c r="H1284">
        <v>1</v>
      </c>
      <c r="I1284">
        <v>0</v>
      </c>
      <c r="J1284">
        <v>2017</v>
      </c>
      <c r="K1284">
        <v>7</v>
      </c>
      <c r="L1284" t="s">
        <v>12</v>
      </c>
      <c r="M1284">
        <f>SUM(Pharma_Sales_Data[[#This Row],[M01AB]:[R06]])</f>
        <v>35.1</v>
      </c>
      <c r="N1284" s="2">
        <f>Pharma_Sales_Data[[#This Row],[Total Drug Sales]]*150</f>
        <v>5265</v>
      </c>
      <c r="O1284" s="2">
        <f>Pharma_Sales_Data[[#This Row],[Total Revenue]]*0.3</f>
        <v>1579.5</v>
      </c>
      <c r="P1284" t="str">
        <f>IF(Pharma_Sales_Data[[#This Row],[Total Revenue]]&gt;20000,"High Value", IF(Pharma_Sales_Data[[#This Row],[Total Revenue]]&gt;=10000,"Medium Value","Low Value"))</f>
        <v>Low Value</v>
      </c>
    </row>
    <row r="1285" spans="1:16" x14ac:dyDescent="0.35">
      <c r="A1285" s="1">
        <v>42924</v>
      </c>
      <c r="B1285">
        <v>4.99</v>
      </c>
      <c r="C1285">
        <v>4.0890000000000004</v>
      </c>
      <c r="D1285">
        <v>5</v>
      </c>
      <c r="E1285">
        <v>16</v>
      </c>
      <c r="F1285">
        <v>12</v>
      </c>
      <c r="G1285">
        <v>0</v>
      </c>
      <c r="H1285">
        <v>1</v>
      </c>
      <c r="I1285">
        <v>3</v>
      </c>
      <c r="J1285">
        <v>2017</v>
      </c>
      <c r="K1285">
        <v>7</v>
      </c>
      <c r="L1285" t="s">
        <v>13</v>
      </c>
      <c r="M1285">
        <f>SUM(Pharma_Sales_Data[[#This Row],[M01AB]:[R06]])</f>
        <v>46.079000000000001</v>
      </c>
      <c r="N1285" s="2">
        <f>Pharma_Sales_Data[[#This Row],[Total Drug Sales]]*150</f>
        <v>6911.85</v>
      </c>
      <c r="O1285" s="2">
        <f>Pharma_Sales_Data[[#This Row],[Total Revenue]]*0.3</f>
        <v>2073.5549999999998</v>
      </c>
      <c r="P1285" t="str">
        <f>IF(Pharma_Sales_Data[[#This Row],[Total Revenue]]&gt;20000,"High Value", IF(Pharma_Sales_Data[[#This Row],[Total Revenue]]&gt;=10000,"Medium Value","Low Value"))</f>
        <v>Low Value</v>
      </c>
    </row>
    <row r="1286" spans="1:16" x14ac:dyDescent="0.35">
      <c r="A1286" s="1">
        <v>42925</v>
      </c>
      <c r="B1286">
        <v>2.33</v>
      </c>
      <c r="C1286">
        <v>7.16</v>
      </c>
      <c r="D1286">
        <v>0.5</v>
      </c>
      <c r="E1286">
        <v>15</v>
      </c>
      <c r="F1286">
        <v>4</v>
      </c>
      <c r="G1286">
        <v>0</v>
      </c>
      <c r="H1286">
        <v>1</v>
      </c>
      <c r="I1286">
        <v>4</v>
      </c>
      <c r="J1286">
        <v>2017</v>
      </c>
      <c r="K1286">
        <v>7</v>
      </c>
      <c r="L1286" t="s">
        <v>14</v>
      </c>
      <c r="M1286">
        <f>SUM(Pharma_Sales_Data[[#This Row],[M01AB]:[R06]])</f>
        <v>33.99</v>
      </c>
      <c r="N1286" s="2">
        <f>Pharma_Sales_Data[[#This Row],[Total Drug Sales]]*150</f>
        <v>5098.5</v>
      </c>
      <c r="O1286" s="2">
        <f>Pharma_Sales_Data[[#This Row],[Total Revenue]]*0.3</f>
        <v>1529.55</v>
      </c>
      <c r="P1286" t="str">
        <f>IF(Pharma_Sales_Data[[#This Row],[Total Revenue]]&gt;20000,"High Value", IF(Pharma_Sales_Data[[#This Row],[Total Revenue]]&gt;=10000,"Medium Value","Low Value"))</f>
        <v>Low Value</v>
      </c>
    </row>
    <row r="1287" spans="1:16" x14ac:dyDescent="0.35">
      <c r="A1287" s="1">
        <v>42926</v>
      </c>
      <c r="B1287">
        <v>2</v>
      </c>
      <c r="C1287">
        <v>4.3529999999999998</v>
      </c>
      <c r="D1287">
        <v>4</v>
      </c>
      <c r="E1287">
        <v>12</v>
      </c>
      <c r="F1287">
        <v>5</v>
      </c>
      <c r="G1287">
        <v>2</v>
      </c>
      <c r="H1287">
        <v>7</v>
      </c>
      <c r="I1287">
        <v>3</v>
      </c>
      <c r="J1287">
        <v>2017</v>
      </c>
      <c r="K1287">
        <v>7</v>
      </c>
      <c r="L1287" t="s">
        <v>15</v>
      </c>
      <c r="M1287">
        <f>SUM(Pharma_Sales_Data[[#This Row],[M01AB]:[R06]])</f>
        <v>39.353000000000002</v>
      </c>
      <c r="N1287" s="2">
        <f>Pharma_Sales_Data[[#This Row],[Total Drug Sales]]*150</f>
        <v>5902.95</v>
      </c>
      <c r="O1287" s="2">
        <f>Pharma_Sales_Data[[#This Row],[Total Revenue]]*0.3</f>
        <v>1770.885</v>
      </c>
      <c r="P1287" t="str">
        <f>IF(Pharma_Sales_Data[[#This Row],[Total Revenue]]&gt;20000,"High Value", IF(Pharma_Sales_Data[[#This Row],[Total Revenue]]&gt;=10000,"Medium Value","Low Value"))</f>
        <v>Low Value</v>
      </c>
    </row>
    <row r="1288" spans="1:16" x14ac:dyDescent="0.35">
      <c r="A1288" s="1">
        <v>42927</v>
      </c>
      <c r="B1288">
        <v>3.34</v>
      </c>
      <c r="C1288">
        <v>0.68</v>
      </c>
      <c r="D1288">
        <v>0</v>
      </c>
      <c r="E1288">
        <v>18</v>
      </c>
      <c r="F1288">
        <v>2</v>
      </c>
      <c r="G1288">
        <v>0</v>
      </c>
      <c r="H1288">
        <v>7</v>
      </c>
      <c r="I1288">
        <v>2</v>
      </c>
      <c r="J1288">
        <v>2017</v>
      </c>
      <c r="K1288">
        <v>7</v>
      </c>
      <c r="L1288" t="s">
        <v>16</v>
      </c>
      <c r="M1288">
        <f>SUM(Pharma_Sales_Data[[#This Row],[M01AB]:[R06]])</f>
        <v>33.019999999999996</v>
      </c>
      <c r="N1288" s="2">
        <f>Pharma_Sales_Data[[#This Row],[Total Drug Sales]]*150</f>
        <v>4952.9999999999991</v>
      </c>
      <c r="O1288" s="2">
        <f>Pharma_Sales_Data[[#This Row],[Total Revenue]]*0.3</f>
        <v>1485.8999999999996</v>
      </c>
      <c r="P1288" t="str">
        <f>IF(Pharma_Sales_Data[[#This Row],[Total Revenue]]&gt;20000,"High Value", IF(Pharma_Sales_Data[[#This Row],[Total Revenue]]&gt;=10000,"Medium Value","Low Value"))</f>
        <v>Low Value</v>
      </c>
    </row>
    <row r="1289" spans="1:16" x14ac:dyDescent="0.35">
      <c r="A1289" s="1">
        <v>42928</v>
      </c>
      <c r="B1289">
        <v>2</v>
      </c>
      <c r="C1289">
        <v>5.34</v>
      </c>
      <c r="D1289">
        <v>0</v>
      </c>
      <c r="E1289">
        <v>15.4</v>
      </c>
      <c r="F1289">
        <v>12</v>
      </c>
      <c r="G1289">
        <v>0</v>
      </c>
      <c r="H1289">
        <v>3</v>
      </c>
      <c r="I1289">
        <v>0</v>
      </c>
      <c r="J1289">
        <v>2017</v>
      </c>
      <c r="K1289">
        <v>7</v>
      </c>
      <c r="L1289" t="s">
        <v>17</v>
      </c>
      <c r="M1289">
        <f>SUM(Pharma_Sales_Data[[#This Row],[M01AB]:[R06]])</f>
        <v>37.74</v>
      </c>
      <c r="N1289" s="2">
        <f>Pharma_Sales_Data[[#This Row],[Total Drug Sales]]*150</f>
        <v>5661</v>
      </c>
      <c r="O1289" s="2">
        <f>Pharma_Sales_Data[[#This Row],[Total Revenue]]*0.3</f>
        <v>1698.3</v>
      </c>
      <c r="P1289" t="str">
        <f>IF(Pharma_Sales_Data[[#This Row],[Total Revenue]]&gt;20000,"High Value", IF(Pharma_Sales_Data[[#This Row],[Total Revenue]]&gt;=10000,"Medium Value","Low Value"))</f>
        <v>Low Value</v>
      </c>
    </row>
    <row r="1290" spans="1:16" x14ac:dyDescent="0.35">
      <c r="A1290" s="1">
        <v>42929</v>
      </c>
      <c r="B1290">
        <v>3.33</v>
      </c>
      <c r="C1290">
        <v>3.34</v>
      </c>
      <c r="D1290">
        <v>2.15</v>
      </c>
      <c r="E1290">
        <v>9.6</v>
      </c>
      <c r="F1290">
        <v>5</v>
      </c>
      <c r="G1290">
        <v>3</v>
      </c>
      <c r="H1290">
        <v>3</v>
      </c>
      <c r="I1290">
        <v>2</v>
      </c>
      <c r="J1290">
        <v>2017</v>
      </c>
      <c r="K1290">
        <v>7</v>
      </c>
      <c r="L1290" t="s">
        <v>11</v>
      </c>
      <c r="M1290">
        <f>SUM(Pharma_Sales_Data[[#This Row],[M01AB]:[R06]])</f>
        <v>31.42</v>
      </c>
      <c r="N1290" s="2">
        <f>Pharma_Sales_Data[[#This Row],[Total Drug Sales]]*150</f>
        <v>4713</v>
      </c>
      <c r="O1290" s="2">
        <f>Pharma_Sales_Data[[#This Row],[Total Revenue]]*0.3</f>
        <v>1413.8999999999999</v>
      </c>
      <c r="P1290" t="str">
        <f>IF(Pharma_Sales_Data[[#This Row],[Total Revenue]]&gt;20000,"High Value", IF(Pharma_Sales_Data[[#This Row],[Total Revenue]]&gt;=10000,"Medium Value","Low Value"))</f>
        <v>Low Value</v>
      </c>
    </row>
    <row r="1291" spans="1:16" x14ac:dyDescent="0.35">
      <c r="A1291" s="1">
        <v>42930</v>
      </c>
      <c r="B1291">
        <v>2.33</v>
      </c>
      <c r="C1291">
        <v>3.7589999999999999</v>
      </c>
      <c r="D1291">
        <v>2</v>
      </c>
      <c r="E1291">
        <v>16</v>
      </c>
      <c r="F1291">
        <v>8</v>
      </c>
      <c r="G1291">
        <v>0</v>
      </c>
      <c r="H1291">
        <v>5</v>
      </c>
      <c r="I1291">
        <v>3</v>
      </c>
      <c r="J1291">
        <v>2017</v>
      </c>
      <c r="K1291">
        <v>7</v>
      </c>
      <c r="L1291" t="s">
        <v>12</v>
      </c>
      <c r="M1291">
        <f>SUM(Pharma_Sales_Data[[#This Row],[M01AB]:[R06]])</f>
        <v>40.088999999999999</v>
      </c>
      <c r="N1291" s="2">
        <f>Pharma_Sales_Data[[#This Row],[Total Drug Sales]]*150</f>
        <v>6013.3499999999995</v>
      </c>
      <c r="O1291" s="2">
        <f>Pharma_Sales_Data[[#This Row],[Total Revenue]]*0.3</f>
        <v>1804.0049999999999</v>
      </c>
      <c r="P1291" t="str">
        <f>IF(Pharma_Sales_Data[[#This Row],[Total Revenue]]&gt;20000,"High Value", IF(Pharma_Sales_Data[[#This Row],[Total Revenue]]&gt;=10000,"Medium Value","Low Value"))</f>
        <v>Low Value</v>
      </c>
    </row>
    <row r="1292" spans="1:16" x14ac:dyDescent="0.35">
      <c r="A1292" s="1">
        <v>42931</v>
      </c>
      <c r="B1292">
        <v>3.33</v>
      </c>
      <c r="C1292">
        <v>9.34</v>
      </c>
      <c r="D1292">
        <v>3</v>
      </c>
      <c r="E1292">
        <v>21</v>
      </c>
      <c r="F1292">
        <v>3</v>
      </c>
      <c r="G1292">
        <v>0</v>
      </c>
      <c r="H1292">
        <v>0</v>
      </c>
      <c r="I1292">
        <v>2</v>
      </c>
      <c r="J1292">
        <v>2017</v>
      </c>
      <c r="K1292">
        <v>7</v>
      </c>
      <c r="L1292" t="s">
        <v>13</v>
      </c>
      <c r="M1292">
        <f>SUM(Pharma_Sales_Data[[#This Row],[M01AB]:[R06]])</f>
        <v>41.67</v>
      </c>
      <c r="N1292" s="2">
        <f>Pharma_Sales_Data[[#This Row],[Total Drug Sales]]*150</f>
        <v>6250.5</v>
      </c>
      <c r="O1292" s="2">
        <f>Pharma_Sales_Data[[#This Row],[Total Revenue]]*0.3</f>
        <v>1875.1499999999999</v>
      </c>
      <c r="P1292" t="str">
        <f>IF(Pharma_Sales_Data[[#This Row],[Total Revenue]]&gt;20000,"High Value", IF(Pharma_Sales_Data[[#This Row],[Total Revenue]]&gt;=10000,"Medium Value","Low Value"))</f>
        <v>Low Value</v>
      </c>
    </row>
    <row r="1293" spans="1:16" x14ac:dyDescent="0.35">
      <c r="A1293" s="1">
        <v>42932</v>
      </c>
      <c r="B1293">
        <v>11.34</v>
      </c>
      <c r="C1293">
        <v>9.34</v>
      </c>
      <c r="D1293">
        <v>3</v>
      </c>
      <c r="E1293">
        <v>19</v>
      </c>
      <c r="F1293">
        <v>6</v>
      </c>
      <c r="G1293">
        <v>0</v>
      </c>
      <c r="H1293">
        <v>0</v>
      </c>
      <c r="I1293">
        <v>1</v>
      </c>
      <c r="J1293">
        <v>2017</v>
      </c>
      <c r="K1293">
        <v>7</v>
      </c>
      <c r="L1293" t="s">
        <v>14</v>
      </c>
      <c r="M1293">
        <f>SUM(Pharma_Sales_Data[[#This Row],[M01AB]:[R06]])</f>
        <v>49.68</v>
      </c>
      <c r="N1293" s="2">
        <f>Pharma_Sales_Data[[#This Row],[Total Drug Sales]]*150</f>
        <v>7452</v>
      </c>
      <c r="O1293" s="2">
        <f>Pharma_Sales_Data[[#This Row],[Total Revenue]]*0.3</f>
        <v>2235.6</v>
      </c>
      <c r="P1293" t="str">
        <f>IF(Pharma_Sales_Data[[#This Row],[Total Revenue]]&gt;20000,"High Value", IF(Pharma_Sales_Data[[#This Row],[Total Revenue]]&gt;=10000,"Medium Value","Low Value"))</f>
        <v>Low Value</v>
      </c>
    </row>
    <row r="1294" spans="1:16" x14ac:dyDescent="0.35">
      <c r="A1294" s="1">
        <v>42933</v>
      </c>
      <c r="B1294">
        <v>9</v>
      </c>
      <c r="C1294">
        <v>4.7469999999999999</v>
      </c>
      <c r="D1294">
        <v>3</v>
      </c>
      <c r="E1294">
        <v>16.399999999999999</v>
      </c>
      <c r="F1294">
        <v>6</v>
      </c>
      <c r="G1294">
        <v>2</v>
      </c>
      <c r="H1294">
        <v>4</v>
      </c>
      <c r="I1294">
        <v>3</v>
      </c>
      <c r="J1294">
        <v>2017</v>
      </c>
      <c r="K1294">
        <v>7</v>
      </c>
      <c r="L1294" t="s">
        <v>15</v>
      </c>
      <c r="M1294">
        <f>SUM(Pharma_Sales_Data[[#This Row],[M01AB]:[R06]])</f>
        <v>48.146999999999998</v>
      </c>
      <c r="N1294" s="2">
        <f>Pharma_Sales_Data[[#This Row],[Total Drug Sales]]*150</f>
        <v>7222.05</v>
      </c>
      <c r="O1294" s="2">
        <f>Pharma_Sales_Data[[#This Row],[Total Revenue]]*0.3</f>
        <v>2166.6149999999998</v>
      </c>
      <c r="P1294" t="str">
        <f>IF(Pharma_Sales_Data[[#This Row],[Total Revenue]]&gt;20000,"High Value", IF(Pharma_Sales_Data[[#This Row],[Total Revenue]]&gt;=10000,"Medium Value","Low Value"))</f>
        <v>Low Value</v>
      </c>
    </row>
    <row r="1295" spans="1:16" x14ac:dyDescent="0.35">
      <c r="A1295" s="1">
        <v>42934</v>
      </c>
      <c r="B1295">
        <v>9.67</v>
      </c>
      <c r="C1295">
        <v>5.67</v>
      </c>
      <c r="D1295">
        <v>1.5</v>
      </c>
      <c r="E1295">
        <v>14</v>
      </c>
      <c r="F1295">
        <v>8</v>
      </c>
      <c r="G1295">
        <v>0</v>
      </c>
      <c r="H1295">
        <v>20</v>
      </c>
      <c r="I1295">
        <v>4</v>
      </c>
      <c r="J1295">
        <v>2017</v>
      </c>
      <c r="K1295">
        <v>7</v>
      </c>
      <c r="L1295" t="s">
        <v>16</v>
      </c>
      <c r="M1295">
        <f>SUM(Pharma_Sales_Data[[#This Row],[M01AB]:[R06]])</f>
        <v>62.84</v>
      </c>
      <c r="N1295" s="2">
        <f>Pharma_Sales_Data[[#This Row],[Total Drug Sales]]*150</f>
        <v>9426</v>
      </c>
      <c r="O1295" s="2">
        <f>Pharma_Sales_Data[[#This Row],[Total Revenue]]*0.3</f>
        <v>2827.7999999999997</v>
      </c>
      <c r="P1295" t="str">
        <f>IF(Pharma_Sales_Data[[#This Row],[Total Revenue]]&gt;20000,"High Value", IF(Pharma_Sales_Data[[#This Row],[Total Revenue]]&gt;=10000,"Medium Value","Low Value"))</f>
        <v>Low Value</v>
      </c>
    </row>
    <row r="1296" spans="1:16" x14ac:dyDescent="0.35">
      <c r="A1296" s="1">
        <v>42935</v>
      </c>
      <c r="B1296">
        <v>6.33</v>
      </c>
      <c r="C1296">
        <v>3.66</v>
      </c>
      <c r="D1296">
        <v>4</v>
      </c>
      <c r="E1296">
        <v>20.6</v>
      </c>
      <c r="F1296">
        <v>6</v>
      </c>
      <c r="G1296">
        <v>3</v>
      </c>
      <c r="H1296">
        <v>1</v>
      </c>
      <c r="I1296">
        <v>6</v>
      </c>
      <c r="J1296">
        <v>2017</v>
      </c>
      <c r="K1296">
        <v>7</v>
      </c>
      <c r="L1296" t="s">
        <v>17</v>
      </c>
      <c r="M1296">
        <f>SUM(Pharma_Sales_Data[[#This Row],[M01AB]:[R06]])</f>
        <v>50.59</v>
      </c>
      <c r="N1296" s="2">
        <f>Pharma_Sales_Data[[#This Row],[Total Drug Sales]]*150</f>
        <v>7588.5000000000009</v>
      </c>
      <c r="O1296" s="2">
        <f>Pharma_Sales_Data[[#This Row],[Total Revenue]]*0.3</f>
        <v>2276.5500000000002</v>
      </c>
      <c r="P1296" t="str">
        <f>IF(Pharma_Sales_Data[[#This Row],[Total Revenue]]&gt;20000,"High Value", IF(Pharma_Sales_Data[[#This Row],[Total Revenue]]&gt;=10000,"Medium Value","Low Value"))</f>
        <v>Low Value</v>
      </c>
    </row>
    <row r="1297" spans="1:16" x14ac:dyDescent="0.35">
      <c r="A1297" s="1">
        <v>42936</v>
      </c>
      <c r="B1297">
        <v>5</v>
      </c>
      <c r="C1297">
        <v>4</v>
      </c>
      <c r="D1297">
        <v>3</v>
      </c>
      <c r="E1297">
        <v>18</v>
      </c>
      <c r="F1297">
        <v>11</v>
      </c>
      <c r="G1297">
        <v>2</v>
      </c>
      <c r="H1297">
        <v>2</v>
      </c>
      <c r="I1297">
        <v>2</v>
      </c>
      <c r="J1297">
        <v>2017</v>
      </c>
      <c r="K1297">
        <v>7</v>
      </c>
      <c r="L1297" t="s">
        <v>11</v>
      </c>
      <c r="M1297">
        <f>SUM(Pharma_Sales_Data[[#This Row],[M01AB]:[R06]])</f>
        <v>47</v>
      </c>
      <c r="N1297" s="2">
        <f>Pharma_Sales_Data[[#This Row],[Total Drug Sales]]*150</f>
        <v>7050</v>
      </c>
      <c r="O1297" s="2">
        <f>Pharma_Sales_Data[[#This Row],[Total Revenue]]*0.3</f>
        <v>2115</v>
      </c>
      <c r="P1297" t="str">
        <f>IF(Pharma_Sales_Data[[#This Row],[Total Revenue]]&gt;20000,"High Value", IF(Pharma_Sales_Data[[#This Row],[Total Revenue]]&gt;=10000,"Medium Value","Low Value"))</f>
        <v>Low Value</v>
      </c>
    </row>
    <row r="1298" spans="1:16" x14ac:dyDescent="0.35">
      <c r="A1298" s="1">
        <v>42937</v>
      </c>
      <c r="B1298">
        <v>2.33</v>
      </c>
      <c r="C1298">
        <v>1</v>
      </c>
      <c r="D1298">
        <v>3</v>
      </c>
      <c r="E1298">
        <v>14</v>
      </c>
      <c r="F1298">
        <v>5</v>
      </c>
      <c r="G1298">
        <v>0</v>
      </c>
      <c r="H1298">
        <v>0</v>
      </c>
      <c r="I1298">
        <v>3</v>
      </c>
      <c r="J1298">
        <v>2017</v>
      </c>
      <c r="K1298">
        <v>7</v>
      </c>
      <c r="L1298" t="s">
        <v>12</v>
      </c>
      <c r="M1298">
        <f>SUM(Pharma_Sales_Data[[#This Row],[M01AB]:[R06]])</f>
        <v>28.33</v>
      </c>
      <c r="N1298" s="2">
        <f>Pharma_Sales_Data[[#This Row],[Total Drug Sales]]*150</f>
        <v>4249.5</v>
      </c>
      <c r="O1298" s="2">
        <f>Pharma_Sales_Data[[#This Row],[Total Revenue]]*0.3</f>
        <v>1274.8499999999999</v>
      </c>
      <c r="P1298" t="str">
        <f>IF(Pharma_Sales_Data[[#This Row],[Total Revenue]]&gt;20000,"High Value", IF(Pharma_Sales_Data[[#This Row],[Total Revenue]]&gt;=10000,"Medium Value","Low Value"))</f>
        <v>Low Value</v>
      </c>
    </row>
    <row r="1299" spans="1:16" x14ac:dyDescent="0.35">
      <c r="A1299" s="1">
        <v>42938</v>
      </c>
      <c r="B1299">
        <v>3</v>
      </c>
      <c r="C1299">
        <v>5.69</v>
      </c>
      <c r="D1299">
        <v>5</v>
      </c>
      <c r="E1299">
        <v>22</v>
      </c>
      <c r="F1299">
        <v>3</v>
      </c>
      <c r="G1299">
        <v>1</v>
      </c>
      <c r="H1299">
        <v>0</v>
      </c>
      <c r="I1299">
        <v>2</v>
      </c>
      <c r="J1299">
        <v>2017</v>
      </c>
      <c r="K1299">
        <v>7</v>
      </c>
      <c r="L1299" t="s">
        <v>13</v>
      </c>
      <c r="M1299">
        <f>SUM(Pharma_Sales_Data[[#This Row],[M01AB]:[R06]])</f>
        <v>41.69</v>
      </c>
      <c r="N1299" s="2">
        <f>Pharma_Sales_Data[[#This Row],[Total Drug Sales]]*150</f>
        <v>6253.5</v>
      </c>
      <c r="O1299" s="2">
        <f>Pharma_Sales_Data[[#This Row],[Total Revenue]]*0.3</f>
        <v>1876.05</v>
      </c>
      <c r="P1299" t="str">
        <f>IF(Pharma_Sales_Data[[#This Row],[Total Revenue]]&gt;20000,"High Value", IF(Pharma_Sales_Data[[#This Row],[Total Revenue]]&gt;=10000,"Medium Value","Low Value"))</f>
        <v>Low Value</v>
      </c>
    </row>
    <row r="1300" spans="1:16" x14ac:dyDescent="0.35">
      <c r="A1300" s="1">
        <v>42939</v>
      </c>
      <c r="B1300">
        <v>6.5</v>
      </c>
      <c r="C1300">
        <v>2.4289999999999998</v>
      </c>
      <c r="D1300">
        <v>2</v>
      </c>
      <c r="E1300">
        <v>12</v>
      </c>
      <c r="F1300">
        <v>4</v>
      </c>
      <c r="G1300">
        <v>0</v>
      </c>
      <c r="H1300">
        <v>4</v>
      </c>
      <c r="I1300">
        <v>5</v>
      </c>
      <c r="J1300">
        <v>2017</v>
      </c>
      <c r="K1300">
        <v>7</v>
      </c>
      <c r="L1300" t="s">
        <v>14</v>
      </c>
      <c r="M1300">
        <f>SUM(Pharma_Sales_Data[[#This Row],[M01AB]:[R06]])</f>
        <v>35.929000000000002</v>
      </c>
      <c r="N1300" s="2">
        <f>Pharma_Sales_Data[[#This Row],[Total Drug Sales]]*150</f>
        <v>5389.35</v>
      </c>
      <c r="O1300" s="2">
        <f>Pharma_Sales_Data[[#This Row],[Total Revenue]]*0.3</f>
        <v>1616.8050000000001</v>
      </c>
      <c r="P1300" t="str">
        <f>IF(Pharma_Sales_Data[[#This Row],[Total Revenue]]&gt;20000,"High Value", IF(Pharma_Sales_Data[[#This Row],[Total Revenue]]&gt;=10000,"Medium Value","Low Value"))</f>
        <v>Low Value</v>
      </c>
    </row>
    <row r="1301" spans="1:16" x14ac:dyDescent="0.35">
      <c r="A1301" s="1">
        <v>42940</v>
      </c>
      <c r="B1301">
        <v>3.84</v>
      </c>
      <c r="C1301">
        <v>1</v>
      </c>
      <c r="D1301">
        <v>2.1</v>
      </c>
      <c r="E1301">
        <v>15</v>
      </c>
      <c r="F1301">
        <v>6</v>
      </c>
      <c r="G1301">
        <v>0</v>
      </c>
      <c r="H1301">
        <v>0</v>
      </c>
      <c r="I1301">
        <v>3</v>
      </c>
      <c r="J1301">
        <v>2017</v>
      </c>
      <c r="K1301">
        <v>7</v>
      </c>
      <c r="L1301" t="s">
        <v>15</v>
      </c>
      <c r="M1301">
        <f>SUM(Pharma_Sales_Data[[#This Row],[M01AB]:[R06]])</f>
        <v>30.939999999999998</v>
      </c>
      <c r="N1301" s="2">
        <f>Pharma_Sales_Data[[#This Row],[Total Drug Sales]]*150</f>
        <v>4641</v>
      </c>
      <c r="O1301" s="2">
        <f>Pharma_Sales_Data[[#This Row],[Total Revenue]]*0.3</f>
        <v>1392.3</v>
      </c>
      <c r="P1301" t="str">
        <f>IF(Pharma_Sales_Data[[#This Row],[Total Revenue]]&gt;20000,"High Value", IF(Pharma_Sales_Data[[#This Row],[Total Revenue]]&gt;=10000,"Medium Value","Low Value"))</f>
        <v>Low Value</v>
      </c>
    </row>
    <row r="1302" spans="1:16" x14ac:dyDescent="0.35">
      <c r="A1302" s="1">
        <v>42941</v>
      </c>
      <c r="B1302">
        <v>6.34</v>
      </c>
      <c r="C1302">
        <v>2.35</v>
      </c>
      <c r="D1302">
        <v>2</v>
      </c>
      <c r="E1302">
        <v>14</v>
      </c>
      <c r="F1302">
        <v>5</v>
      </c>
      <c r="G1302">
        <v>0</v>
      </c>
      <c r="H1302">
        <v>6</v>
      </c>
      <c r="I1302">
        <v>0.1</v>
      </c>
      <c r="J1302">
        <v>2017</v>
      </c>
      <c r="K1302">
        <v>7</v>
      </c>
      <c r="L1302" t="s">
        <v>16</v>
      </c>
      <c r="M1302">
        <f>SUM(Pharma_Sales_Data[[#This Row],[M01AB]:[R06]])</f>
        <v>35.79</v>
      </c>
      <c r="N1302" s="2">
        <f>Pharma_Sales_Data[[#This Row],[Total Drug Sales]]*150</f>
        <v>5368.5</v>
      </c>
      <c r="O1302" s="2">
        <f>Pharma_Sales_Data[[#This Row],[Total Revenue]]*0.3</f>
        <v>1610.55</v>
      </c>
      <c r="P1302" t="str">
        <f>IF(Pharma_Sales_Data[[#This Row],[Total Revenue]]&gt;20000,"High Value", IF(Pharma_Sales_Data[[#This Row],[Total Revenue]]&gt;=10000,"Medium Value","Low Value"))</f>
        <v>Low Value</v>
      </c>
    </row>
    <row r="1303" spans="1:16" x14ac:dyDescent="0.35">
      <c r="A1303" s="1">
        <v>42942</v>
      </c>
      <c r="B1303">
        <v>3.33</v>
      </c>
      <c r="C1303">
        <v>6.7789999999999999</v>
      </c>
      <c r="D1303">
        <v>3</v>
      </c>
      <c r="E1303">
        <v>15</v>
      </c>
      <c r="F1303">
        <v>11</v>
      </c>
      <c r="G1303">
        <v>1</v>
      </c>
      <c r="H1303">
        <v>1</v>
      </c>
      <c r="I1303">
        <v>1</v>
      </c>
      <c r="J1303">
        <v>2017</v>
      </c>
      <c r="K1303">
        <v>7</v>
      </c>
      <c r="L1303" t="s">
        <v>17</v>
      </c>
      <c r="M1303">
        <f>SUM(Pharma_Sales_Data[[#This Row],[M01AB]:[R06]])</f>
        <v>42.109000000000002</v>
      </c>
      <c r="N1303" s="2">
        <f>Pharma_Sales_Data[[#This Row],[Total Drug Sales]]*150</f>
        <v>6316.35</v>
      </c>
      <c r="O1303" s="2">
        <f>Pharma_Sales_Data[[#This Row],[Total Revenue]]*0.3</f>
        <v>1894.905</v>
      </c>
      <c r="P1303" t="str">
        <f>IF(Pharma_Sales_Data[[#This Row],[Total Revenue]]&gt;20000,"High Value", IF(Pharma_Sales_Data[[#This Row],[Total Revenue]]&gt;=10000,"Medium Value","Low Value"))</f>
        <v>Low Value</v>
      </c>
    </row>
    <row r="1304" spans="1:16" x14ac:dyDescent="0.35">
      <c r="A1304" s="1">
        <v>42943</v>
      </c>
      <c r="B1304">
        <v>5</v>
      </c>
      <c r="C1304">
        <v>0.67</v>
      </c>
      <c r="D1304">
        <v>0</v>
      </c>
      <c r="E1304">
        <v>12.4</v>
      </c>
      <c r="F1304">
        <v>8</v>
      </c>
      <c r="G1304">
        <v>0</v>
      </c>
      <c r="H1304">
        <v>0</v>
      </c>
      <c r="I1304">
        <v>1</v>
      </c>
      <c r="J1304">
        <v>2017</v>
      </c>
      <c r="K1304">
        <v>7</v>
      </c>
      <c r="L1304" t="s">
        <v>11</v>
      </c>
      <c r="M1304">
        <f>SUM(Pharma_Sales_Data[[#This Row],[M01AB]:[R06]])</f>
        <v>27.07</v>
      </c>
      <c r="N1304" s="2">
        <f>Pharma_Sales_Data[[#This Row],[Total Drug Sales]]*150</f>
        <v>4060.5</v>
      </c>
      <c r="O1304" s="2">
        <f>Pharma_Sales_Data[[#This Row],[Total Revenue]]*0.3</f>
        <v>1218.1499999999999</v>
      </c>
      <c r="P1304" t="str">
        <f>IF(Pharma_Sales_Data[[#This Row],[Total Revenue]]&gt;20000,"High Value", IF(Pharma_Sales_Data[[#This Row],[Total Revenue]]&gt;=10000,"Medium Value","Low Value"))</f>
        <v>Low Value</v>
      </c>
    </row>
    <row r="1305" spans="1:16" x14ac:dyDescent="0.35">
      <c r="A1305" s="1">
        <v>42944</v>
      </c>
      <c r="B1305">
        <v>4</v>
      </c>
      <c r="C1305">
        <v>5</v>
      </c>
      <c r="D1305">
        <v>1.1000000000000001</v>
      </c>
      <c r="E1305">
        <v>17.2</v>
      </c>
      <c r="F1305">
        <v>10</v>
      </c>
      <c r="G1305">
        <v>0</v>
      </c>
      <c r="H1305">
        <v>0</v>
      </c>
      <c r="I1305">
        <v>3</v>
      </c>
      <c r="J1305">
        <v>2017</v>
      </c>
      <c r="K1305">
        <v>7</v>
      </c>
      <c r="L1305" t="s">
        <v>12</v>
      </c>
      <c r="M1305">
        <f>SUM(Pharma_Sales_Data[[#This Row],[M01AB]:[R06]])</f>
        <v>40.299999999999997</v>
      </c>
      <c r="N1305" s="2">
        <f>Pharma_Sales_Data[[#This Row],[Total Drug Sales]]*150</f>
        <v>6045</v>
      </c>
      <c r="O1305" s="2">
        <f>Pharma_Sales_Data[[#This Row],[Total Revenue]]*0.3</f>
        <v>1813.5</v>
      </c>
      <c r="P1305" t="str">
        <f>IF(Pharma_Sales_Data[[#This Row],[Total Revenue]]&gt;20000,"High Value", IF(Pharma_Sales_Data[[#This Row],[Total Revenue]]&gt;=10000,"Medium Value","Low Value"))</f>
        <v>Low Value</v>
      </c>
    </row>
    <row r="1306" spans="1:16" x14ac:dyDescent="0.35">
      <c r="A1306" s="1">
        <v>42945</v>
      </c>
      <c r="B1306">
        <v>3</v>
      </c>
      <c r="C1306">
        <v>3.33</v>
      </c>
      <c r="D1306">
        <v>2</v>
      </c>
      <c r="E1306">
        <v>14.15</v>
      </c>
      <c r="F1306">
        <v>1</v>
      </c>
      <c r="G1306">
        <v>0</v>
      </c>
      <c r="H1306">
        <v>0</v>
      </c>
      <c r="I1306">
        <v>4</v>
      </c>
      <c r="J1306">
        <v>2017</v>
      </c>
      <c r="K1306">
        <v>7</v>
      </c>
      <c r="L1306" t="s">
        <v>13</v>
      </c>
      <c r="M1306">
        <f>SUM(Pharma_Sales_Data[[#This Row],[M01AB]:[R06]])</f>
        <v>27.48</v>
      </c>
      <c r="N1306" s="2">
        <f>Pharma_Sales_Data[[#This Row],[Total Drug Sales]]*150</f>
        <v>4122</v>
      </c>
      <c r="O1306" s="2">
        <f>Pharma_Sales_Data[[#This Row],[Total Revenue]]*0.3</f>
        <v>1236.5999999999999</v>
      </c>
      <c r="P1306" t="str">
        <f>IF(Pharma_Sales_Data[[#This Row],[Total Revenue]]&gt;20000,"High Value", IF(Pharma_Sales_Data[[#This Row],[Total Revenue]]&gt;=10000,"Medium Value","Low Value"))</f>
        <v>Low Value</v>
      </c>
    </row>
    <row r="1307" spans="1:16" x14ac:dyDescent="0.35">
      <c r="A1307" s="1">
        <v>42946</v>
      </c>
      <c r="B1307">
        <v>4.125</v>
      </c>
      <c r="C1307">
        <v>2.66</v>
      </c>
      <c r="D1307">
        <v>2</v>
      </c>
      <c r="E1307">
        <v>13</v>
      </c>
      <c r="F1307">
        <v>11</v>
      </c>
      <c r="G1307">
        <v>0</v>
      </c>
      <c r="H1307">
        <v>0</v>
      </c>
      <c r="I1307">
        <v>1</v>
      </c>
      <c r="J1307">
        <v>2017</v>
      </c>
      <c r="K1307">
        <v>7</v>
      </c>
      <c r="L1307" t="s">
        <v>14</v>
      </c>
      <c r="M1307">
        <f>SUM(Pharma_Sales_Data[[#This Row],[M01AB]:[R06]])</f>
        <v>33.784999999999997</v>
      </c>
      <c r="N1307" s="2">
        <f>Pharma_Sales_Data[[#This Row],[Total Drug Sales]]*150</f>
        <v>5067.7499999999991</v>
      </c>
      <c r="O1307" s="2">
        <f>Pharma_Sales_Data[[#This Row],[Total Revenue]]*0.3</f>
        <v>1520.3249999999996</v>
      </c>
      <c r="P1307" t="str">
        <f>IF(Pharma_Sales_Data[[#This Row],[Total Revenue]]&gt;20000,"High Value", IF(Pharma_Sales_Data[[#This Row],[Total Revenue]]&gt;=10000,"Medium Value","Low Value"))</f>
        <v>Low Value</v>
      </c>
    </row>
    <row r="1308" spans="1:16" x14ac:dyDescent="0.35">
      <c r="A1308" s="1">
        <v>42947</v>
      </c>
      <c r="B1308">
        <v>7.34</v>
      </c>
      <c r="C1308">
        <v>0.81</v>
      </c>
      <c r="D1308">
        <v>2.25</v>
      </c>
      <c r="E1308">
        <v>21</v>
      </c>
      <c r="F1308">
        <v>9</v>
      </c>
      <c r="G1308">
        <v>0</v>
      </c>
      <c r="H1308">
        <v>5</v>
      </c>
      <c r="I1308">
        <v>2</v>
      </c>
      <c r="J1308">
        <v>2017</v>
      </c>
      <c r="K1308">
        <v>7</v>
      </c>
      <c r="L1308" t="s">
        <v>15</v>
      </c>
      <c r="M1308">
        <f>SUM(Pharma_Sales_Data[[#This Row],[M01AB]:[R06]])</f>
        <v>47.4</v>
      </c>
      <c r="N1308" s="2">
        <f>Pharma_Sales_Data[[#This Row],[Total Drug Sales]]*150</f>
        <v>7110</v>
      </c>
      <c r="O1308" s="2">
        <f>Pharma_Sales_Data[[#This Row],[Total Revenue]]*0.3</f>
        <v>2133</v>
      </c>
      <c r="P1308" t="str">
        <f>IF(Pharma_Sales_Data[[#This Row],[Total Revenue]]&gt;20000,"High Value", IF(Pharma_Sales_Data[[#This Row],[Total Revenue]]&gt;=10000,"Medium Value","Low Value"))</f>
        <v>Low Value</v>
      </c>
    </row>
    <row r="1309" spans="1:16" x14ac:dyDescent="0.35">
      <c r="A1309" s="1">
        <v>42948</v>
      </c>
      <c r="B1309">
        <v>7.33</v>
      </c>
      <c r="C1309">
        <v>3.33</v>
      </c>
      <c r="D1309">
        <v>2</v>
      </c>
      <c r="E1309">
        <v>15.6</v>
      </c>
      <c r="F1309">
        <v>3</v>
      </c>
      <c r="G1309">
        <v>0</v>
      </c>
      <c r="H1309">
        <v>1</v>
      </c>
      <c r="I1309">
        <v>1</v>
      </c>
      <c r="J1309">
        <v>2017</v>
      </c>
      <c r="K1309">
        <v>8</v>
      </c>
      <c r="L1309" t="s">
        <v>16</v>
      </c>
      <c r="M1309">
        <f>SUM(Pharma_Sales_Data[[#This Row],[M01AB]:[R06]])</f>
        <v>33.26</v>
      </c>
      <c r="N1309" s="2">
        <f>Pharma_Sales_Data[[#This Row],[Total Drug Sales]]*150</f>
        <v>4989</v>
      </c>
      <c r="O1309" s="2">
        <f>Pharma_Sales_Data[[#This Row],[Total Revenue]]*0.3</f>
        <v>1496.7</v>
      </c>
      <c r="P1309" t="str">
        <f>IF(Pharma_Sales_Data[[#This Row],[Total Revenue]]&gt;20000,"High Value", IF(Pharma_Sales_Data[[#This Row],[Total Revenue]]&gt;=10000,"Medium Value","Low Value"))</f>
        <v>Low Value</v>
      </c>
    </row>
    <row r="1310" spans="1:16" x14ac:dyDescent="0.35">
      <c r="A1310" s="1">
        <v>42949</v>
      </c>
      <c r="B1310">
        <v>6</v>
      </c>
      <c r="C1310">
        <v>2.66</v>
      </c>
      <c r="D1310">
        <v>1</v>
      </c>
      <c r="E1310">
        <v>25</v>
      </c>
      <c r="F1310">
        <v>2</v>
      </c>
      <c r="G1310">
        <v>0</v>
      </c>
      <c r="H1310">
        <v>1</v>
      </c>
      <c r="I1310">
        <v>4</v>
      </c>
      <c r="J1310">
        <v>2017</v>
      </c>
      <c r="K1310">
        <v>8</v>
      </c>
      <c r="L1310" t="s">
        <v>17</v>
      </c>
      <c r="M1310">
        <f>SUM(Pharma_Sales_Data[[#This Row],[M01AB]:[R06]])</f>
        <v>41.66</v>
      </c>
      <c r="N1310" s="2">
        <f>Pharma_Sales_Data[[#This Row],[Total Drug Sales]]*150</f>
        <v>6248.9999999999991</v>
      </c>
      <c r="O1310" s="2">
        <f>Pharma_Sales_Data[[#This Row],[Total Revenue]]*0.3</f>
        <v>1874.6999999999996</v>
      </c>
      <c r="P1310" t="str">
        <f>IF(Pharma_Sales_Data[[#This Row],[Total Revenue]]&gt;20000,"High Value", IF(Pharma_Sales_Data[[#This Row],[Total Revenue]]&gt;=10000,"Medium Value","Low Value"))</f>
        <v>Low Value</v>
      </c>
    </row>
    <row r="1311" spans="1:16" x14ac:dyDescent="0.35">
      <c r="A1311" s="1">
        <v>42950</v>
      </c>
      <c r="B1311">
        <v>6.33</v>
      </c>
      <c r="C1311">
        <v>0.66</v>
      </c>
      <c r="D1311">
        <v>4</v>
      </c>
      <c r="E1311">
        <v>10</v>
      </c>
      <c r="F1311">
        <v>8</v>
      </c>
      <c r="G1311">
        <v>0</v>
      </c>
      <c r="H1311">
        <v>1</v>
      </c>
      <c r="I1311">
        <v>3</v>
      </c>
      <c r="J1311">
        <v>2017</v>
      </c>
      <c r="K1311">
        <v>8</v>
      </c>
      <c r="L1311" t="s">
        <v>11</v>
      </c>
      <c r="M1311">
        <f>SUM(Pharma_Sales_Data[[#This Row],[M01AB]:[R06]])</f>
        <v>32.99</v>
      </c>
      <c r="N1311" s="2">
        <f>Pharma_Sales_Data[[#This Row],[Total Drug Sales]]*150</f>
        <v>4948.5</v>
      </c>
      <c r="O1311" s="2">
        <f>Pharma_Sales_Data[[#This Row],[Total Revenue]]*0.3</f>
        <v>1484.55</v>
      </c>
      <c r="P1311" t="str">
        <f>IF(Pharma_Sales_Data[[#This Row],[Total Revenue]]&gt;20000,"High Value", IF(Pharma_Sales_Data[[#This Row],[Total Revenue]]&gt;=10000,"Medium Value","Low Value"))</f>
        <v>Low Value</v>
      </c>
    </row>
    <row r="1312" spans="1:16" x14ac:dyDescent="0.35">
      <c r="A1312" s="1">
        <v>42951</v>
      </c>
      <c r="B1312">
        <v>8</v>
      </c>
      <c r="C1312">
        <v>4</v>
      </c>
      <c r="D1312">
        <v>1</v>
      </c>
      <c r="E1312">
        <v>15</v>
      </c>
      <c r="F1312">
        <v>11</v>
      </c>
      <c r="G1312">
        <v>2</v>
      </c>
      <c r="H1312">
        <v>5</v>
      </c>
      <c r="I1312">
        <v>2</v>
      </c>
      <c r="J1312">
        <v>2017</v>
      </c>
      <c r="K1312">
        <v>8</v>
      </c>
      <c r="L1312" t="s">
        <v>12</v>
      </c>
      <c r="M1312">
        <f>SUM(Pharma_Sales_Data[[#This Row],[M01AB]:[R06]])</f>
        <v>48</v>
      </c>
      <c r="N1312" s="2">
        <f>Pharma_Sales_Data[[#This Row],[Total Drug Sales]]*150</f>
        <v>7200</v>
      </c>
      <c r="O1312" s="2">
        <f>Pharma_Sales_Data[[#This Row],[Total Revenue]]*0.3</f>
        <v>2160</v>
      </c>
      <c r="P1312" t="str">
        <f>IF(Pharma_Sales_Data[[#This Row],[Total Revenue]]&gt;20000,"High Value", IF(Pharma_Sales_Data[[#This Row],[Total Revenue]]&gt;=10000,"Medium Value","Low Value"))</f>
        <v>Low Value</v>
      </c>
    </row>
    <row r="1313" spans="1:16" x14ac:dyDescent="0.35">
      <c r="A1313" s="1">
        <v>42952</v>
      </c>
      <c r="B1313">
        <v>4.66</v>
      </c>
      <c r="C1313">
        <v>2.472</v>
      </c>
      <c r="D1313">
        <v>2</v>
      </c>
      <c r="E1313">
        <v>13.311999999999999</v>
      </c>
      <c r="F1313">
        <v>2</v>
      </c>
      <c r="G1313">
        <v>0</v>
      </c>
      <c r="H1313">
        <v>0</v>
      </c>
      <c r="I1313">
        <v>2</v>
      </c>
      <c r="J1313">
        <v>2017</v>
      </c>
      <c r="K1313">
        <v>8</v>
      </c>
      <c r="L1313" t="s">
        <v>13</v>
      </c>
      <c r="M1313">
        <f>SUM(Pharma_Sales_Data[[#This Row],[M01AB]:[R06]])</f>
        <v>26.443999999999999</v>
      </c>
      <c r="N1313" s="2">
        <f>Pharma_Sales_Data[[#This Row],[Total Drug Sales]]*150</f>
        <v>3966.6</v>
      </c>
      <c r="O1313" s="2">
        <f>Pharma_Sales_Data[[#This Row],[Total Revenue]]*0.3</f>
        <v>1189.98</v>
      </c>
      <c r="P1313" t="str">
        <f>IF(Pharma_Sales_Data[[#This Row],[Total Revenue]]&gt;20000,"High Value", IF(Pharma_Sales_Data[[#This Row],[Total Revenue]]&gt;=10000,"Medium Value","Low Value"))</f>
        <v>Low Value</v>
      </c>
    </row>
    <row r="1314" spans="1:16" x14ac:dyDescent="0.35">
      <c r="A1314" s="1">
        <v>42953</v>
      </c>
      <c r="B1314">
        <v>2</v>
      </c>
      <c r="C1314">
        <v>3.4289999999999998</v>
      </c>
      <c r="D1314">
        <v>1</v>
      </c>
      <c r="E1314">
        <v>13</v>
      </c>
      <c r="F1314">
        <v>6</v>
      </c>
      <c r="G1314">
        <v>0</v>
      </c>
      <c r="H1314">
        <v>0</v>
      </c>
      <c r="I1314">
        <v>3</v>
      </c>
      <c r="J1314">
        <v>2017</v>
      </c>
      <c r="K1314">
        <v>8</v>
      </c>
      <c r="L1314" t="s">
        <v>14</v>
      </c>
      <c r="M1314">
        <f>SUM(Pharma_Sales_Data[[#This Row],[M01AB]:[R06]])</f>
        <v>28.429000000000002</v>
      </c>
      <c r="N1314" s="2">
        <f>Pharma_Sales_Data[[#This Row],[Total Drug Sales]]*150</f>
        <v>4264.3500000000004</v>
      </c>
      <c r="O1314" s="2">
        <f>Pharma_Sales_Data[[#This Row],[Total Revenue]]*0.3</f>
        <v>1279.3050000000001</v>
      </c>
      <c r="P1314" t="str">
        <f>IF(Pharma_Sales_Data[[#This Row],[Total Revenue]]&gt;20000,"High Value", IF(Pharma_Sales_Data[[#This Row],[Total Revenue]]&gt;=10000,"Medium Value","Low Value"))</f>
        <v>Low Value</v>
      </c>
    </row>
    <row r="1315" spans="1:16" x14ac:dyDescent="0.35">
      <c r="A1315" s="1">
        <v>42954</v>
      </c>
      <c r="B1315">
        <v>1</v>
      </c>
      <c r="C1315">
        <v>5.34</v>
      </c>
      <c r="D1315">
        <v>3.1</v>
      </c>
      <c r="E1315">
        <v>16</v>
      </c>
      <c r="F1315">
        <v>9</v>
      </c>
      <c r="G1315">
        <v>2</v>
      </c>
      <c r="H1315">
        <v>0</v>
      </c>
      <c r="I1315">
        <v>0</v>
      </c>
      <c r="J1315">
        <v>2017</v>
      </c>
      <c r="K1315">
        <v>8</v>
      </c>
      <c r="L1315" t="s">
        <v>15</v>
      </c>
      <c r="M1315">
        <f>SUM(Pharma_Sales_Data[[#This Row],[M01AB]:[R06]])</f>
        <v>36.44</v>
      </c>
      <c r="N1315" s="2">
        <f>Pharma_Sales_Data[[#This Row],[Total Drug Sales]]*150</f>
        <v>5466</v>
      </c>
      <c r="O1315" s="2">
        <f>Pharma_Sales_Data[[#This Row],[Total Revenue]]*0.3</f>
        <v>1639.8</v>
      </c>
      <c r="P1315" t="str">
        <f>IF(Pharma_Sales_Data[[#This Row],[Total Revenue]]&gt;20000,"High Value", IF(Pharma_Sales_Data[[#This Row],[Total Revenue]]&gt;=10000,"Medium Value","Low Value"))</f>
        <v>Low Value</v>
      </c>
    </row>
    <row r="1316" spans="1:16" x14ac:dyDescent="0.35">
      <c r="A1316" s="1">
        <v>42955</v>
      </c>
      <c r="B1316">
        <v>6</v>
      </c>
      <c r="C1316">
        <v>1.7030000000000001</v>
      </c>
      <c r="D1316">
        <v>2.1</v>
      </c>
      <c r="E1316">
        <v>11.188000000000001</v>
      </c>
      <c r="F1316">
        <v>8</v>
      </c>
      <c r="G1316">
        <v>0</v>
      </c>
      <c r="H1316">
        <v>0</v>
      </c>
      <c r="I1316">
        <v>4.2</v>
      </c>
      <c r="J1316">
        <v>2017</v>
      </c>
      <c r="K1316">
        <v>8</v>
      </c>
      <c r="L1316" t="s">
        <v>16</v>
      </c>
      <c r="M1316">
        <f>SUM(Pharma_Sales_Data[[#This Row],[M01AB]:[R06]])</f>
        <v>33.191000000000003</v>
      </c>
      <c r="N1316" s="2">
        <f>Pharma_Sales_Data[[#This Row],[Total Drug Sales]]*150</f>
        <v>4978.6500000000005</v>
      </c>
      <c r="O1316" s="2">
        <f>Pharma_Sales_Data[[#This Row],[Total Revenue]]*0.3</f>
        <v>1493.595</v>
      </c>
      <c r="P1316" t="str">
        <f>IF(Pharma_Sales_Data[[#This Row],[Total Revenue]]&gt;20000,"High Value", IF(Pharma_Sales_Data[[#This Row],[Total Revenue]]&gt;=10000,"Medium Value","Low Value"))</f>
        <v>Low Value</v>
      </c>
    </row>
    <row r="1317" spans="1:16" x14ac:dyDescent="0.35">
      <c r="A1317" s="1">
        <v>42956</v>
      </c>
      <c r="B1317">
        <v>2.33</v>
      </c>
      <c r="C1317">
        <v>5.0999999999999996</v>
      </c>
      <c r="D1317">
        <v>3.15</v>
      </c>
      <c r="E1317">
        <v>13</v>
      </c>
      <c r="F1317">
        <v>15</v>
      </c>
      <c r="G1317">
        <v>0</v>
      </c>
      <c r="H1317">
        <v>2</v>
      </c>
      <c r="I1317">
        <v>2.2000000000000002</v>
      </c>
      <c r="J1317">
        <v>2017</v>
      </c>
      <c r="K1317">
        <v>8</v>
      </c>
      <c r="L1317" t="s">
        <v>17</v>
      </c>
      <c r="M1317">
        <f>SUM(Pharma_Sales_Data[[#This Row],[M01AB]:[R06]])</f>
        <v>42.78</v>
      </c>
      <c r="N1317" s="2">
        <f>Pharma_Sales_Data[[#This Row],[Total Drug Sales]]*150</f>
        <v>6417</v>
      </c>
      <c r="O1317" s="2">
        <f>Pharma_Sales_Data[[#This Row],[Total Revenue]]*0.3</f>
        <v>1925.1</v>
      </c>
      <c r="P1317" t="str">
        <f>IF(Pharma_Sales_Data[[#This Row],[Total Revenue]]&gt;20000,"High Value", IF(Pharma_Sales_Data[[#This Row],[Total Revenue]]&gt;=10000,"Medium Value","Low Value"))</f>
        <v>Low Value</v>
      </c>
    </row>
    <row r="1318" spans="1:16" x14ac:dyDescent="0.35">
      <c r="A1318" s="1">
        <v>42957</v>
      </c>
      <c r="B1318">
        <v>0</v>
      </c>
      <c r="C1318">
        <v>3.99</v>
      </c>
      <c r="D1318">
        <v>4</v>
      </c>
      <c r="E1318">
        <v>9</v>
      </c>
      <c r="F1318">
        <v>19</v>
      </c>
      <c r="G1318">
        <v>0</v>
      </c>
      <c r="H1318">
        <v>3</v>
      </c>
      <c r="I1318">
        <v>1.1000000000000001</v>
      </c>
      <c r="J1318">
        <v>2017</v>
      </c>
      <c r="K1318">
        <v>8</v>
      </c>
      <c r="L1318" t="s">
        <v>11</v>
      </c>
      <c r="M1318">
        <f>SUM(Pharma_Sales_Data[[#This Row],[M01AB]:[R06]])</f>
        <v>40.090000000000003</v>
      </c>
      <c r="N1318" s="2">
        <f>Pharma_Sales_Data[[#This Row],[Total Drug Sales]]*150</f>
        <v>6013.5000000000009</v>
      </c>
      <c r="O1318" s="2">
        <f>Pharma_Sales_Data[[#This Row],[Total Revenue]]*0.3</f>
        <v>1804.0500000000002</v>
      </c>
      <c r="P1318" t="str">
        <f>IF(Pharma_Sales_Data[[#This Row],[Total Revenue]]&gt;20000,"High Value", IF(Pharma_Sales_Data[[#This Row],[Total Revenue]]&gt;=10000,"Medium Value","Low Value"))</f>
        <v>Low Value</v>
      </c>
    </row>
    <row r="1319" spans="1:16" x14ac:dyDescent="0.35">
      <c r="A1319" s="1">
        <v>42958</v>
      </c>
      <c r="B1319">
        <v>4.33</v>
      </c>
      <c r="C1319">
        <v>1.65</v>
      </c>
      <c r="D1319">
        <v>5.0999999999999996</v>
      </c>
      <c r="E1319">
        <v>8</v>
      </c>
      <c r="F1319">
        <v>6</v>
      </c>
      <c r="G1319">
        <v>3</v>
      </c>
      <c r="H1319">
        <v>0</v>
      </c>
      <c r="I1319">
        <v>0</v>
      </c>
      <c r="J1319">
        <v>2017</v>
      </c>
      <c r="K1319">
        <v>8</v>
      </c>
      <c r="L1319" t="s">
        <v>12</v>
      </c>
      <c r="M1319">
        <f>SUM(Pharma_Sales_Data[[#This Row],[M01AB]:[R06]])</f>
        <v>28.08</v>
      </c>
      <c r="N1319" s="2">
        <f>Pharma_Sales_Data[[#This Row],[Total Drug Sales]]*150</f>
        <v>4212</v>
      </c>
      <c r="O1319" s="2">
        <f>Pharma_Sales_Data[[#This Row],[Total Revenue]]*0.3</f>
        <v>1263.5999999999999</v>
      </c>
      <c r="P1319" t="str">
        <f>IF(Pharma_Sales_Data[[#This Row],[Total Revenue]]&gt;20000,"High Value", IF(Pharma_Sales_Data[[#This Row],[Total Revenue]]&gt;=10000,"Medium Value","Low Value"))</f>
        <v>Low Value</v>
      </c>
    </row>
    <row r="1320" spans="1:16" x14ac:dyDescent="0.35">
      <c r="A1320" s="1">
        <v>42959</v>
      </c>
      <c r="B1320">
        <v>2.69</v>
      </c>
      <c r="C1320">
        <v>4.9390000000000001</v>
      </c>
      <c r="D1320">
        <v>2.5</v>
      </c>
      <c r="E1320">
        <v>22.6</v>
      </c>
      <c r="F1320">
        <v>4</v>
      </c>
      <c r="G1320">
        <v>0</v>
      </c>
      <c r="H1320">
        <v>6</v>
      </c>
      <c r="I1320">
        <v>2</v>
      </c>
      <c r="J1320">
        <v>2017</v>
      </c>
      <c r="K1320">
        <v>8</v>
      </c>
      <c r="L1320" t="s">
        <v>13</v>
      </c>
      <c r="M1320">
        <f>SUM(Pharma_Sales_Data[[#This Row],[M01AB]:[R06]])</f>
        <v>44.728999999999999</v>
      </c>
      <c r="N1320" s="2">
        <f>Pharma_Sales_Data[[#This Row],[Total Drug Sales]]*150</f>
        <v>6709.3499999999995</v>
      </c>
      <c r="O1320" s="2">
        <f>Pharma_Sales_Data[[#This Row],[Total Revenue]]*0.3</f>
        <v>2012.8049999999998</v>
      </c>
      <c r="P1320" t="str">
        <f>IF(Pharma_Sales_Data[[#This Row],[Total Revenue]]&gt;20000,"High Value", IF(Pharma_Sales_Data[[#This Row],[Total Revenue]]&gt;=10000,"Medium Value","Low Value"))</f>
        <v>Low Value</v>
      </c>
    </row>
    <row r="1321" spans="1:16" x14ac:dyDescent="0.35">
      <c r="A1321" s="1">
        <v>42960</v>
      </c>
      <c r="B1321">
        <v>3.66</v>
      </c>
      <c r="C1321">
        <v>3.65</v>
      </c>
      <c r="D1321">
        <v>2.0499999999999998</v>
      </c>
      <c r="E1321">
        <v>24</v>
      </c>
      <c r="F1321">
        <v>5</v>
      </c>
      <c r="G1321">
        <v>0</v>
      </c>
      <c r="H1321">
        <v>1</v>
      </c>
      <c r="I1321">
        <v>1</v>
      </c>
      <c r="J1321">
        <v>2017</v>
      </c>
      <c r="K1321">
        <v>8</v>
      </c>
      <c r="L1321" t="s">
        <v>14</v>
      </c>
      <c r="M1321">
        <f>SUM(Pharma_Sales_Data[[#This Row],[M01AB]:[R06]])</f>
        <v>40.36</v>
      </c>
      <c r="N1321" s="2">
        <f>Pharma_Sales_Data[[#This Row],[Total Drug Sales]]*150</f>
        <v>6054</v>
      </c>
      <c r="O1321" s="2">
        <f>Pharma_Sales_Data[[#This Row],[Total Revenue]]*0.3</f>
        <v>1816.2</v>
      </c>
      <c r="P1321" t="str">
        <f>IF(Pharma_Sales_Data[[#This Row],[Total Revenue]]&gt;20000,"High Value", IF(Pharma_Sales_Data[[#This Row],[Total Revenue]]&gt;=10000,"Medium Value","Low Value"))</f>
        <v>Low Value</v>
      </c>
    </row>
    <row r="1322" spans="1:16" x14ac:dyDescent="0.35">
      <c r="A1322" s="1">
        <v>42961</v>
      </c>
      <c r="B1322">
        <v>11.34</v>
      </c>
      <c r="C1322">
        <v>2.0670000000000002</v>
      </c>
      <c r="D1322">
        <v>4</v>
      </c>
      <c r="E1322">
        <v>13</v>
      </c>
      <c r="F1322">
        <v>4</v>
      </c>
      <c r="G1322">
        <v>0</v>
      </c>
      <c r="H1322">
        <v>0</v>
      </c>
      <c r="I1322">
        <v>2</v>
      </c>
      <c r="J1322">
        <v>2017</v>
      </c>
      <c r="K1322">
        <v>8</v>
      </c>
      <c r="L1322" t="s">
        <v>15</v>
      </c>
      <c r="M1322">
        <f>SUM(Pharma_Sales_Data[[#This Row],[M01AB]:[R06]])</f>
        <v>36.406999999999996</v>
      </c>
      <c r="N1322" s="2">
        <f>Pharma_Sales_Data[[#This Row],[Total Drug Sales]]*150</f>
        <v>5461.0499999999993</v>
      </c>
      <c r="O1322" s="2">
        <f>Pharma_Sales_Data[[#This Row],[Total Revenue]]*0.3</f>
        <v>1638.3149999999998</v>
      </c>
      <c r="P1322" t="str">
        <f>IF(Pharma_Sales_Data[[#This Row],[Total Revenue]]&gt;20000,"High Value", IF(Pharma_Sales_Data[[#This Row],[Total Revenue]]&gt;=10000,"Medium Value","Low Value"))</f>
        <v>Low Value</v>
      </c>
    </row>
    <row r="1323" spans="1:16" x14ac:dyDescent="0.35">
      <c r="A1323" s="1">
        <v>42962</v>
      </c>
      <c r="B1323">
        <v>2.33</v>
      </c>
      <c r="C1323">
        <v>6.7030000000000003</v>
      </c>
      <c r="D1323">
        <v>2.15</v>
      </c>
      <c r="E1323">
        <v>35</v>
      </c>
      <c r="F1323">
        <v>11</v>
      </c>
      <c r="G1323">
        <v>0</v>
      </c>
      <c r="H1323">
        <v>2</v>
      </c>
      <c r="I1323">
        <v>3</v>
      </c>
      <c r="J1323">
        <v>2017</v>
      </c>
      <c r="K1323">
        <v>8</v>
      </c>
      <c r="L1323" t="s">
        <v>16</v>
      </c>
      <c r="M1323">
        <f>SUM(Pharma_Sales_Data[[#This Row],[M01AB]:[R06]])</f>
        <v>62.183</v>
      </c>
      <c r="N1323" s="2">
        <f>Pharma_Sales_Data[[#This Row],[Total Drug Sales]]*150</f>
        <v>9327.4500000000007</v>
      </c>
      <c r="O1323" s="2">
        <f>Pharma_Sales_Data[[#This Row],[Total Revenue]]*0.3</f>
        <v>2798.2350000000001</v>
      </c>
      <c r="P1323" t="str">
        <f>IF(Pharma_Sales_Data[[#This Row],[Total Revenue]]&gt;20000,"High Value", IF(Pharma_Sales_Data[[#This Row],[Total Revenue]]&gt;=10000,"Medium Value","Low Value"))</f>
        <v>Low Value</v>
      </c>
    </row>
    <row r="1324" spans="1:16" x14ac:dyDescent="0.35">
      <c r="A1324" s="1">
        <v>42963</v>
      </c>
      <c r="B1324">
        <v>5.33</v>
      </c>
      <c r="C1324">
        <v>3.67</v>
      </c>
      <c r="D1324">
        <v>1</v>
      </c>
      <c r="E1324">
        <v>10.45</v>
      </c>
      <c r="F1324">
        <v>13</v>
      </c>
      <c r="G1324">
        <v>0</v>
      </c>
      <c r="H1324">
        <v>4</v>
      </c>
      <c r="I1324">
        <v>2</v>
      </c>
      <c r="J1324">
        <v>2017</v>
      </c>
      <c r="K1324">
        <v>8</v>
      </c>
      <c r="L1324" t="s">
        <v>17</v>
      </c>
      <c r="M1324">
        <f>SUM(Pharma_Sales_Data[[#This Row],[M01AB]:[R06]])</f>
        <v>39.450000000000003</v>
      </c>
      <c r="N1324" s="2">
        <f>Pharma_Sales_Data[[#This Row],[Total Drug Sales]]*150</f>
        <v>5917.5</v>
      </c>
      <c r="O1324" s="2">
        <f>Pharma_Sales_Data[[#This Row],[Total Revenue]]*0.3</f>
        <v>1775.25</v>
      </c>
      <c r="P1324" t="str">
        <f>IF(Pharma_Sales_Data[[#This Row],[Total Revenue]]&gt;20000,"High Value", IF(Pharma_Sales_Data[[#This Row],[Total Revenue]]&gt;=10000,"Medium Value","Low Value"))</f>
        <v>Low Value</v>
      </c>
    </row>
    <row r="1325" spans="1:16" x14ac:dyDescent="0.35">
      <c r="A1325" s="1">
        <v>42964</v>
      </c>
      <c r="B1325">
        <v>5.16</v>
      </c>
      <c r="C1325">
        <v>1.33</v>
      </c>
      <c r="D1325">
        <v>5</v>
      </c>
      <c r="E1325">
        <v>12</v>
      </c>
      <c r="F1325">
        <v>8</v>
      </c>
      <c r="G1325">
        <v>0</v>
      </c>
      <c r="H1325">
        <v>1</v>
      </c>
      <c r="I1325">
        <v>1.5</v>
      </c>
      <c r="J1325">
        <v>2017</v>
      </c>
      <c r="K1325">
        <v>8</v>
      </c>
      <c r="L1325" t="s">
        <v>11</v>
      </c>
      <c r="M1325">
        <f>SUM(Pharma_Sales_Data[[#This Row],[M01AB]:[R06]])</f>
        <v>33.99</v>
      </c>
      <c r="N1325" s="2">
        <f>Pharma_Sales_Data[[#This Row],[Total Drug Sales]]*150</f>
        <v>5098.5</v>
      </c>
      <c r="O1325" s="2">
        <f>Pharma_Sales_Data[[#This Row],[Total Revenue]]*0.3</f>
        <v>1529.55</v>
      </c>
      <c r="P1325" t="str">
        <f>IF(Pharma_Sales_Data[[#This Row],[Total Revenue]]&gt;20000,"High Value", IF(Pharma_Sales_Data[[#This Row],[Total Revenue]]&gt;=10000,"Medium Value","Low Value"))</f>
        <v>Low Value</v>
      </c>
    </row>
    <row r="1326" spans="1:16" x14ac:dyDescent="0.35">
      <c r="A1326" s="1">
        <v>42965</v>
      </c>
      <c r="B1326">
        <v>2.33</v>
      </c>
      <c r="C1326">
        <v>3.99</v>
      </c>
      <c r="D1326">
        <v>3</v>
      </c>
      <c r="E1326">
        <v>15</v>
      </c>
      <c r="F1326">
        <v>4</v>
      </c>
      <c r="G1326">
        <v>0</v>
      </c>
      <c r="H1326">
        <v>0</v>
      </c>
      <c r="I1326">
        <v>3</v>
      </c>
      <c r="J1326">
        <v>2017</v>
      </c>
      <c r="K1326">
        <v>8</v>
      </c>
      <c r="L1326" t="s">
        <v>12</v>
      </c>
      <c r="M1326">
        <f>SUM(Pharma_Sales_Data[[#This Row],[M01AB]:[R06]])</f>
        <v>31.32</v>
      </c>
      <c r="N1326" s="2">
        <f>Pharma_Sales_Data[[#This Row],[Total Drug Sales]]*150</f>
        <v>4698</v>
      </c>
      <c r="O1326" s="2">
        <f>Pharma_Sales_Data[[#This Row],[Total Revenue]]*0.3</f>
        <v>1409.3999999999999</v>
      </c>
      <c r="P1326" t="str">
        <f>IF(Pharma_Sales_Data[[#This Row],[Total Revenue]]&gt;20000,"High Value", IF(Pharma_Sales_Data[[#This Row],[Total Revenue]]&gt;=10000,"Medium Value","Low Value"))</f>
        <v>Low Value</v>
      </c>
    </row>
    <row r="1327" spans="1:16" x14ac:dyDescent="0.35">
      <c r="A1327" s="1">
        <v>42966</v>
      </c>
      <c r="B1327">
        <v>5</v>
      </c>
      <c r="C1327">
        <v>4.7130000000000001</v>
      </c>
      <c r="D1327">
        <v>3</v>
      </c>
      <c r="E1327">
        <v>16</v>
      </c>
      <c r="F1327">
        <v>10</v>
      </c>
      <c r="G1327">
        <v>0</v>
      </c>
      <c r="H1327">
        <v>11</v>
      </c>
      <c r="I1327">
        <v>2</v>
      </c>
      <c r="J1327">
        <v>2017</v>
      </c>
      <c r="K1327">
        <v>8</v>
      </c>
      <c r="L1327" t="s">
        <v>13</v>
      </c>
      <c r="M1327">
        <f>SUM(Pharma_Sales_Data[[#This Row],[M01AB]:[R06]])</f>
        <v>51.713000000000001</v>
      </c>
      <c r="N1327" s="2">
        <f>Pharma_Sales_Data[[#This Row],[Total Drug Sales]]*150</f>
        <v>7756.95</v>
      </c>
      <c r="O1327" s="2">
        <f>Pharma_Sales_Data[[#This Row],[Total Revenue]]*0.3</f>
        <v>2327.085</v>
      </c>
      <c r="P1327" t="str">
        <f>IF(Pharma_Sales_Data[[#This Row],[Total Revenue]]&gt;20000,"High Value", IF(Pharma_Sales_Data[[#This Row],[Total Revenue]]&gt;=10000,"Medium Value","Low Value"))</f>
        <v>Low Value</v>
      </c>
    </row>
    <row r="1328" spans="1:16" x14ac:dyDescent="0.35">
      <c r="A1328" s="1">
        <v>42967</v>
      </c>
      <c r="B1328">
        <v>4.33</v>
      </c>
      <c r="C1328">
        <v>2.056</v>
      </c>
      <c r="D1328">
        <v>6</v>
      </c>
      <c r="E1328">
        <v>14.4</v>
      </c>
      <c r="F1328">
        <v>6</v>
      </c>
      <c r="G1328">
        <v>0</v>
      </c>
      <c r="H1328">
        <v>2</v>
      </c>
      <c r="I1328">
        <v>1</v>
      </c>
      <c r="J1328">
        <v>2017</v>
      </c>
      <c r="K1328">
        <v>8</v>
      </c>
      <c r="L1328" t="s">
        <v>14</v>
      </c>
      <c r="M1328">
        <f>SUM(Pharma_Sales_Data[[#This Row],[M01AB]:[R06]])</f>
        <v>35.786000000000001</v>
      </c>
      <c r="N1328" s="2">
        <f>Pharma_Sales_Data[[#This Row],[Total Drug Sales]]*150</f>
        <v>5367.9000000000005</v>
      </c>
      <c r="O1328" s="2">
        <f>Pharma_Sales_Data[[#This Row],[Total Revenue]]*0.3</f>
        <v>1610.3700000000001</v>
      </c>
      <c r="P1328" t="str">
        <f>IF(Pharma_Sales_Data[[#This Row],[Total Revenue]]&gt;20000,"High Value", IF(Pharma_Sales_Data[[#This Row],[Total Revenue]]&gt;=10000,"Medium Value","Low Value"))</f>
        <v>Low Value</v>
      </c>
    </row>
    <row r="1329" spans="1:16" x14ac:dyDescent="0.35">
      <c r="A1329" s="1">
        <v>42968</v>
      </c>
      <c r="B1329">
        <v>9.33</v>
      </c>
      <c r="C1329">
        <v>3.34</v>
      </c>
      <c r="D1329">
        <v>2.4</v>
      </c>
      <c r="E1329">
        <v>19</v>
      </c>
      <c r="F1329">
        <v>4</v>
      </c>
      <c r="G1329">
        <v>0</v>
      </c>
      <c r="H1329">
        <v>0</v>
      </c>
      <c r="I1329">
        <v>0</v>
      </c>
      <c r="J1329">
        <v>2017</v>
      </c>
      <c r="K1329">
        <v>8</v>
      </c>
      <c r="L1329" t="s">
        <v>15</v>
      </c>
      <c r="M1329">
        <f>SUM(Pharma_Sales_Data[[#This Row],[M01AB]:[R06]])</f>
        <v>38.07</v>
      </c>
      <c r="N1329" s="2">
        <f>Pharma_Sales_Data[[#This Row],[Total Drug Sales]]*150</f>
        <v>5710.5</v>
      </c>
      <c r="O1329" s="2">
        <f>Pharma_Sales_Data[[#This Row],[Total Revenue]]*0.3</f>
        <v>1713.1499999999999</v>
      </c>
      <c r="P1329" t="str">
        <f>IF(Pharma_Sales_Data[[#This Row],[Total Revenue]]&gt;20000,"High Value", IF(Pharma_Sales_Data[[#This Row],[Total Revenue]]&gt;=10000,"Medium Value","Low Value"))</f>
        <v>Low Value</v>
      </c>
    </row>
    <row r="1330" spans="1:16" x14ac:dyDescent="0.35">
      <c r="A1330" s="1">
        <v>42969</v>
      </c>
      <c r="B1330">
        <v>6</v>
      </c>
      <c r="C1330">
        <v>1.34</v>
      </c>
      <c r="D1330">
        <v>3.15</v>
      </c>
      <c r="E1330">
        <v>22.2</v>
      </c>
      <c r="F1330">
        <v>3</v>
      </c>
      <c r="G1330">
        <v>0</v>
      </c>
      <c r="H1330">
        <v>0</v>
      </c>
      <c r="I1330">
        <v>2</v>
      </c>
      <c r="J1330">
        <v>2017</v>
      </c>
      <c r="K1330">
        <v>8</v>
      </c>
      <c r="L1330" t="s">
        <v>16</v>
      </c>
      <c r="M1330">
        <f>SUM(Pharma_Sales_Data[[#This Row],[M01AB]:[R06]])</f>
        <v>37.69</v>
      </c>
      <c r="N1330" s="2">
        <f>Pharma_Sales_Data[[#This Row],[Total Drug Sales]]*150</f>
        <v>5653.5</v>
      </c>
      <c r="O1330" s="2">
        <f>Pharma_Sales_Data[[#This Row],[Total Revenue]]*0.3</f>
        <v>1696.05</v>
      </c>
      <c r="P1330" t="str">
        <f>IF(Pharma_Sales_Data[[#This Row],[Total Revenue]]&gt;20000,"High Value", IF(Pharma_Sales_Data[[#This Row],[Total Revenue]]&gt;=10000,"Medium Value","Low Value"))</f>
        <v>Low Value</v>
      </c>
    </row>
    <row r="1331" spans="1:16" x14ac:dyDescent="0.35">
      <c r="A1331" s="1">
        <v>42970</v>
      </c>
      <c r="B1331">
        <v>3.33</v>
      </c>
      <c r="C1331">
        <v>2.33</v>
      </c>
      <c r="D1331">
        <v>2</v>
      </c>
      <c r="E1331">
        <v>42</v>
      </c>
      <c r="F1331">
        <v>8</v>
      </c>
      <c r="G1331">
        <v>0</v>
      </c>
      <c r="H1331">
        <v>9</v>
      </c>
      <c r="I1331">
        <v>3</v>
      </c>
      <c r="J1331">
        <v>2017</v>
      </c>
      <c r="K1331">
        <v>8</v>
      </c>
      <c r="L1331" t="s">
        <v>17</v>
      </c>
      <c r="M1331">
        <f>SUM(Pharma_Sales_Data[[#This Row],[M01AB]:[R06]])</f>
        <v>69.66</v>
      </c>
      <c r="N1331" s="2">
        <f>Pharma_Sales_Data[[#This Row],[Total Drug Sales]]*150</f>
        <v>10449</v>
      </c>
      <c r="O1331" s="2">
        <f>Pharma_Sales_Data[[#This Row],[Total Revenue]]*0.3</f>
        <v>3134.7</v>
      </c>
      <c r="P1331" t="str">
        <f>IF(Pharma_Sales_Data[[#This Row],[Total Revenue]]&gt;20000,"High Value", IF(Pharma_Sales_Data[[#This Row],[Total Revenue]]&gt;=10000,"Medium Value","Low Value"))</f>
        <v>Medium Value</v>
      </c>
    </row>
    <row r="1332" spans="1:16" x14ac:dyDescent="0.35">
      <c r="A1332" s="1">
        <v>42971</v>
      </c>
      <c r="B1332">
        <v>8</v>
      </c>
      <c r="C1332">
        <v>9.0530000000000008</v>
      </c>
      <c r="D1332">
        <v>2</v>
      </c>
      <c r="E1332">
        <v>27</v>
      </c>
      <c r="F1332">
        <v>13</v>
      </c>
      <c r="G1332">
        <v>0</v>
      </c>
      <c r="H1332">
        <v>1</v>
      </c>
      <c r="I1332">
        <v>3</v>
      </c>
      <c r="J1332">
        <v>2017</v>
      </c>
      <c r="K1332">
        <v>8</v>
      </c>
      <c r="L1332" t="s">
        <v>11</v>
      </c>
      <c r="M1332">
        <f>SUM(Pharma_Sales_Data[[#This Row],[M01AB]:[R06]])</f>
        <v>63.052999999999997</v>
      </c>
      <c r="N1332" s="2">
        <f>Pharma_Sales_Data[[#This Row],[Total Drug Sales]]*150</f>
        <v>9457.9499999999989</v>
      </c>
      <c r="O1332" s="2">
        <f>Pharma_Sales_Data[[#This Row],[Total Revenue]]*0.3</f>
        <v>2837.3849999999998</v>
      </c>
      <c r="P1332" t="str">
        <f>IF(Pharma_Sales_Data[[#This Row],[Total Revenue]]&gt;20000,"High Value", IF(Pharma_Sales_Data[[#This Row],[Total Revenue]]&gt;=10000,"Medium Value","Low Value"))</f>
        <v>Low Value</v>
      </c>
    </row>
    <row r="1333" spans="1:16" x14ac:dyDescent="0.35">
      <c r="A1333" s="1">
        <v>42972</v>
      </c>
      <c r="B1333">
        <v>6</v>
      </c>
      <c r="C1333">
        <v>3.01</v>
      </c>
      <c r="D1333">
        <v>1</v>
      </c>
      <c r="E1333">
        <v>20.25</v>
      </c>
      <c r="F1333">
        <v>17</v>
      </c>
      <c r="G1333">
        <v>0</v>
      </c>
      <c r="H1333">
        <v>0</v>
      </c>
      <c r="I1333">
        <v>1</v>
      </c>
      <c r="J1333">
        <v>2017</v>
      </c>
      <c r="K1333">
        <v>8</v>
      </c>
      <c r="L1333" t="s">
        <v>12</v>
      </c>
      <c r="M1333">
        <f>SUM(Pharma_Sales_Data[[#This Row],[M01AB]:[R06]])</f>
        <v>48.26</v>
      </c>
      <c r="N1333" s="2">
        <f>Pharma_Sales_Data[[#This Row],[Total Drug Sales]]*150</f>
        <v>7239</v>
      </c>
      <c r="O1333" s="2">
        <f>Pharma_Sales_Data[[#This Row],[Total Revenue]]*0.3</f>
        <v>2171.6999999999998</v>
      </c>
      <c r="P1333" t="str">
        <f>IF(Pharma_Sales_Data[[#This Row],[Total Revenue]]&gt;20000,"High Value", IF(Pharma_Sales_Data[[#This Row],[Total Revenue]]&gt;=10000,"Medium Value","Low Value"))</f>
        <v>Low Value</v>
      </c>
    </row>
    <row r="1334" spans="1:16" x14ac:dyDescent="0.35">
      <c r="A1334" s="1">
        <v>42973</v>
      </c>
      <c r="B1334">
        <v>4.99</v>
      </c>
      <c r="C1334">
        <v>3.516</v>
      </c>
      <c r="D1334">
        <v>1</v>
      </c>
      <c r="E1334">
        <v>19</v>
      </c>
      <c r="F1334">
        <v>10</v>
      </c>
      <c r="G1334">
        <v>0</v>
      </c>
      <c r="H1334">
        <v>6</v>
      </c>
      <c r="I1334">
        <v>2</v>
      </c>
      <c r="J1334">
        <v>2017</v>
      </c>
      <c r="K1334">
        <v>8</v>
      </c>
      <c r="L1334" t="s">
        <v>13</v>
      </c>
      <c r="M1334">
        <f>SUM(Pharma_Sales_Data[[#This Row],[M01AB]:[R06]])</f>
        <v>46.506</v>
      </c>
      <c r="N1334" s="2">
        <f>Pharma_Sales_Data[[#This Row],[Total Drug Sales]]*150</f>
        <v>6975.9</v>
      </c>
      <c r="O1334" s="2">
        <f>Pharma_Sales_Data[[#This Row],[Total Revenue]]*0.3</f>
        <v>2092.77</v>
      </c>
      <c r="P1334" t="str">
        <f>IF(Pharma_Sales_Data[[#This Row],[Total Revenue]]&gt;20000,"High Value", IF(Pharma_Sales_Data[[#This Row],[Total Revenue]]&gt;=10000,"Medium Value","Low Value"))</f>
        <v>Low Value</v>
      </c>
    </row>
    <row r="1335" spans="1:16" x14ac:dyDescent="0.35">
      <c r="A1335" s="1">
        <v>42974</v>
      </c>
      <c r="B1335">
        <v>3</v>
      </c>
      <c r="C1335">
        <v>5.34</v>
      </c>
      <c r="D1335">
        <v>1</v>
      </c>
      <c r="E1335">
        <v>21.3</v>
      </c>
      <c r="F1335">
        <v>5</v>
      </c>
      <c r="G1335">
        <v>2</v>
      </c>
      <c r="H1335">
        <v>7</v>
      </c>
      <c r="I1335">
        <v>1</v>
      </c>
      <c r="J1335">
        <v>2017</v>
      </c>
      <c r="K1335">
        <v>8</v>
      </c>
      <c r="L1335" t="s">
        <v>14</v>
      </c>
      <c r="M1335">
        <f>SUM(Pharma_Sales_Data[[#This Row],[M01AB]:[R06]])</f>
        <v>45.64</v>
      </c>
      <c r="N1335" s="2">
        <f>Pharma_Sales_Data[[#This Row],[Total Drug Sales]]*150</f>
        <v>6846</v>
      </c>
      <c r="O1335" s="2">
        <f>Pharma_Sales_Data[[#This Row],[Total Revenue]]*0.3</f>
        <v>2053.7999999999997</v>
      </c>
      <c r="P1335" t="str">
        <f>IF(Pharma_Sales_Data[[#This Row],[Total Revenue]]&gt;20000,"High Value", IF(Pharma_Sales_Data[[#This Row],[Total Revenue]]&gt;=10000,"Medium Value","Low Value"))</f>
        <v>Low Value</v>
      </c>
    </row>
    <row r="1336" spans="1:16" x14ac:dyDescent="0.35">
      <c r="A1336" s="1">
        <v>42975</v>
      </c>
      <c r="B1336">
        <v>8</v>
      </c>
      <c r="C1336">
        <v>7</v>
      </c>
      <c r="D1336">
        <v>5</v>
      </c>
      <c r="E1336">
        <v>16</v>
      </c>
      <c r="F1336">
        <v>12</v>
      </c>
      <c r="G1336">
        <v>0</v>
      </c>
      <c r="H1336">
        <v>1</v>
      </c>
      <c r="I1336">
        <v>3</v>
      </c>
      <c r="J1336">
        <v>2017</v>
      </c>
      <c r="K1336">
        <v>8</v>
      </c>
      <c r="L1336" t="s">
        <v>15</v>
      </c>
      <c r="M1336">
        <f>SUM(Pharma_Sales_Data[[#This Row],[M01AB]:[R06]])</f>
        <v>52</v>
      </c>
      <c r="N1336" s="2">
        <f>Pharma_Sales_Data[[#This Row],[Total Drug Sales]]*150</f>
        <v>7800</v>
      </c>
      <c r="O1336" s="2">
        <f>Pharma_Sales_Data[[#This Row],[Total Revenue]]*0.3</f>
        <v>2340</v>
      </c>
      <c r="P1336" t="str">
        <f>IF(Pharma_Sales_Data[[#This Row],[Total Revenue]]&gt;20000,"High Value", IF(Pharma_Sales_Data[[#This Row],[Total Revenue]]&gt;=10000,"Medium Value","Low Value"))</f>
        <v>Low Value</v>
      </c>
    </row>
    <row r="1337" spans="1:16" x14ac:dyDescent="0.35">
      <c r="A1337" s="1">
        <v>42976</v>
      </c>
      <c r="B1337">
        <v>7</v>
      </c>
      <c r="C1337">
        <v>3.0659999999999998</v>
      </c>
      <c r="D1337">
        <v>3.5</v>
      </c>
      <c r="E1337">
        <v>17</v>
      </c>
      <c r="F1337">
        <v>5</v>
      </c>
      <c r="G1337">
        <v>0</v>
      </c>
      <c r="H1337">
        <v>11</v>
      </c>
      <c r="I1337">
        <v>2.1</v>
      </c>
      <c r="J1337">
        <v>2017</v>
      </c>
      <c r="K1337">
        <v>8</v>
      </c>
      <c r="L1337" t="s">
        <v>16</v>
      </c>
      <c r="M1337">
        <f>SUM(Pharma_Sales_Data[[#This Row],[M01AB]:[R06]])</f>
        <v>48.666000000000004</v>
      </c>
      <c r="N1337" s="2">
        <f>Pharma_Sales_Data[[#This Row],[Total Drug Sales]]*150</f>
        <v>7299.9000000000005</v>
      </c>
      <c r="O1337" s="2">
        <f>Pharma_Sales_Data[[#This Row],[Total Revenue]]*0.3</f>
        <v>2189.9700000000003</v>
      </c>
      <c r="P1337" t="str">
        <f>IF(Pharma_Sales_Data[[#This Row],[Total Revenue]]&gt;20000,"High Value", IF(Pharma_Sales_Data[[#This Row],[Total Revenue]]&gt;=10000,"Medium Value","Low Value"))</f>
        <v>Low Value</v>
      </c>
    </row>
    <row r="1338" spans="1:16" x14ac:dyDescent="0.35">
      <c r="A1338" s="1">
        <v>42977</v>
      </c>
      <c r="B1338">
        <v>7.67</v>
      </c>
      <c r="C1338">
        <v>3.99</v>
      </c>
      <c r="D1338">
        <v>3.15</v>
      </c>
      <c r="E1338">
        <v>17</v>
      </c>
      <c r="F1338">
        <v>4</v>
      </c>
      <c r="G1338">
        <v>3</v>
      </c>
      <c r="H1338">
        <v>0</v>
      </c>
      <c r="I1338">
        <v>2</v>
      </c>
      <c r="J1338">
        <v>2017</v>
      </c>
      <c r="K1338">
        <v>8</v>
      </c>
      <c r="L1338" t="s">
        <v>17</v>
      </c>
      <c r="M1338">
        <f>SUM(Pharma_Sales_Data[[#This Row],[M01AB]:[R06]])</f>
        <v>40.81</v>
      </c>
      <c r="N1338" s="2">
        <f>Pharma_Sales_Data[[#This Row],[Total Drug Sales]]*150</f>
        <v>6121.5</v>
      </c>
      <c r="O1338" s="2">
        <f>Pharma_Sales_Data[[#This Row],[Total Revenue]]*0.3</f>
        <v>1836.45</v>
      </c>
      <c r="P1338" t="str">
        <f>IF(Pharma_Sales_Data[[#This Row],[Total Revenue]]&gt;20000,"High Value", IF(Pharma_Sales_Data[[#This Row],[Total Revenue]]&gt;=10000,"Medium Value","Low Value"))</f>
        <v>Low Value</v>
      </c>
    </row>
    <row r="1339" spans="1:16" x14ac:dyDescent="0.35">
      <c r="A1339" s="1">
        <v>42978</v>
      </c>
      <c r="B1339">
        <v>16.68</v>
      </c>
      <c r="C1339">
        <v>3.0329999999999999</v>
      </c>
      <c r="D1339">
        <v>3.05</v>
      </c>
      <c r="E1339">
        <v>17</v>
      </c>
      <c r="F1339">
        <v>4</v>
      </c>
      <c r="G1339">
        <v>0</v>
      </c>
      <c r="H1339">
        <v>0</v>
      </c>
      <c r="I1339">
        <v>1</v>
      </c>
      <c r="J1339">
        <v>2017</v>
      </c>
      <c r="K1339">
        <v>8</v>
      </c>
      <c r="L1339" t="s">
        <v>11</v>
      </c>
      <c r="M1339">
        <f>SUM(Pharma_Sales_Data[[#This Row],[M01AB]:[R06]])</f>
        <v>44.763000000000005</v>
      </c>
      <c r="N1339" s="2">
        <f>Pharma_Sales_Data[[#This Row],[Total Drug Sales]]*150</f>
        <v>6714.4500000000007</v>
      </c>
      <c r="O1339" s="2">
        <f>Pharma_Sales_Data[[#This Row],[Total Revenue]]*0.3</f>
        <v>2014.335</v>
      </c>
      <c r="P1339" t="str">
        <f>IF(Pharma_Sales_Data[[#This Row],[Total Revenue]]&gt;20000,"High Value", IF(Pharma_Sales_Data[[#This Row],[Total Revenue]]&gt;=10000,"Medium Value","Low Value"))</f>
        <v>Low Value</v>
      </c>
    </row>
    <row r="1340" spans="1:16" x14ac:dyDescent="0.35">
      <c r="A1340" s="1">
        <v>42979</v>
      </c>
      <c r="B1340">
        <v>3.34</v>
      </c>
      <c r="C1340">
        <v>3</v>
      </c>
      <c r="D1340">
        <v>5</v>
      </c>
      <c r="E1340">
        <v>20.6</v>
      </c>
      <c r="F1340">
        <v>8</v>
      </c>
      <c r="G1340">
        <v>0</v>
      </c>
      <c r="H1340">
        <v>2</v>
      </c>
      <c r="I1340">
        <v>0</v>
      </c>
      <c r="J1340">
        <v>2017</v>
      </c>
      <c r="K1340">
        <v>9</v>
      </c>
      <c r="L1340" t="s">
        <v>12</v>
      </c>
      <c r="M1340">
        <f>SUM(Pharma_Sales_Data[[#This Row],[M01AB]:[R06]])</f>
        <v>41.94</v>
      </c>
      <c r="N1340" s="2">
        <f>Pharma_Sales_Data[[#This Row],[Total Drug Sales]]*150</f>
        <v>6291</v>
      </c>
      <c r="O1340" s="2">
        <f>Pharma_Sales_Data[[#This Row],[Total Revenue]]*0.3</f>
        <v>1887.3</v>
      </c>
      <c r="P1340" t="str">
        <f>IF(Pharma_Sales_Data[[#This Row],[Total Revenue]]&gt;20000,"High Value", IF(Pharma_Sales_Data[[#This Row],[Total Revenue]]&gt;=10000,"Medium Value","Low Value"))</f>
        <v>Low Value</v>
      </c>
    </row>
    <row r="1341" spans="1:16" x14ac:dyDescent="0.35">
      <c r="A1341" s="1">
        <v>42980</v>
      </c>
      <c r="B1341">
        <v>6.34</v>
      </c>
      <c r="C1341">
        <v>2.13</v>
      </c>
      <c r="D1341">
        <v>6</v>
      </c>
      <c r="E1341">
        <v>18.399999999999999</v>
      </c>
      <c r="F1341">
        <v>8</v>
      </c>
      <c r="G1341">
        <v>0</v>
      </c>
      <c r="H1341">
        <v>1</v>
      </c>
      <c r="I1341">
        <v>3</v>
      </c>
      <c r="J1341">
        <v>2017</v>
      </c>
      <c r="K1341">
        <v>9</v>
      </c>
      <c r="L1341" t="s">
        <v>13</v>
      </c>
      <c r="M1341">
        <f>SUM(Pharma_Sales_Data[[#This Row],[M01AB]:[R06]])</f>
        <v>44.87</v>
      </c>
      <c r="N1341" s="2">
        <f>Pharma_Sales_Data[[#This Row],[Total Drug Sales]]*150</f>
        <v>6730.5</v>
      </c>
      <c r="O1341" s="2">
        <f>Pharma_Sales_Data[[#This Row],[Total Revenue]]*0.3</f>
        <v>2019.1499999999999</v>
      </c>
      <c r="P1341" t="str">
        <f>IF(Pharma_Sales_Data[[#This Row],[Total Revenue]]&gt;20000,"High Value", IF(Pharma_Sales_Data[[#This Row],[Total Revenue]]&gt;=10000,"Medium Value","Low Value"))</f>
        <v>Low Value</v>
      </c>
    </row>
    <row r="1342" spans="1:16" x14ac:dyDescent="0.35">
      <c r="A1342" s="1">
        <v>42981</v>
      </c>
      <c r="B1342">
        <v>6.83</v>
      </c>
      <c r="C1342">
        <v>5.4619999999999997</v>
      </c>
      <c r="D1342">
        <v>2</v>
      </c>
      <c r="E1342">
        <v>18.399999999999999</v>
      </c>
      <c r="F1342">
        <v>7</v>
      </c>
      <c r="G1342">
        <v>0</v>
      </c>
      <c r="H1342">
        <v>1</v>
      </c>
      <c r="I1342">
        <v>3</v>
      </c>
      <c r="J1342">
        <v>2017</v>
      </c>
      <c r="K1342">
        <v>9</v>
      </c>
      <c r="L1342" t="s">
        <v>14</v>
      </c>
      <c r="M1342">
        <f>SUM(Pharma_Sales_Data[[#This Row],[M01AB]:[R06]])</f>
        <v>43.692</v>
      </c>
      <c r="N1342" s="2">
        <f>Pharma_Sales_Data[[#This Row],[Total Drug Sales]]*150</f>
        <v>6553.8</v>
      </c>
      <c r="O1342" s="2">
        <f>Pharma_Sales_Data[[#This Row],[Total Revenue]]*0.3</f>
        <v>1966.1399999999999</v>
      </c>
      <c r="P1342" t="str">
        <f>IF(Pharma_Sales_Data[[#This Row],[Total Revenue]]&gt;20000,"High Value", IF(Pharma_Sales_Data[[#This Row],[Total Revenue]]&gt;=10000,"Medium Value","Low Value"))</f>
        <v>Low Value</v>
      </c>
    </row>
    <row r="1343" spans="1:16" x14ac:dyDescent="0.35">
      <c r="A1343" s="1">
        <v>42982</v>
      </c>
      <c r="B1343">
        <v>6.5</v>
      </c>
      <c r="C1343">
        <v>3.33</v>
      </c>
      <c r="D1343">
        <v>6</v>
      </c>
      <c r="E1343">
        <v>24</v>
      </c>
      <c r="F1343">
        <v>7</v>
      </c>
      <c r="G1343">
        <v>0</v>
      </c>
      <c r="H1343">
        <v>0</v>
      </c>
      <c r="I1343">
        <v>3</v>
      </c>
      <c r="J1343">
        <v>2017</v>
      </c>
      <c r="K1343">
        <v>9</v>
      </c>
      <c r="L1343" t="s">
        <v>15</v>
      </c>
      <c r="M1343">
        <f>SUM(Pharma_Sales_Data[[#This Row],[M01AB]:[R06]])</f>
        <v>49.83</v>
      </c>
      <c r="N1343" s="2">
        <f>Pharma_Sales_Data[[#This Row],[Total Drug Sales]]*150</f>
        <v>7474.5</v>
      </c>
      <c r="O1343" s="2">
        <f>Pharma_Sales_Data[[#This Row],[Total Revenue]]*0.3</f>
        <v>2242.35</v>
      </c>
      <c r="P1343" t="str">
        <f>IF(Pharma_Sales_Data[[#This Row],[Total Revenue]]&gt;20000,"High Value", IF(Pharma_Sales_Data[[#This Row],[Total Revenue]]&gt;=10000,"Medium Value","Low Value"))</f>
        <v>Low Value</v>
      </c>
    </row>
    <row r="1344" spans="1:16" x14ac:dyDescent="0.35">
      <c r="A1344" s="1">
        <v>42983</v>
      </c>
      <c r="B1344">
        <v>6.17</v>
      </c>
      <c r="C1344">
        <v>4.0199999999999996</v>
      </c>
      <c r="D1344">
        <v>4</v>
      </c>
      <c r="E1344">
        <v>19.100000000000001</v>
      </c>
      <c r="F1344">
        <v>7</v>
      </c>
      <c r="G1344">
        <v>1</v>
      </c>
      <c r="H1344">
        <v>2</v>
      </c>
      <c r="I1344">
        <v>1.3</v>
      </c>
      <c r="J1344">
        <v>2017</v>
      </c>
      <c r="K1344">
        <v>9</v>
      </c>
      <c r="L1344" t="s">
        <v>16</v>
      </c>
      <c r="M1344">
        <f>SUM(Pharma_Sales_Data[[#This Row],[M01AB]:[R06]])</f>
        <v>44.589999999999996</v>
      </c>
      <c r="N1344" s="2">
        <f>Pharma_Sales_Data[[#This Row],[Total Drug Sales]]*150</f>
        <v>6688.4999999999991</v>
      </c>
      <c r="O1344" s="2">
        <f>Pharma_Sales_Data[[#This Row],[Total Revenue]]*0.3</f>
        <v>2006.5499999999997</v>
      </c>
      <c r="P1344" t="str">
        <f>IF(Pharma_Sales_Data[[#This Row],[Total Revenue]]&gt;20000,"High Value", IF(Pharma_Sales_Data[[#This Row],[Total Revenue]]&gt;=10000,"Medium Value","Low Value"))</f>
        <v>Low Value</v>
      </c>
    </row>
    <row r="1345" spans="1:16" x14ac:dyDescent="0.35">
      <c r="A1345" s="1">
        <v>42984</v>
      </c>
      <c r="B1345">
        <v>4.33</v>
      </c>
      <c r="C1345">
        <v>3</v>
      </c>
      <c r="D1345">
        <v>5</v>
      </c>
      <c r="E1345">
        <v>32</v>
      </c>
      <c r="F1345">
        <v>6</v>
      </c>
      <c r="G1345">
        <v>0</v>
      </c>
      <c r="H1345">
        <v>3</v>
      </c>
      <c r="I1345">
        <v>3</v>
      </c>
      <c r="J1345">
        <v>2017</v>
      </c>
      <c r="K1345">
        <v>9</v>
      </c>
      <c r="L1345" t="s">
        <v>17</v>
      </c>
      <c r="M1345">
        <f>SUM(Pharma_Sales_Data[[#This Row],[M01AB]:[R06]])</f>
        <v>56.33</v>
      </c>
      <c r="N1345" s="2">
        <f>Pharma_Sales_Data[[#This Row],[Total Drug Sales]]*150</f>
        <v>8449.5</v>
      </c>
      <c r="O1345" s="2">
        <f>Pharma_Sales_Data[[#This Row],[Total Revenue]]*0.3</f>
        <v>2534.85</v>
      </c>
      <c r="P1345" t="str">
        <f>IF(Pharma_Sales_Data[[#This Row],[Total Revenue]]&gt;20000,"High Value", IF(Pharma_Sales_Data[[#This Row],[Total Revenue]]&gt;=10000,"Medium Value","Low Value"))</f>
        <v>Low Value</v>
      </c>
    </row>
    <row r="1346" spans="1:16" x14ac:dyDescent="0.35">
      <c r="A1346" s="1">
        <v>42985</v>
      </c>
      <c r="B1346">
        <v>3</v>
      </c>
      <c r="C1346">
        <v>1</v>
      </c>
      <c r="D1346">
        <v>3.2</v>
      </c>
      <c r="E1346">
        <v>18</v>
      </c>
      <c r="F1346">
        <v>2</v>
      </c>
      <c r="G1346">
        <v>0</v>
      </c>
      <c r="H1346">
        <v>0</v>
      </c>
      <c r="I1346">
        <v>2</v>
      </c>
      <c r="J1346">
        <v>2017</v>
      </c>
      <c r="K1346">
        <v>9</v>
      </c>
      <c r="L1346" t="s">
        <v>11</v>
      </c>
      <c r="M1346">
        <f>SUM(Pharma_Sales_Data[[#This Row],[M01AB]:[R06]])</f>
        <v>29.2</v>
      </c>
      <c r="N1346" s="2">
        <f>Pharma_Sales_Data[[#This Row],[Total Drug Sales]]*150</f>
        <v>4380</v>
      </c>
      <c r="O1346" s="2">
        <f>Pharma_Sales_Data[[#This Row],[Total Revenue]]*0.3</f>
        <v>1314</v>
      </c>
      <c r="P1346" t="str">
        <f>IF(Pharma_Sales_Data[[#This Row],[Total Revenue]]&gt;20000,"High Value", IF(Pharma_Sales_Data[[#This Row],[Total Revenue]]&gt;=10000,"Medium Value","Low Value"))</f>
        <v>Low Value</v>
      </c>
    </row>
    <row r="1347" spans="1:16" x14ac:dyDescent="0.35">
      <c r="A1347" s="1">
        <v>42986</v>
      </c>
      <c r="B1347">
        <v>8.83</v>
      </c>
      <c r="C1347">
        <v>7.32</v>
      </c>
      <c r="D1347">
        <v>3.1</v>
      </c>
      <c r="E1347">
        <v>34</v>
      </c>
      <c r="F1347">
        <v>8</v>
      </c>
      <c r="G1347">
        <v>0</v>
      </c>
      <c r="H1347">
        <v>3</v>
      </c>
      <c r="I1347">
        <v>4</v>
      </c>
      <c r="J1347">
        <v>2017</v>
      </c>
      <c r="K1347">
        <v>9</v>
      </c>
      <c r="L1347" t="s">
        <v>12</v>
      </c>
      <c r="M1347">
        <f>SUM(Pharma_Sales_Data[[#This Row],[M01AB]:[R06]])</f>
        <v>68.25</v>
      </c>
      <c r="N1347" s="2">
        <f>Pharma_Sales_Data[[#This Row],[Total Drug Sales]]*150</f>
        <v>10237.5</v>
      </c>
      <c r="O1347" s="2">
        <f>Pharma_Sales_Data[[#This Row],[Total Revenue]]*0.3</f>
        <v>3071.25</v>
      </c>
      <c r="P1347" t="str">
        <f>IF(Pharma_Sales_Data[[#This Row],[Total Revenue]]&gt;20000,"High Value", IF(Pharma_Sales_Data[[#This Row],[Total Revenue]]&gt;=10000,"Medium Value","Low Value"))</f>
        <v>Medium Value</v>
      </c>
    </row>
    <row r="1348" spans="1:16" x14ac:dyDescent="0.35">
      <c r="A1348" s="1">
        <v>42987</v>
      </c>
      <c r="B1348">
        <v>6</v>
      </c>
      <c r="C1348">
        <v>8.34</v>
      </c>
      <c r="D1348">
        <v>2.5</v>
      </c>
      <c r="E1348">
        <v>20</v>
      </c>
      <c r="F1348">
        <v>7</v>
      </c>
      <c r="G1348">
        <v>0</v>
      </c>
      <c r="H1348">
        <v>0</v>
      </c>
      <c r="I1348">
        <v>4</v>
      </c>
      <c r="J1348">
        <v>2017</v>
      </c>
      <c r="K1348">
        <v>9</v>
      </c>
      <c r="L1348" t="s">
        <v>13</v>
      </c>
      <c r="M1348">
        <f>SUM(Pharma_Sales_Data[[#This Row],[M01AB]:[R06]])</f>
        <v>47.84</v>
      </c>
      <c r="N1348" s="2">
        <f>Pharma_Sales_Data[[#This Row],[Total Drug Sales]]*150</f>
        <v>7176.0000000000009</v>
      </c>
      <c r="O1348" s="2">
        <f>Pharma_Sales_Data[[#This Row],[Total Revenue]]*0.3</f>
        <v>2152.8000000000002</v>
      </c>
      <c r="P1348" t="str">
        <f>IF(Pharma_Sales_Data[[#This Row],[Total Revenue]]&gt;20000,"High Value", IF(Pharma_Sales_Data[[#This Row],[Total Revenue]]&gt;=10000,"Medium Value","Low Value"))</f>
        <v>Low Value</v>
      </c>
    </row>
    <row r="1349" spans="1:16" x14ac:dyDescent="0.35">
      <c r="A1349" s="1">
        <v>42988</v>
      </c>
      <c r="B1349">
        <v>3.34</v>
      </c>
      <c r="C1349">
        <v>5.35</v>
      </c>
      <c r="D1349">
        <v>1</v>
      </c>
      <c r="E1349">
        <v>35.6</v>
      </c>
      <c r="F1349">
        <v>7</v>
      </c>
      <c r="G1349">
        <v>0</v>
      </c>
      <c r="H1349">
        <v>0</v>
      </c>
      <c r="I1349">
        <v>4.2</v>
      </c>
      <c r="J1349">
        <v>2017</v>
      </c>
      <c r="K1349">
        <v>9</v>
      </c>
      <c r="L1349" t="s">
        <v>14</v>
      </c>
      <c r="M1349">
        <f>SUM(Pharma_Sales_Data[[#This Row],[M01AB]:[R06]])</f>
        <v>56.49</v>
      </c>
      <c r="N1349" s="2">
        <f>Pharma_Sales_Data[[#This Row],[Total Drug Sales]]*150</f>
        <v>8473.5</v>
      </c>
      <c r="O1349" s="2">
        <f>Pharma_Sales_Data[[#This Row],[Total Revenue]]*0.3</f>
        <v>2542.0499999999997</v>
      </c>
      <c r="P1349" t="str">
        <f>IF(Pharma_Sales_Data[[#This Row],[Total Revenue]]&gt;20000,"High Value", IF(Pharma_Sales_Data[[#This Row],[Total Revenue]]&gt;=10000,"Medium Value","Low Value"))</f>
        <v>Low Value</v>
      </c>
    </row>
    <row r="1350" spans="1:16" x14ac:dyDescent="0.35">
      <c r="A1350" s="1">
        <v>42989</v>
      </c>
      <c r="B1350">
        <v>2</v>
      </c>
      <c r="C1350">
        <v>3.3730000000000002</v>
      </c>
      <c r="D1350">
        <v>2</v>
      </c>
      <c r="E1350">
        <v>12</v>
      </c>
      <c r="F1350">
        <v>16</v>
      </c>
      <c r="G1350">
        <v>0</v>
      </c>
      <c r="H1350">
        <v>0</v>
      </c>
      <c r="I1350">
        <v>2</v>
      </c>
      <c r="J1350">
        <v>2017</v>
      </c>
      <c r="K1350">
        <v>9</v>
      </c>
      <c r="L1350" t="s">
        <v>15</v>
      </c>
      <c r="M1350">
        <f>SUM(Pharma_Sales_Data[[#This Row],[M01AB]:[R06]])</f>
        <v>37.373000000000005</v>
      </c>
      <c r="N1350" s="2">
        <f>Pharma_Sales_Data[[#This Row],[Total Drug Sales]]*150</f>
        <v>5605.9500000000007</v>
      </c>
      <c r="O1350" s="2">
        <f>Pharma_Sales_Data[[#This Row],[Total Revenue]]*0.3</f>
        <v>1681.7850000000001</v>
      </c>
      <c r="P1350" t="str">
        <f>IF(Pharma_Sales_Data[[#This Row],[Total Revenue]]&gt;20000,"High Value", IF(Pharma_Sales_Data[[#This Row],[Total Revenue]]&gt;=10000,"Medium Value","Low Value"))</f>
        <v>Low Value</v>
      </c>
    </row>
    <row r="1351" spans="1:16" x14ac:dyDescent="0.35">
      <c r="A1351" s="1">
        <v>42990</v>
      </c>
      <c r="B1351">
        <v>1</v>
      </c>
      <c r="C1351">
        <v>4.3499999999999996</v>
      </c>
      <c r="D1351">
        <v>5.2</v>
      </c>
      <c r="E1351">
        <v>18.25</v>
      </c>
      <c r="F1351">
        <v>6</v>
      </c>
      <c r="G1351">
        <v>1</v>
      </c>
      <c r="H1351">
        <v>1</v>
      </c>
      <c r="I1351">
        <v>2.2000000000000002</v>
      </c>
      <c r="J1351">
        <v>2017</v>
      </c>
      <c r="K1351">
        <v>9</v>
      </c>
      <c r="L1351" t="s">
        <v>16</v>
      </c>
      <c r="M1351">
        <f>SUM(Pharma_Sales_Data[[#This Row],[M01AB]:[R06]])</f>
        <v>39</v>
      </c>
      <c r="N1351" s="2">
        <f>Pharma_Sales_Data[[#This Row],[Total Drug Sales]]*150</f>
        <v>5850</v>
      </c>
      <c r="O1351" s="2">
        <f>Pharma_Sales_Data[[#This Row],[Total Revenue]]*0.3</f>
        <v>1755</v>
      </c>
      <c r="P1351" t="str">
        <f>IF(Pharma_Sales_Data[[#This Row],[Total Revenue]]&gt;20000,"High Value", IF(Pharma_Sales_Data[[#This Row],[Total Revenue]]&gt;=10000,"Medium Value","Low Value"))</f>
        <v>Low Value</v>
      </c>
    </row>
    <row r="1352" spans="1:16" x14ac:dyDescent="0.35">
      <c r="A1352" s="1">
        <v>42991</v>
      </c>
      <c r="B1352">
        <v>4</v>
      </c>
      <c r="C1352">
        <v>0.66</v>
      </c>
      <c r="D1352">
        <v>2</v>
      </c>
      <c r="E1352">
        <v>25</v>
      </c>
      <c r="F1352">
        <v>16</v>
      </c>
      <c r="G1352">
        <v>0</v>
      </c>
      <c r="H1352">
        <v>5</v>
      </c>
      <c r="I1352">
        <v>0</v>
      </c>
      <c r="J1352">
        <v>2017</v>
      </c>
      <c r="K1352">
        <v>9</v>
      </c>
      <c r="L1352" t="s">
        <v>17</v>
      </c>
      <c r="M1352">
        <f>SUM(Pharma_Sales_Data[[#This Row],[M01AB]:[R06]])</f>
        <v>52.66</v>
      </c>
      <c r="N1352" s="2">
        <f>Pharma_Sales_Data[[#This Row],[Total Drug Sales]]*150</f>
        <v>7898.9999999999991</v>
      </c>
      <c r="O1352" s="2">
        <f>Pharma_Sales_Data[[#This Row],[Total Revenue]]*0.3</f>
        <v>2369.6999999999998</v>
      </c>
      <c r="P1352" t="str">
        <f>IF(Pharma_Sales_Data[[#This Row],[Total Revenue]]&gt;20000,"High Value", IF(Pharma_Sales_Data[[#This Row],[Total Revenue]]&gt;=10000,"Medium Value","Low Value"))</f>
        <v>Low Value</v>
      </c>
    </row>
    <row r="1353" spans="1:16" x14ac:dyDescent="0.35">
      <c r="A1353" s="1">
        <v>42992</v>
      </c>
      <c r="B1353">
        <v>5</v>
      </c>
      <c r="C1353">
        <v>5.34</v>
      </c>
      <c r="D1353">
        <v>5</v>
      </c>
      <c r="E1353">
        <v>22.4</v>
      </c>
      <c r="F1353">
        <v>6</v>
      </c>
      <c r="G1353">
        <v>0</v>
      </c>
      <c r="H1353">
        <v>9</v>
      </c>
      <c r="I1353">
        <v>5</v>
      </c>
      <c r="J1353">
        <v>2017</v>
      </c>
      <c r="K1353">
        <v>9</v>
      </c>
      <c r="L1353" t="s">
        <v>11</v>
      </c>
      <c r="M1353">
        <f>SUM(Pharma_Sales_Data[[#This Row],[M01AB]:[R06]])</f>
        <v>57.739999999999995</v>
      </c>
      <c r="N1353" s="2">
        <f>Pharma_Sales_Data[[#This Row],[Total Drug Sales]]*150</f>
        <v>8661</v>
      </c>
      <c r="O1353" s="2">
        <f>Pharma_Sales_Data[[#This Row],[Total Revenue]]*0.3</f>
        <v>2598.2999999999997</v>
      </c>
      <c r="P1353" t="str">
        <f>IF(Pharma_Sales_Data[[#This Row],[Total Revenue]]&gt;20000,"High Value", IF(Pharma_Sales_Data[[#This Row],[Total Revenue]]&gt;=10000,"Medium Value","Low Value"))</f>
        <v>Low Value</v>
      </c>
    </row>
    <row r="1354" spans="1:16" x14ac:dyDescent="0.35">
      <c r="A1354" s="1">
        <v>42993</v>
      </c>
      <c r="B1354">
        <v>3</v>
      </c>
      <c r="C1354">
        <v>3</v>
      </c>
      <c r="D1354">
        <v>3</v>
      </c>
      <c r="E1354">
        <v>16</v>
      </c>
      <c r="F1354">
        <v>12</v>
      </c>
      <c r="G1354">
        <v>1</v>
      </c>
      <c r="H1354">
        <v>8</v>
      </c>
      <c r="I1354">
        <v>3</v>
      </c>
      <c r="J1354">
        <v>2017</v>
      </c>
      <c r="K1354">
        <v>9</v>
      </c>
      <c r="L1354" t="s">
        <v>12</v>
      </c>
      <c r="M1354">
        <f>SUM(Pharma_Sales_Data[[#This Row],[M01AB]:[R06]])</f>
        <v>49</v>
      </c>
      <c r="N1354" s="2">
        <f>Pharma_Sales_Data[[#This Row],[Total Drug Sales]]*150</f>
        <v>7350</v>
      </c>
      <c r="O1354" s="2">
        <f>Pharma_Sales_Data[[#This Row],[Total Revenue]]*0.3</f>
        <v>2205</v>
      </c>
      <c r="P1354" t="str">
        <f>IF(Pharma_Sales_Data[[#This Row],[Total Revenue]]&gt;20000,"High Value", IF(Pharma_Sales_Data[[#This Row],[Total Revenue]]&gt;=10000,"Medium Value","Low Value"))</f>
        <v>Low Value</v>
      </c>
    </row>
    <row r="1355" spans="1:16" x14ac:dyDescent="0.35">
      <c r="A1355" s="1">
        <v>42994</v>
      </c>
      <c r="B1355">
        <v>7</v>
      </c>
      <c r="C1355">
        <v>3</v>
      </c>
      <c r="D1355">
        <v>3.45</v>
      </c>
      <c r="E1355">
        <v>27.3</v>
      </c>
      <c r="F1355">
        <v>11</v>
      </c>
      <c r="G1355">
        <v>0</v>
      </c>
      <c r="H1355">
        <v>0</v>
      </c>
      <c r="I1355">
        <v>1.2</v>
      </c>
      <c r="J1355">
        <v>2017</v>
      </c>
      <c r="K1355">
        <v>9</v>
      </c>
      <c r="L1355" t="s">
        <v>13</v>
      </c>
      <c r="M1355">
        <f>SUM(Pharma_Sales_Data[[#This Row],[M01AB]:[R06]])</f>
        <v>52.95</v>
      </c>
      <c r="N1355" s="2">
        <f>Pharma_Sales_Data[[#This Row],[Total Drug Sales]]*150</f>
        <v>7942.5</v>
      </c>
      <c r="O1355" s="2">
        <f>Pharma_Sales_Data[[#This Row],[Total Revenue]]*0.3</f>
        <v>2382.75</v>
      </c>
      <c r="P1355" t="str">
        <f>IF(Pharma_Sales_Data[[#This Row],[Total Revenue]]&gt;20000,"High Value", IF(Pharma_Sales_Data[[#This Row],[Total Revenue]]&gt;=10000,"Medium Value","Low Value"))</f>
        <v>Low Value</v>
      </c>
    </row>
    <row r="1356" spans="1:16" x14ac:dyDescent="0.35">
      <c r="A1356" s="1">
        <v>42995</v>
      </c>
      <c r="B1356">
        <v>5</v>
      </c>
      <c r="C1356">
        <v>4.34</v>
      </c>
      <c r="D1356">
        <v>4</v>
      </c>
      <c r="E1356">
        <v>32</v>
      </c>
      <c r="F1356">
        <v>6</v>
      </c>
      <c r="G1356">
        <v>1</v>
      </c>
      <c r="H1356">
        <v>7</v>
      </c>
      <c r="I1356">
        <v>5</v>
      </c>
      <c r="J1356">
        <v>2017</v>
      </c>
      <c r="K1356">
        <v>9</v>
      </c>
      <c r="L1356" t="s">
        <v>14</v>
      </c>
      <c r="M1356">
        <f>SUM(Pharma_Sales_Data[[#This Row],[M01AB]:[R06]])</f>
        <v>64.34</v>
      </c>
      <c r="N1356" s="2">
        <f>Pharma_Sales_Data[[#This Row],[Total Drug Sales]]*150</f>
        <v>9651</v>
      </c>
      <c r="O1356" s="2">
        <f>Pharma_Sales_Data[[#This Row],[Total Revenue]]*0.3</f>
        <v>2895.2999999999997</v>
      </c>
      <c r="P1356" t="str">
        <f>IF(Pharma_Sales_Data[[#This Row],[Total Revenue]]&gt;20000,"High Value", IF(Pharma_Sales_Data[[#This Row],[Total Revenue]]&gt;=10000,"Medium Value","Low Value"))</f>
        <v>Low Value</v>
      </c>
    </row>
    <row r="1357" spans="1:16" x14ac:dyDescent="0.35">
      <c r="A1357" s="1">
        <v>42996</v>
      </c>
      <c r="B1357">
        <v>9</v>
      </c>
      <c r="C1357">
        <v>4.34</v>
      </c>
      <c r="D1357">
        <v>1</v>
      </c>
      <c r="E1357">
        <v>27</v>
      </c>
      <c r="F1357">
        <v>7</v>
      </c>
      <c r="G1357">
        <v>0</v>
      </c>
      <c r="H1357">
        <v>1</v>
      </c>
      <c r="I1357">
        <v>2</v>
      </c>
      <c r="J1357">
        <v>2017</v>
      </c>
      <c r="K1357">
        <v>9</v>
      </c>
      <c r="L1357" t="s">
        <v>15</v>
      </c>
      <c r="M1357">
        <f>SUM(Pharma_Sales_Data[[#This Row],[M01AB]:[R06]])</f>
        <v>51.34</v>
      </c>
      <c r="N1357" s="2">
        <f>Pharma_Sales_Data[[#This Row],[Total Drug Sales]]*150</f>
        <v>7701.0000000000009</v>
      </c>
      <c r="O1357" s="2">
        <f>Pharma_Sales_Data[[#This Row],[Total Revenue]]*0.3</f>
        <v>2310.3000000000002</v>
      </c>
      <c r="P1357" t="str">
        <f>IF(Pharma_Sales_Data[[#This Row],[Total Revenue]]&gt;20000,"High Value", IF(Pharma_Sales_Data[[#This Row],[Total Revenue]]&gt;=10000,"Medium Value","Low Value"))</f>
        <v>Low Value</v>
      </c>
    </row>
    <row r="1358" spans="1:16" x14ac:dyDescent="0.35">
      <c r="A1358" s="1">
        <v>42997</v>
      </c>
      <c r="B1358">
        <v>3.33</v>
      </c>
      <c r="C1358">
        <v>6.0330000000000004</v>
      </c>
      <c r="D1358">
        <v>1</v>
      </c>
      <c r="E1358">
        <v>43.25</v>
      </c>
      <c r="F1358">
        <v>6</v>
      </c>
      <c r="G1358">
        <v>2</v>
      </c>
      <c r="H1358">
        <v>6</v>
      </c>
      <c r="I1358">
        <v>9</v>
      </c>
      <c r="J1358">
        <v>2017</v>
      </c>
      <c r="K1358">
        <v>9</v>
      </c>
      <c r="L1358" t="s">
        <v>16</v>
      </c>
      <c r="M1358">
        <f>SUM(Pharma_Sales_Data[[#This Row],[M01AB]:[R06]])</f>
        <v>76.613</v>
      </c>
      <c r="N1358" s="2">
        <f>Pharma_Sales_Data[[#This Row],[Total Drug Sales]]*150</f>
        <v>11491.95</v>
      </c>
      <c r="O1358" s="2">
        <f>Pharma_Sales_Data[[#This Row],[Total Revenue]]*0.3</f>
        <v>3447.585</v>
      </c>
      <c r="P1358" t="str">
        <f>IF(Pharma_Sales_Data[[#This Row],[Total Revenue]]&gt;20000,"High Value", IF(Pharma_Sales_Data[[#This Row],[Total Revenue]]&gt;=10000,"Medium Value","Low Value"))</f>
        <v>Medium Value</v>
      </c>
    </row>
    <row r="1359" spans="1:16" x14ac:dyDescent="0.35">
      <c r="A1359" s="1">
        <v>42998</v>
      </c>
      <c r="B1359">
        <v>2</v>
      </c>
      <c r="C1359">
        <v>2.363</v>
      </c>
      <c r="D1359">
        <v>0.1</v>
      </c>
      <c r="E1359">
        <v>35.450000000000003</v>
      </c>
      <c r="F1359">
        <v>6</v>
      </c>
      <c r="G1359">
        <v>0</v>
      </c>
      <c r="H1359">
        <v>6</v>
      </c>
      <c r="I1359">
        <v>0</v>
      </c>
      <c r="J1359">
        <v>2017</v>
      </c>
      <c r="K1359">
        <v>9</v>
      </c>
      <c r="L1359" t="s">
        <v>17</v>
      </c>
      <c r="M1359">
        <f>SUM(Pharma_Sales_Data[[#This Row],[M01AB]:[R06]])</f>
        <v>51.913000000000004</v>
      </c>
      <c r="N1359" s="2">
        <f>Pharma_Sales_Data[[#This Row],[Total Drug Sales]]*150</f>
        <v>7786.9500000000007</v>
      </c>
      <c r="O1359" s="2">
        <f>Pharma_Sales_Data[[#This Row],[Total Revenue]]*0.3</f>
        <v>2336.085</v>
      </c>
      <c r="P1359" t="str">
        <f>IF(Pharma_Sales_Data[[#This Row],[Total Revenue]]&gt;20000,"High Value", IF(Pharma_Sales_Data[[#This Row],[Total Revenue]]&gt;=10000,"Medium Value","Low Value"))</f>
        <v>Low Value</v>
      </c>
    </row>
    <row r="1360" spans="1:16" x14ac:dyDescent="0.35">
      <c r="A1360" s="1">
        <v>42999</v>
      </c>
      <c r="B1360">
        <v>7.34</v>
      </c>
      <c r="C1360">
        <v>3.6960000000000002</v>
      </c>
      <c r="D1360">
        <v>1</v>
      </c>
      <c r="E1360">
        <v>19.7</v>
      </c>
      <c r="F1360">
        <v>8</v>
      </c>
      <c r="G1360">
        <v>2</v>
      </c>
      <c r="H1360">
        <v>0</v>
      </c>
      <c r="I1360">
        <v>1</v>
      </c>
      <c r="J1360">
        <v>2017</v>
      </c>
      <c r="K1360">
        <v>9</v>
      </c>
      <c r="L1360" t="s">
        <v>11</v>
      </c>
      <c r="M1360">
        <f>SUM(Pharma_Sales_Data[[#This Row],[M01AB]:[R06]])</f>
        <v>42.735999999999997</v>
      </c>
      <c r="N1360" s="2">
        <f>Pharma_Sales_Data[[#This Row],[Total Drug Sales]]*150</f>
        <v>6410.4</v>
      </c>
      <c r="O1360" s="2">
        <f>Pharma_Sales_Data[[#This Row],[Total Revenue]]*0.3</f>
        <v>1923.12</v>
      </c>
      <c r="P1360" t="str">
        <f>IF(Pharma_Sales_Data[[#This Row],[Total Revenue]]&gt;20000,"High Value", IF(Pharma_Sales_Data[[#This Row],[Total Revenue]]&gt;=10000,"Medium Value","Low Value"))</f>
        <v>Low Value</v>
      </c>
    </row>
    <row r="1361" spans="1:16" x14ac:dyDescent="0.35">
      <c r="A1361" s="1">
        <v>43000</v>
      </c>
      <c r="B1361">
        <v>4.66</v>
      </c>
      <c r="C1361">
        <v>2.2410000000000001</v>
      </c>
      <c r="D1361">
        <v>3</v>
      </c>
      <c r="E1361">
        <v>27.5</v>
      </c>
      <c r="F1361">
        <v>2</v>
      </c>
      <c r="G1361">
        <v>0</v>
      </c>
      <c r="H1361">
        <v>0</v>
      </c>
      <c r="I1361">
        <v>3</v>
      </c>
      <c r="J1361">
        <v>2017</v>
      </c>
      <c r="K1361">
        <v>9</v>
      </c>
      <c r="L1361" t="s">
        <v>12</v>
      </c>
      <c r="M1361">
        <f>SUM(Pharma_Sales_Data[[#This Row],[M01AB]:[R06]])</f>
        <v>42.400999999999996</v>
      </c>
      <c r="N1361" s="2">
        <f>Pharma_Sales_Data[[#This Row],[Total Drug Sales]]*150</f>
        <v>6360.15</v>
      </c>
      <c r="O1361" s="2">
        <f>Pharma_Sales_Data[[#This Row],[Total Revenue]]*0.3</f>
        <v>1908.0449999999998</v>
      </c>
      <c r="P1361" t="str">
        <f>IF(Pharma_Sales_Data[[#This Row],[Total Revenue]]&gt;20000,"High Value", IF(Pharma_Sales_Data[[#This Row],[Total Revenue]]&gt;=10000,"Medium Value","Low Value"))</f>
        <v>Low Value</v>
      </c>
    </row>
    <row r="1362" spans="1:16" x14ac:dyDescent="0.35">
      <c r="A1362" s="1">
        <v>43001</v>
      </c>
      <c r="B1362">
        <v>9.99</v>
      </c>
      <c r="C1362">
        <v>6.99</v>
      </c>
      <c r="D1362">
        <v>3</v>
      </c>
      <c r="E1362">
        <v>14.45</v>
      </c>
      <c r="F1362">
        <v>12</v>
      </c>
      <c r="G1362">
        <v>2</v>
      </c>
      <c r="H1362">
        <v>0</v>
      </c>
      <c r="I1362">
        <v>2</v>
      </c>
      <c r="J1362">
        <v>2017</v>
      </c>
      <c r="K1362">
        <v>9</v>
      </c>
      <c r="L1362" t="s">
        <v>13</v>
      </c>
      <c r="M1362">
        <f>SUM(Pharma_Sales_Data[[#This Row],[M01AB]:[R06]])</f>
        <v>50.43</v>
      </c>
      <c r="N1362" s="2">
        <f>Pharma_Sales_Data[[#This Row],[Total Drug Sales]]*150</f>
        <v>7564.5</v>
      </c>
      <c r="O1362" s="2">
        <f>Pharma_Sales_Data[[#This Row],[Total Revenue]]*0.3</f>
        <v>2269.35</v>
      </c>
      <c r="P1362" t="str">
        <f>IF(Pharma_Sales_Data[[#This Row],[Total Revenue]]&gt;20000,"High Value", IF(Pharma_Sales_Data[[#This Row],[Total Revenue]]&gt;=10000,"Medium Value","Low Value"))</f>
        <v>Low Value</v>
      </c>
    </row>
    <row r="1363" spans="1:16" x14ac:dyDescent="0.35">
      <c r="A1363" s="1">
        <v>43002</v>
      </c>
      <c r="B1363">
        <v>3.66</v>
      </c>
      <c r="C1363">
        <v>4.8259999999999996</v>
      </c>
      <c r="D1363">
        <v>2</v>
      </c>
      <c r="E1363">
        <v>52.4</v>
      </c>
      <c r="F1363">
        <v>7</v>
      </c>
      <c r="G1363">
        <v>1</v>
      </c>
      <c r="H1363">
        <v>6</v>
      </c>
      <c r="I1363">
        <v>1</v>
      </c>
      <c r="J1363">
        <v>2017</v>
      </c>
      <c r="K1363">
        <v>9</v>
      </c>
      <c r="L1363" t="s">
        <v>14</v>
      </c>
      <c r="M1363">
        <f>SUM(Pharma_Sales_Data[[#This Row],[M01AB]:[R06]])</f>
        <v>77.885999999999996</v>
      </c>
      <c r="N1363" s="2">
        <f>Pharma_Sales_Data[[#This Row],[Total Drug Sales]]*150</f>
        <v>11682.9</v>
      </c>
      <c r="O1363" s="2">
        <f>Pharma_Sales_Data[[#This Row],[Total Revenue]]*0.3</f>
        <v>3504.87</v>
      </c>
      <c r="P1363" t="str">
        <f>IF(Pharma_Sales_Data[[#This Row],[Total Revenue]]&gt;20000,"High Value", IF(Pharma_Sales_Data[[#This Row],[Total Revenue]]&gt;=10000,"Medium Value","Low Value"))</f>
        <v>Medium Value</v>
      </c>
    </row>
    <row r="1364" spans="1:16" x14ac:dyDescent="0.35">
      <c r="A1364" s="1">
        <v>43003</v>
      </c>
      <c r="B1364">
        <v>1</v>
      </c>
      <c r="C1364">
        <v>2.5169999999999999</v>
      </c>
      <c r="D1364">
        <v>1</v>
      </c>
      <c r="E1364">
        <v>39.200000000000003</v>
      </c>
      <c r="F1364">
        <v>7</v>
      </c>
      <c r="G1364">
        <v>3</v>
      </c>
      <c r="H1364">
        <v>26</v>
      </c>
      <c r="I1364">
        <v>1</v>
      </c>
      <c r="J1364">
        <v>2017</v>
      </c>
      <c r="K1364">
        <v>9</v>
      </c>
      <c r="L1364" t="s">
        <v>15</v>
      </c>
      <c r="M1364">
        <f>SUM(Pharma_Sales_Data[[#This Row],[M01AB]:[R06]])</f>
        <v>80.716999999999999</v>
      </c>
      <c r="N1364" s="2">
        <f>Pharma_Sales_Data[[#This Row],[Total Drug Sales]]*150</f>
        <v>12107.55</v>
      </c>
      <c r="O1364" s="2">
        <f>Pharma_Sales_Data[[#This Row],[Total Revenue]]*0.3</f>
        <v>3632.2649999999999</v>
      </c>
      <c r="P1364" t="str">
        <f>IF(Pharma_Sales_Data[[#This Row],[Total Revenue]]&gt;20000,"High Value", IF(Pharma_Sales_Data[[#This Row],[Total Revenue]]&gt;=10000,"Medium Value","Low Value"))</f>
        <v>Medium Value</v>
      </c>
    </row>
    <row r="1365" spans="1:16" x14ac:dyDescent="0.35">
      <c r="A1365" s="1">
        <v>43004</v>
      </c>
      <c r="B1365">
        <v>2</v>
      </c>
      <c r="C1365">
        <v>5.67</v>
      </c>
      <c r="D1365">
        <v>2.1</v>
      </c>
      <c r="E1365">
        <v>38.6</v>
      </c>
      <c r="F1365">
        <v>4</v>
      </c>
      <c r="G1365">
        <v>0</v>
      </c>
      <c r="H1365">
        <v>6</v>
      </c>
      <c r="I1365">
        <v>1</v>
      </c>
      <c r="J1365">
        <v>2017</v>
      </c>
      <c r="K1365">
        <v>9</v>
      </c>
      <c r="L1365" t="s">
        <v>16</v>
      </c>
      <c r="M1365">
        <f>SUM(Pharma_Sales_Data[[#This Row],[M01AB]:[R06]])</f>
        <v>59.370000000000005</v>
      </c>
      <c r="N1365" s="2">
        <f>Pharma_Sales_Data[[#This Row],[Total Drug Sales]]*150</f>
        <v>8905.5</v>
      </c>
      <c r="O1365" s="2">
        <f>Pharma_Sales_Data[[#This Row],[Total Revenue]]*0.3</f>
        <v>2671.65</v>
      </c>
      <c r="P1365" t="str">
        <f>IF(Pharma_Sales_Data[[#This Row],[Total Revenue]]&gt;20000,"High Value", IF(Pharma_Sales_Data[[#This Row],[Total Revenue]]&gt;=10000,"Medium Value","Low Value"))</f>
        <v>Low Value</v>
      </c>
    </row>
    <row r="1366" spans="1:16" x14ac:dyDescent="0.35">
      <c r="A1366" s="1">
        <v>43005</v>
      </c>
      <c r="B1366">
        <v>4</v>
      </c>
      <c r="C1366">
        <v>2.33</v>
      </c>
      <c r="D1366">
        <v>3</v>
      </c>
      <c r="E1366">
        <v>38</v>
      </c>
      <c r="F1366">
        <v>7</v>
      </c>
      <c r="G1366">
        <v>3</v>
      </c>
      <c r="H1366">
        <v>3</v>
      </c>
      <c r="I1366">
        <v>0</v>
      </c>
      <c r="J1366">
        <v>2017</v>
      </c>
      <c r="K1366">
        <v>9</v>
      </c>
      <c r="L1366" t="s">
        <v>17</v>
      </c>
      <c r="M1366">
        <f>SUM(Pharma_Sales_Data[[#This Row],[M01AB]:[R06]])</f>
        <v>60.33</v>
      </c>
      <c r="N1366" s="2">
        <f>Pharma_Sales_Data[[#This Row],[Total Drug Sales]]*150</f>
        <v>9049.5</v>
      </c>
      <c r="O1366" s="2">
        <f>Pharma_Sales_Data[[#This Row],[Total Revenue]]*0.3</f>
        <v>2714.85</v>
      </c>
      <c r="P1366" t="str">
        <f>IF(Pharma_Sales_Data[[#This Row],[Total Revenue]]&gt;20000,"High Value", IF(Pharma_Sales_Data[[#This Row],[Total Revenue]]&gt;=10000,"Medium Value","Low Value"))</f>
        <v>Low Value</v>
      </c>
    </row>
    <row r="1367" spans="1:16" x14ac:dyDescent="0.35">
      <c r="A1367" s="1">
        <v>43006</v>
      </c>
      <c r="B1367">
        <v>3.34</v>
      </c>
      <c r="C1367">
        <v>2.68</v>
      </c>
      <c r="D1367">
        <v>2.5</v>
      </c>
      <c r="E1367">
        <v>37.85</v>
      </c>
      <c r="F1367">
        <v>3</v>
      </c>
      <c r="G1367">
        <v>0</v>
      </c>
      <c r="H1367">
        <v>10</v>
      </c>
      <c r="I1367">
        <v>0</v>
      </c>
      <c r="J1367">
        <v>2017</v>
      </c>
      <c r="K1367">
        <v>9</v>
      </c>
      <c r="L1367" t="s">
        <v>11</v>
      </c>
      <c r="M1367">
        <f>SUM(Pharma_Sales_Data[[#This Row],[M01AB]:[R06]])</f>
        <v>59.370000000000005</v>
      </c>
      <c r="N1367" s="2">
        <f>Pharma_Sales_Data[[#This Row],[Total Drug Sales]]*150</f>
        <v>8905.5</v>
      </c>
      <c r="O1367" s="2">
        <f>Pharma_Sales_Data[[#This Row],[Total Revenue]]*0.3</f>
        <v>2671.65</v>
      </c>
      <c r="P1367" t="str">
        <f>IF(Pharma_Sales_Data[[#This Row],[Total Revenue]]&gt;20000,"High Value", IF(Pharma_Sales_Data[[#This Row],[Total Revenue]]&gt;=10000,"Medium Value","Low Value"))</f>
        <v>Low Value</v>
      </c>
    </row>
    <row r="1368" spans="1:16" x14ac:dyDescent="0.35">
      <c r="A1368" s="1">
        <v>43007</v>
      </c>
      <c r="B1368">
        <v>1</v>
      </c>
      <c r="C1368">
        <v>5</v>
      </c>
      <c r="D1368">
        <v>3</v>
      </c>
      <c r="E1368">
        <v>35.4</v>
      </c>
      <c r="F1368">
        <v>8</v>
      </c>
      <c r="G1368">
        <v>6</v>
      </c>
      <c r="H1368">
        <v>5</v>
      </c>
      <c r="I1368">
        <v>1</v>
      </c>
      <c r="J1368">
        <v>2017</v>
      </c>
      <c r="K1368">
        <v>9</v>
      </c>
      <c r="L1368" t="s">
        <v>12</v>
      </c>
      <c r="M1368">
        <f>SUM(Pharma_Sales_Data[[#This Row],[M01AB]:[R06]])</f>
        <v>64.400000000000006</v>
      </c>
      <c r="N1368" s="2">
        <f>Pharma_Sales_Data[[#This Row],[Total Drug Sales]]*150</f>
        <v>9660</v>
      </c>
      <c r="O1368" s="2">
        <f>Pharma_Sales_Data[[#This Row],[Total Revenue]]*0.3</f>
        <v>2898</v>
      </c>
      <c r="P1368" t="str">
        <f>IF(Pharma_Sales_Data[[#This Row],[Total Revenue]]&gt;20000,"High Value", IF(Pharma_Sales_Data[[#This Row],[Total Revenue]]&gt;=10000,"Medium Value","Low Value"))</f>
        <v>Low Value</v>
      </c>
    </row>
    <row r="1369" spans="1:16" x14ac:dyDescent="0.35">
      <c r="A1369" s="1">
        <v>43008</v>
      </c>
      <c r="B1369">
        <v>5.33</v>
      </c>
      <c r="C1369">
        <v>3.01</v>
      </c>
      <c r="D1369">
        <v>3</v>
      </c>
      <c r="E1369">
        <v>61.9</v>
      </c>
      <c r="F1369">
        <v>6</v>
      </c>
      <c r="G1369">
        <v>0</v>
      </c>
      <c r="H1369">
        <v>28</v>
      </c>
      <c r="I1369">
        <v>0</v>
      </c>
      <c r="J1369">
        <v>2017</v>
      </c>
      <c r="K1369">
        <v>9</v>
      </c>
      <c r="L1369" t="s">
        <v>13</v>
      </c>
      <c r="M1369">
        <f>SUM(Pharma_Sales_Data[[#This Row],[M01AB]:[R06]])</f>
        <v>107.24</v>
      </c>
      <c r="N1369" s="2">
        <f>Pharma_Sales_Data[[#This Row],[Total Drug Sales]]*150</f>
        <v>16086</v>
      </c>
      <c r="O1369" s="2">
        <f>Pharma_Sales_Data[[#This Row],[Total Revenue]]*0.3</f>
        <v>4825.8</v>
      </c>
      <c r="P1369" t="str">
        <f>IF(Pharma_Sales_Data[[#This Row],[Total Revenue]]&gt;20000,"High Value", IF(Pharma_Sales_Data[[#This Row],[Total Revenue]]&gt;=10000,"Medium Value","Low Value"))</f>
        <v>Medium Value</v>
      </c>
    </row>
    <row r="1370" spans="1:16" x14ac:dyDescent="0.35">
      <c r="A1370" s="1">
        <v>43009</v>
      </c>
      <c r="B1370">
        <v>4</v>
      </c>
      <c r="C1370">
        <v>5.891</v>
      </c>
      <c r="D1370">
        <v>3</v>
      </c>
      <c r="E1370">
        <v>72.099999999999994</v>
      </c>
      <c r="F1370">
        <v>7</v>
      </c>
      <c r="G1370">
        <v>1</v>
      </c>
      <c r="H1370">
        <v>20</v>
      </c>
      <c r="I1370">
        <v>1</v>
      </c>
      <c r="J1370">
        <v>2017</v>
      </c>
      <c r="K1370">
        <v>10</v>
      </c>
      <c r="L1370" t="s">
        <v>14</v>
      </c>
      <c r="M1370">
        <f>SUM(Pharma_Sales_Data[[#This Row],[M01AB]:[R06]])</f>
        <v>113.991</v>
      </c>
      <c r="N1370" s="2">
        <f>Pharma_Sales_Data[[#This Row],[Total Drug Sales]]*150</f>
        <v>17098.650000000001</v>
      </c>
      <c r="O1370" s="2">
        <f>Pharma_Sales_Data[[#This Row],[Total Revenue]]*0.3</f>
        <v>5129.5950000000003</v>
      </c>
      <c r="P1370" t="str">
        <f>IF(Pharma_Sales_Data[[#This Row],[Total Revenue]]&gt;20000,"High Value", IF(Pharma_Sales_Data[[#This Row],[Total Revenue]]&gt;=10000,"Medium Value","Low Value"))</f>
        <v>Medium Value</v>
      </c>
    </row>
    <row r="1371" spans="1:16" x14ac:dyDescent="0.35">
      <c r="A1371" s="1">
        <v>43010</v>
      </c>
      <c r="B1371">
        <v>8.33</v>
      </c>
      <c r="C1371">
        <v>2</v>
      </c>
      <c r="D1371">
        <v>3.15</v>
      </c>
      <c r="E1371">
        <v>18</v>
      </c>
      <c r="F1371">
        <v>3</v>
      </c>
      <c r="G1371">
        <v>1</v>
      </c>
      <c r="H1371">
        <v>0</v>
      </c>
      <c r="I1371">
        <v>0</v>
      </c>
      <c r="J1371">
        <v>2017</v>
      </c>
      <c r="K1371">
        <v>10</v>
      </c>
      <c r="L1371" t="s">
        <v>15</v>
      </c>
      <c r="M1371">
        <f>SUM(Pharma_Sales_Data[[#This Row],[M01AB]:[R06]])</f>
        <v>35.480000000000004</v>
      </c>
      <c r="N1371" s="2">
        <f>Pharma_Sales_Data[[#This Row],[Total Drug Sales]]*150</f>
        <v>5322.0000000000009</v>
      </c>
      <c r="O1371" s="2">
        <f>Pharma_Sales_Data[[#This Row],[Total Revenue]]*0.3</f>
        <v>1596.6000000000001</v>
      </c>
      <c r="P1371" t="str">
        <f>IF(Pharma_Sales_Data[[#This Row],[Total Revenue]]&gt;20000,"High Value", IF(Pharma_Sales_Data[[#This Row],[Total Revenue]]&gt;=10000,"Medium Value","Low Value"))</f>
        <v>Low Value</v>
      </c>
    </row>
    <row r="1372" spans="1:16" x14ac:dyDescent="0.35">
      <c r="A1372" s="1">
        <v>43011</v>
      </c>
      <c r="B1372">
        <v>0.34</v>
      </c>
      <c r="C1372">
        <v>2.1</v>
      </c>
      <c r="D1372">
        <v>3.15</v>
      </c>
      <c r="E1372">
        <v>57.2</v>
      </c>
      <c r="F1372">
        <v>21</v>
      </c>
      <c r="G1372">
        <v>3</v>
      </c>
      <c r="H1372">
        <v>5</v>
      </c>
      <c r="I1372">
        <v>2</v>
      </c>
      <c r="J1372">
        <v>2017</v>
      </c>
      <c r="K1372">
        <v>10</v>
      </c>
      <c r="L1372" t="s">
        <v>16</v>
      </c>
      <c r="M1372">
        <f>SUM(Pharma_Sales_Data[[#This Row],[M01AB]:[R06]])</f>
        <v>93.79</v>
      </c>
      <c r="N1372" s="2">
        <f>Pharma_Sales_Data[[#This Row],[Total Drug Sales]]*150</f>
        <v>14068.500000000002</v>
      </c>
      <c r="O1372" s="2">
        <f>Pharma_Sales_Data[[#This Row],[Total Revenue]]*0.3</f>
        <v>4220.55</v>
      </c>
      <c r="P1372" t="str">
        <f>IF(Pharma_Sales_Data[[#This Row],[Total Revenue]]&gt;20000,"High Value", IF(Pharma_Sales_Data[[#This Row],[Total Revenue]]&gt;=10000,"Medium Value","Low Value"))</f>
        <v>Medium Value</v>
      </c>
    </row>
    <row r="1373" spans="1:16" x14ac:dyDescent="0.35">
      <c r="A1373" s="1">
        <v>43012</v>
      </c>
      <c r="B1373">
        <v>2</v>
      </c>
      <c r="C1373">
        <v>4.33</v>
      </c>
      <c r="D1373">
        <v>4</v>
      </c>
      <c r="E1373">
        <v>37</v>
      </c>
      <c r="F1373">
        <v>6</v>
      </c>
      <c r="G1373">
        <v>0</v>
      </c>
      <c r="H1373">
        <v>2</v>
      </c>
      <c r="I1373">
        <v>1</v>
      </c>
      <c r="J1373">
        <v>2017</v>
      </c>
      <c r="K1373">
        <v>10</v>
      </c>
      <c r="L1373" t="s">
        <v>17</v>
      </c>
      <c r="M1373">
        <f>SUM(Pharma_Sales_Data[[#This Row],[M01AB]:[R06]])</f>
        <v>56.33</v>
      </c>
      <c r="N1373" s="2">
        <f>Pharma_Sales_Data[[#This Row],[Total Drug Sales]]*150</f>
        <v>8449.5</v>
      </c>
      <c r="O1373" s="2">
        <f>Pharma_Sales_Data[[#This Row],[Total Revenue]]*0.3</f>
        <v>2534.85</v>
      </c>
      <c r="P1373" t="str">
        <f>IF(Pharma_Sales_Data[[#This Row],[Total Revenue]]&gt;20000,"High Value", IF(Pharma_Sales_Data[[#This Row],[Total Revenue]]&gt;=10000,"Medium Value","Low Value"))</f>
        <v>Low Value</v>
      </c>
    </row>
    <row r="1374" spans="1:16" x14ac:dyDescent="0.35">
      <c r="A1374" s="1">
        <v>43013</v>
      </c>
      <c r="B1374">
        <v>5.33</v>
      </c>
      <c r="C1374">
        <v>3.99</v>
      </c>
      <c r="D1374">
        <v>5</v>
      </c>
      <c r="E1374">
        <v>40.799999999999997</v>
      </c>
      <c r="F1374">
        <v>5</v>
      </c>
      <c r="G1374">
        <v>0</v>
      </c>
      <c r="H1374">
        <v>11</v>
      </c>
      <c r="I1374">
        <v>2</v>
      </c>
      <c r="J1374">
        <v>2017</v>
      </c>
      <c r="K1374">
        <v>10</v>
      </c>
      <c r="L1374" t="s">
        <v>11</v>
      </c>
      <c r="M1374">
        <f>SUM(Pharma_Sales_Data[[#This Row],[M01AB]:[R06]])</f>
        <v>73.12</v>
      </c>
      <c r="N1374" s="2">
        <f>Pharma_Sales_Data[[#This Row],[Total Drug Sales]]*150</f>
        <v>10968</v>
      </c>
      <c r="O1374" s="2">
        <f>Pharma_Sales_Data[[#This Row],[Total Revenue]]*0.3</f>
        <v>3290.4</v>
      </c>
      <c r="P1374" t="str">
        <f>IF(Pharma_Sales_Data[[#This Row],[Total Revenue]]&gt;20000,"High Value", IF(Pharma_Sales_Data[[#This Row],[Total Revenue]]&gt;=10000,"Medium Value","Low Value"))</f>
        <v>Medium Value</v>
      </c>
    </row>
    <row r="1375" spans="1:16" x14ac:dyDescent="0.35">
      <c r="A1375" s="1">
        <v>43014</v>
      </c>
      <c r="B1375">
        <v>3.99</v>
      </c>
      <c r="C1375">
        <v>4.66</v>
      </c>
      <c r="D1375">
        <v>1</v>
      </c>
      <c r="E1375">
        <v>39.799999999999997</v>
      </c>
      <c r="F1375">
        <v>7</v>
      </c>
      <c r="G1375">
        <v>0</v>
      </c>
      <c r="H1375">
        <v>6</v>
      </c>
      <c r="I1375">
        <v>2</v>
      </c>
      <c r="J1375">
        <v>2017</v>
      </c>
      <c r="K1375">
        <v>10</v>
      </c>
      <c r="L1375" t="s">
        <v>12</v>
      </c>
      <c r="M1375">
        <f>SUM(Pharma_Sales_Data[[#This Row],[M01AB]:[R06]])</f>
        <v>64.449999999999989</v>
      </c>
      <c r="N1375" s="2">
        <f>Pharma_Sales_Data[[#This Row],[Total Drug Sales]]*150</f>
        <v>9667.4999999999982</v>
      </c>
      <c r="O1375" s="2">
        <f>Pharma_Sales_Data[[#This Row],[Total Revenue]]*0.3</f>
        <v>2900.2499999999995</v>
      </c>
      <c r="P1375" t="str">
        <f>IF(Pharma_Sales_Data[[#This Row],[Total Revenue]]&gt;20000,"High Value", IF(Pharma_Sales_Data[[#This Row],[Total Revenue]]&gt;=10000,"Medium Value","Low Value"))</f>
        <v>Low Value</v>
      </c>
    </row>
    <row r="1376" spans="1:16" x14ac:dyDescent="0.35">
      <c r="A1376" s="1">
        <v>43015</v>
      </c>
      <c r="B1376">
        <v>4</v>
      </c>
      <c r="C1376">
        <v>2.0230000000000001</v>
      </c>
      <c r="D1376">
        <v>2</v>
      </c>
      <c r="E1376">
        <v>35.25</v>
      </c>
      <c r="F1376">
        <v>4</v>
      </c>
      <c r="G1376">
        <v>0</v>
      </c>
      <c r="H1376">
        <v>10</v>
      </c>
      <c r="I1376">
        <v>1</v>
      </c>
      <c r="J1376">
        <v>2017</v>
      </c>
      <c r="K1376">
        <v>10</v>
      </c>
      <c r="L1376" t="s">
        <v>13</v>
      </c>
      <c r="M1376">
        <f>SUM(Pharma_Sales_Data[[#This Row],[M01AB]:[R06]])</f>
        <v>58.272999999999996</v>
      </c>
      <c r="N1376" s="2">
        <f>Pharma_Sales_Data[[#This Row],[Total Drug Sales]]*150</f>
        <v>8740.9499999999989</v>
      </c>
      <c r="O1376" s="2">
        <f>Pharma_Sales_Data[[#This Row],[Total Revenue]]*0.3</f>
        <v>2622.2849999999994</v>
      </c>
      <c r="P1376" t="str">
        <f>IF(Pharma_Sales_Data[[#This Row],[Total Revenue]]&gt;20000,"High Value", IF(Pharma_Sales_Data[[#This Row],[Total Revenue]]&gt;=10000,"Medium Value","Low Value"))</f>
        <v>Low Value</v>
      </c>
    </row>
    <row r="1377" spans="1:16" x14ac:dyDescent="0.35">
      <c r="A1377" s="1">
        <v>43016</v>
      </c>
      <c r="B1377">
        <v>8.67</v>
      </c>
      <c r="C1377">
        <v>3.2610000000000001</v>
      </c>
      <c r="D1377">
        <v>5.2</v>
      </c>
      <c r="E1377">
        <v>77.099999999999994</v>
      </c>
      <c r="F1377">
        <v>2</v>
      </c>
      <c r="G1377">
        <v>0</v>
      </c>
      <c r="H1377">
        <v>15</v>
      </c>
      <c r="I1377">
        <v>4</v>
      </c>
      <c r="J1377">
        <v>2017</v>
      </c>
      <c r="K1377">
        <v>10</v>
      </c>
      <c r="L1377" t="s">
        <v>14</v>
      </c>
      <c r="M1377">
        <f>SUM(Pharma_Sales_Data[[#This Row],[M01AB]:[R06]])</f>
        <v>115.23099999999999</v>
      </c>
      <c r="N1377" s="2">
        <f>Pharma_Sales_Data[[#This Row],[Total Drug Sales]]*150</f>
        <v>17284.649999999998</v>
      </c>
      <c r="O1377" s="2">
        <f>Pharma_Sales_Data[[#This Row],[Total Revenue]]*0.3</f>
        <v>5185.3949999999995</v>
      </c>
      <c r="P1377" t="str">
        <f>IF(Pharma_Sales_Data[[#This Row],[Total Revenue]]&gt;20000,"High Value", IF(Pharma_Sales_Data[[#This Row],[Total Revenue]]&gt;=10000,"Medium Value","Low Value"))</f>
        <v>Medium Value</v>
      </c>
    </row>
    <row r="1378" spans="1:16" x14ac:dyDescent="0.35">
      <c r="A1378" s="1">
        <v>43017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2017</v>
      </c>
      <c r="K1378">
        <v>10</v>
      </c>
      <c r="L1378" t="s">
        <v>15</v>
      </c>
      <c r="M1378">
        <f>SUM(Pharma_Sales_Data[[#This Row],[M01AB]:[R06]])</f>
        <v>0</v>
      </c>
      <c r="N1378" s="2">
        <f>Pharma_Sales_Data[[#This Row],[Total Drug Sales]]*150</f>
        <v>0</v>
      </c>
      <c r="O1378" s="2">
        <f>Pharma_Sales_Data[[#This Row],[Total Revenue]]*0.3</f>
        <v>0</v>
      </c>
      <c r="P1378" t="str">
        <f>IF(Pharma_Sales_Data[[#This Row],[Total Revenue]]&gt;20000,"High Value", IF(Pharma_Sales_Data[[#This Row],[Total Revenue]]&gt;=10000,"Medium Value","Low Value"))</f>
        <v>Low Value</v>
      </c>
    </row>
    <row r="1379" spans="1:16" x14ac:dyDescent="0.35">
      <c r="A1379" s="1">
        <v>43018</v>
      </c>
      <c r="B1379">
        <v>10</v>
      </c>
      <c r="C1379">
        <v>2.68</v>
      </c>
      <c r="D1379">
        <v>2</v>
      </c>
      <c r="E1379">
        <v>25</v>
      </c>
      <c r="F1379">
        <v>8</v>
      </c>
      <c r="G1379">
        <v>0</v>
      </c>
      <c r="H1379">
        <v>11</v>
      </c>
      <c r="I1379">
        <v>3</v>
      </c>
      <c r="J1379">
        <v>2017</v>
      </c>
      <c r="K1379">
        <v>10</v>
      </c>
      <c r="L1379" t="s">
        <v>16</v>
      </c>
      <c r="M1379">
        <f>SUM(Pharma_Sales_Data[[#This Row],[M01AB]:[R06]])</f>
        <v>61.68</v>
      </c>
      <c r="N1379" s="2">
        <f>Pharma_Sales_Data[[#This Row],[Total Drug Sales]]*150</f>
        <v>9252</v>
      </c>
      <c r="O1379" s="2">
        <f>Pharma_Sales_Data[[#This Row],[Total Revenue]]*0.3</f>
        <v>2775.6</v>
      </c>
      <c r="P1379" t="str">
        <f>IF(Pharma_Sales_Data[[#This Row],[Total Revenue]]&gt;20000,"High Value", IF(Pharma_Sales_Data[[#This Row],[Total Revenue]]&gt;=10000,"Medium Value","Low Value"))</f>
        <v>Low Value</v>
      </c>
    </row>
    <row r="1380" spans="1:16" x14ac:dyDescent="0.35">
      <c r="A1380" s="1">
        <v>43019</v>
      </c>
      <c r="B1380">
        <v>3.5</v>
      </c>
      <c r="C1380">
        <v>1</v>
      </c>
      <c r="D1380">
        <v>4.5999999999999996</v>
      </c>
      <c r="E1380">
        <v>39.4</v>
      </c>
      <c r="F1380">
        <v>2</v>
      </c>
      <c r="G1380">
        <v>0</v>
      </c>
      <c r="H1380">
        <v>6</v>
      </c>
      <c r="I1380">
        <v>2.5</v>
      </c>
      <c r="J1380">
        <v>2017</v>
      </c>
      <c r="K1380">
        <v>10</v>
      </c>
      <c r="L1380" t="s">
        <v>17</v>
      </c>
      <c r="M1380">
        <f>SUM(Pharma_Sales_Data[[#This Row],[M01AB]:[R06]])</f>
        <v>59</v>
      </c>
      <c r="N1380" s="2">
        <f>Pharma_Sales_Data[[#This Row],[Total Drug Sales]]*150</f>
        <v>8850</v>
      </c>
      <c r="O1380" s="2">
        <f>Pharma_Sales_Data[[#This Row],[Total Revenue]]*0.3</f>
        <v>2655</v>
      </c>
      <c r="P1380" t="str">
        <f>IF(Pharma_Sales_Data[[#This Row],[Total Revenue]]&gt;20000,"High Value", IF(Pharma_Sales_Data[[#This Row],[Total Revenue]]&gt;=10000,"Medium Value","Low Value"))</f>
        <v>Low Value</v>
      </c>
    </row>
    <row r="1381" spans="1:16" x14ac:dyDescent="0.35">
      <c r="A1381" s="1">
        <v>43020</v>
      </c>
      <c r="B1381">
        <v>4</v>
      </c>
      <c r="C1381">
        <v>2.3929999999999998</v>
      </c>
      <c r="D1381">
        <v>2.2999999999999998</v>
      </c>
      <c r="E1381">
        <v>41</v>
      </c>
      <c r="F1381">
        <v>9</v>
      </c>
      <c r="G1381">
        <v>0</v>
      </c>
      <c r="H1381">
        <v>1</v>
      </c>
      <c r="I1381">
        <v>2</v>
      </c>
      <c r="J1381">
        <v>2017</v>
      </c>
      <c r="K1381">
        <v>10</v>
      </c>
      <c r="L1381" t="s">
        <v>11</v>
      </c>
      <c r="M1381">
        <f>SUM(Pharma_Sales_Data[[#This Row],[M01AB]:[R06]])</f>
        <v>61.692999999999998</v>
      </c>
      <c r="N1381" s="2">
        <f>Pharma_Sales_Data[[#This Row],[Total Drug Sales]]*150</f>
        <v>9253.9499999999989</v>
      </c>
      <c r="O1381" s="2">
        <f>Pharma_Sales_Data[[#This Row],[Total Revenue]]*0.3</f>
        <v>2776.1849999999995</v>
      </c>
      <c r="P1381" t="str">
        <f>IF(Pharma_Sales_Data[[#This Row],[Total Revenue]]&gt;20000,"High Value", IF(Pharma_Sales_Data[[#This Row],[Total Revenue]]&gt;=10000,"Medium Value","Low Value"))</f>
        <v>Low Value</v>
      </c>
    </row>
    <row r="1382" spans="1:16" x14ac:dyDescent="0.35">
      <c r="A1382" s="1">
        <v>43021</v>
      </c>
      <c r="B1382">
        <v>5.33</v>
      </c>
      <c r="C1382">
        <v>1.3959999999999999</v>
      </c>
      <c r="D1382">
        <v>0.6</v>
      </c>
      <c r="E1382">
        <v>38</v>
      </c>
      <c r="F1382">
        <v>8</v>
      </c>
      <c r="G1382">
        <v>2</v>
      </c>
      <c r="H1382">
        <v>3</v>
      </c>
      <c r="I1382">
        <v>4</v>
      </c>
      <c r="J1382">
        <v>2017</v>
      </c>
      <c r="K1382">
        <v>10</v>
      </c>
      <c r="L1382" t="s">
        <v>12</v>
      </c>
      <c r="M1382">
        <f>SUM(Pharma_Sales_Data[[#This Row],[M01AB]:[R06]])</f>
        <v>62.326000000000001</v>
      </c>
      <c r="N1382" s="2">
        <f>Pharma_Sales_Data[[#This Row],[Total Drug Sales]]*150</f>
        <v>9348.9</v>
      </c>
      <c r="O1382" s="2">
        <f>Pharma_Sales_Data[[#This Row],[Total Revenue]]*0.3</f>
        <v>2804.6699999999996</v>
      </c>
      <c r="P1382" t="str">
        <f>IF(Pharma_Sales_Data[[#This Row],[Total Revenue]]&gt;20000,"High Value", IF(Pharma_Sales_Data[[#This Row],[Total Revenue]]&gt;=10000,"Medium Value","Low Value"))</f>
        <v>Low Value</v>
      </c>
    </row>
    <row r="1383" spans="1:16" x14ac:dyDescent="0.35">
      <c r="A1383" s="1">
        <v>43022</v>
      </c>
      <c r="B1383">
        <v>4.84</v>
      </c>
      <c r="C1383">
        <v>3.66</v>
      </c>
      <c r="D1383">
        <v>4</v>
      </c>
      <c r="E1383">
        <v>42.2</v>
      </c>
      <c r="F1383">
        <v>9</v>
      </c>
      <c r="G1383">
        <v>1</v>
      </c>
      <c r="H1383">
        <v>20</v>
      </c>
      <c r="I1383">
        <v>0</v>
      </c>
      <c r="J1383">
        <v>2017</v>
      </c>
      <c r="K1383">
        <v>10</v>
      </c>
      <c r="L1383" t="s">
        <v>13</v>
      </c>
      <c r="M1383">
        <f>SUM(Pharma_Sales_Data[[#This Row],[M01AB]:[R06]])</f>
        <v>84.7</v>
      </c>
      <c r="N1383" s="2">
        <f>Pharma_Sales_Data[[#This Row],[Total Drug Sales]]*150</f>
        <v>12705</v>
      </c>
      <c r="O1383" s="2">
        <f>Pharma_Sales_Data[[#This Row],[Total Revenue]]*0.3</f>
        <v>3811.5</v>
      </c>
      <c r="P1383" t="str">
        <f>IF(Pharma_Sales_Data[[#This Row],[Total Revenue]]&gt;20000,"High Value", IF(Pharma_Sales_Data[[#This Row],[Total Revenue]]&gt;=10000,"Medium Value","Low Value"))</f>
        <v>Medium Value</v>
      </c>
    </row>
    <row r="1384" spans="1:16" x14ac:dyDescent="0.35">
      <c r="A1384" s="1">
        <v>43023</v>
      </c>
      <c r="B1384">
        <v>6</v>
      </c>
      <c r="C1384">
        <v>6.68</v>
      </c>
      <c r="D1384">
        <v>1</v>
      </c>
      <c r="E1384">
        <v>37</v>
      </c>
      <c r="F1384">
        <v>5</v>
      </c>
      <c r="G1384">
        <v>0</v>
      </c>
      <c r="H1384">
        <v>11</v>
      </c>
      <c r="I1384">
        <v>2</v>
      </c>
      <c r="J1384">
        <v>2017</v>
      </c>
      <c r="K1384">
        <v>10</v>
      </c>
      <c r="L1384" t="s">
        <v>14</v>
      </c>
      <c r="M1384">
        <f>SUM(Pharma_Sales_Data[[#This Row],[M01AB]:[R06]])</f>
        <v>68.680000000000007</v>
      </c>
      <c r="N1384" s="2">
        <f>Pharma_Sales_Data[[#This Row],[Total Drug Sales]]*150</f>
        <v>10302.000000000002</v>
      </c>
      <c r="O1384" s="2">
        <f>Pharma_Sales_Data[[#This Row],[Total Revenue]]*0.3</f>
        <v>3090.6000000000004</v>
      </c>
      <c r="P1384" t="str">
        <f>IF(Pharma_Sales_Data[[#This Row],[Total Revenue]]&gt;20000,"High Value", IF(Pharma_Sales_Data[[#This Row],[Total Revenue]]&gt;=10000,"Medium Value","Low Value"))</f>
        <v>Medium Value</v>
      </c>
    </row>
    <row r="1385" spans="1:16" x14ac:dyDescent="0.35">
      <c r="A1385" s="1">
        <v>43024</v>
      </c>
      <c r="B1385">
        <v>2.33</v>
      </c>
      <c r="C1385">
        <v>0.67</v>
      </c>
      <c r="D1385">
        <v>0</v>
      </c>
      <c r="E1385">
        <v>45.1</v>
      </c>
      <c r="F1385">
        <v>9</v>
      </c>
      <c r="G1385">
        <v>0</v>
      </c>
      <c r="H1385">
        <v>2</v>
      </c>
      <c r="I1385">
        <v>2</v>
      </c>
      <c r="J1385">
        <v>2017</v>
      </c>
      <c r="K1385">
        <v>10</v>
      </c>
      <c r="L1385" t="s">
        <v>15</v>
      </c>
      <c r="M1385">
        <f>SUM(Pharma_Sales_Data[[#This Row],[M01AB]:[R06]])</f>
        <v>61.1</v>
      </c>
      <c r="N1385" s="2">
        <f>Pharma_Sales_Data[[#This Row],[Total Drug Sales]]*150</f>
        <v>9165</v>
      </c>
      <c r="O1385" s="2">
        <f>Pharma_Sales_Data[[#This Row],[Total Revenue]]*0.3</f>
        <v>2749.5</v>
      </c>
      <c r="P1385" t="str">
        <f>IF(Pharma_Sales_Data[[#This Row],[Total Revenue]]&gt;20000,"High Value", IF(Pharma_Sales_Data[[#This Row],[Total Revenue]]&gt;=10000,"Medium Value","Low Value"))</f>
        <v>Low Value</v>
      </c>
    </row>
    <row r="1386" spans="1:16" x14ac:dyDescent="0.35">
      <c r="A1386" s="1">
        <v>43025</v>
      </c>
      <c r="B1386">
        <v>3.34</v>
      </c>
      <c r="C1386">
        <v>1.67</v>
      </c>
      <c r="D1386">
        <v>6</v>
      </c>
      <c r="E1386">
        <v>26.2</v>
      </c>
      <c r="F1386">
        <v>9</v>
      </c>
      <c r="G1386">
        <v>2</v>
      </c>
      <c r="H1386">
        <v>6</v>
      </c>
      <c r="I1386">
        <v>1</v>
      </c>
      <c r="J1386">
        <v>2017</v>
      </c>
      <c r="K1386">
        <v>10</v>
      </c>
      <c r="L1386" t="s">
        <v>16</v>
      </c>
      <c r="M1386">
        <f>SUM(Pharma_Sales_Data[[#This Row],[M01AB]:[R06]])</f>
        <v>55.21</v>
      </c>
      <c r="N1386" s="2">
        <f>Pharma_Sales_Data[[#This Row],[Total Drug Sales]]*150</f>
        <v>8281.5</v>
      </c>
      <c r="O1386" s="2">
        <f>Pharma_Sales_Data[[#This Row],[Total Revenue]]*0.3</f>
        <v>2484.4499999999998</v>
      </c>
      <c r="P1386" t="str">
        <f>IF(Pharma_Sales_Data[[#This Row],[Total Revenue]]&gt;20000,"High Value", IF(Pharma_Sales_Data[[#This Row],[Total Revenue]]&gt;=10000,"Medium Value","Low Value"))</f>
        <v>Low Value</v>
      </c>
    </row>
    <row r="1387" spans="1:16" x14ac:dyDescent="0.35">
      <c r="A1387" s="1">
        <v>43026</v>
      </c>
      <c r="B1387">
        <v>5.34</v>
      </c>
      <c r="C1387">
        <v>1.33</v>
      </c>
      <c r="D1387">
        <v>1</v>
      </c>
      <c r="E1387">
        <v>52.85</v>
      </c>
      <c r="F1387">
        <v>15</v>
      </c>
      <c r="G1387">
        <v>0</v>
      </c>
      <c r="H1387">
        <v>1</v>
      </c>
      <c r="I1387">
        <v>1</v>
      </c>
      <c r="J1387">
        <v>2017</v>
      </c>
      <c r="K1387">
        <v>10</v>
      </c>
      <c r="L1387" t="s">
        <v>17</v>
      </c>
      <c r="M1387">
        <f>SUM(Pharma_Sales_Data[[#This Row],[M01AB]:[R06]])</f>
        <v>77.52000000000001</v>
      </c>
      <c r="N1387" s="2">
        <f>Pharma_Sales_Data[[#This Row],[Total Drug Sales]]*150</f>
        <v>11628.000000000002</v>
      </c>
      <c r="O1387" s="2">
        <f>Pharma_Sales_Data[[#This Row],[Total Revenue]]*0.3</f>
        <v>3488.4000000000005</v>
      </c>
      <c r="P1387" t="str">
        <f>IF(Pharma_Sales_Data[[#This Row],[Total Revenue]]&gt;20000,"High Value", IF(Pharma_Sales_Data[[#This Row],[Total Revenue]]&gt;=10000,"Medium Value","Low Value"))</f>
        <v>Medium Value</v>
      </c>
    </row>
    <row r="1388" spans="1:16" x14ac:dyDescent="0.35">
      <c r="A1388" s="1">
        <v>43027</v>
      </c>
      <c r="B1388">
        <v>4.33</v>
      </c>
      <c r="C1388">
        <v>5.99</v>
      </c>
      <c r="D1388">
        <v>4.7</v>
      </c>
      <c r="E1388">
        <v>25.5</v>
      </c>
      <c r="F1388">
        <v>8</v>
      </c>
      <c r="G1388">
        <v>0</v>
      </c>
      <c r="H1388">
        <v>13</v>
      </c>
      <c r="I1388">
        <v>0</v>
      </c>
      <c r="J1388">
        <v>2017</v>
      </c>
      <c r="K1388">
        <v>10</v>
      </c>
      <c r="L1388" t="s">
        <v>11</v>
      </c>
      <c r="M1388">
        <f>SUM(Pharma_Sales_Data[[#This Row],[M01AB]:[R06]])</f>
        <v>61.519999999999996</v>
      </c>
      <c r="N1388" s="2">
        <f>Pharma_Sales_Data[[#This Row],[Total Drug Sales]]*150</f>
        <v>9228</v>
      </c>
      <c r="O1388" s="2">
        <f>Pharma_Sales_Data[[#This Row],[Total Revenue]]*0.3</f>
        <v>2768.4</v>
      </c>
      <c r="P1388" t="str">
        <f>IF(Pharma_Sales_Data[[#This Row],[Total Revenue]]&gt;20000,"High Value", IF(Pharma_Sales_Data[[#This Row],[Total Revenue]]&gt;=10000,"Medium Value","Low Value"))</f>
        <v>Low Value</v>
      </c>
    </row>
    <row r="1389" spans="1:16" x14ac:dyDescent="0.35">
      <c r="A1389" s="1">
        <v>43028</v>
      </c>
      <c r="B1389">
        <v>2.83</v>
      </c>
      <c r="C1389">
        <v>4.3630000000000004</v>
      </c>
      <c r="D1389">
        <v>3</v>
      </c>
      <c r="E1389">
        <v>36.25</v>
      </c>
      <c r="F1389">
        <v>15</v>
      </c>
      <c r="G1389">
        <v>0</v>
      </c>
      <c r="H1389">
        <v>8</v>
      </c>
      <c r="I1389">
        <v>0</v>
      </c>
      <c r="J1389">
        <v>2017</v>
      </c>
      <c r="K1389">
        <v>10</v>
      </c>
      <c r="L1389" t="s">
        <v>12</v>
      </c>
      <c r="M1389">
        <f>SUM(Pharma_Sales_Data[[#This Row],[M01AB]:[R06]])</f>
        <v>69.442999999999998</v>
      </c>
      <c r="N1389" s="2">
        <f>Pharma_Sales_Data[[#This Row],[Total Drug Sales]]*150</f>
        <v>10416.449999999999</v>
      </c>
      <c r="O1389" s="2">
        <f>Pharma_Sales_Data[[#This Row],[Total Revenue]]*0.3</f>
        <v>3124.9349999999995</v>
      </c>
      <c r="P1389" t="str">
        <f>IF(Pharma_Sales_Data[[#This Row],[Total Revenue]]&gt;20000,"High Value", IF(Pharma_Sales_Data[[#This Row],[Total Revenue]]&gt;=10000,"Medium Value","Low Value"))</f>
        <v>Medium Value</v>
      </c>
    </row>
    <row r="1390" spans="1:16" x14ac:dyDescent="0.35">
      <c r="A1390" s="1">
        <v>43029</v>
      </c>
      <c r="B1390">
        <v>3.33</v>
      </c>
      <c r="C1390">
        <v>3.7690000000000001</v>
      </c>
      <c r="D1390">
        <v>3.3</v>
      </c>
      <c r="E1390">
        <v>25.2</v>
      </c>
      <c r="F1390">
        <v>9</v>
      </c>
      <c r="G1390">
        <v>3</v>
      </c>
      <c r="H1390">
        <v>5</v>
      </c>
      <c r="I1390">
        <v>4</v>
      </c>
      <c r="J1390">
        <v>2017</v>
      </c>
      <c r="K1390">
        <v>10</v>
      </c>
      <c r="L1390" t="s">
        <v>13</v>
      </c>
      <c r="M1390">
        <f>SUM(Pharma_Sales_Data[[#This Row],[M01AB]:[R06]])</f>
        <v>56.599000000000004</v>
      </c>
      <c r="N1390" s="2">
        <f>Pharma_Sales_Data[[#This Row],[Total Drug Sales]]*150</f>
        <v>8489.85</v>
      </c>
      <c r="O1390" s="2">
        <f>Pharma_Sales_Data[[#This Row],[Total Revenue]]*0.3</f>
        <v>2546.9549999999999</v>
      </c>
      <c r="P1390" t="str">
        <f>IF(Pharma_Sales_Data[[#This Row],[Total Revenue]]&gt;20000,"High Value", IF(Pharma_Sales_Data[[#This Row],[Total Revenue]]&gt;=10000,"Medium Value","Low Value"))</f>
        <v>Low Value</v>
      </c>
    </row>
    <row r="1391" spans="1:16" x14ac:dyDescent="0.35">
      <c r="A1391" s="1">
        <v>43030</v>
      </c>
      <c r="B1391">
        <v>8</v>
      </c>
      <c r="C1391">
        <v>5</v>
      </c>
      <c r="D1391">
        <v>5</v>
      </c>
      <c r="E1391">
        <v>57.8</v>
      </c>
      <c r="F1391">
        <v>8</v>
      </c>
      <c r="G1391">
        <v>0</v>
      </c>
      <c r="H1391">
        <v>9</v>
      </c>
      <c r="I1391">
        <v>2</v>
      </c>
      <c r="J1391">
        <v>2017</v>
      </c>
      <c r="K1391">
        <v>10</v>
      </c>
      <c r="L1391" t="s">
        <v>14</v>
      </c>
      <c r="M1391">
        <f>SUM(Pharma_Sales_Data[[#This Row],[M01AB]:[R06]])</f>
        <v>94.8</v>
      </c>
      <c r="N1391" s="2">
        <f>Pharma_Sales_Data[[#This Row],[Total Drug Sales]]*150</f>
        <v>14220</v>
      </c>
      <c r="O1391" s="2">
        <f>Pharma_Sales_Data[[#This Row],[Total Revenue]]*0.3</f>
        <v>4266</v>
      </c>
      <c r="P1391" t="str">
        <f>IF(Pharma_Sales_Data[[#This Row],[Total Revenue]]&gt;20000,"High Value", IF(Pharma_Sales_Data[[#This Row],[Total Revenue]]&gt;=10000,"Medium Value","Low Value"))</f>
        <v>Medium Value</v>
      </c>
    </row>
    <row r="1392" spans="1:16" x14ac:dyDescent="0.35">
      <c r="A1392" s="1">
        <v>43031</v>
      </c>
      <c r="B1392">
        <v>3.33</v>
      </c>
      <c r="C1392">
        <v>1.363</v>
      </c>
      <c r="D1392">
        <v>2</v>
      </c>
      <c r="E1392">
        <v>28.6</v>
      </c>
      <c r="F1392">
        <v>4</v>
      </c>
      <c r="G1392">
        <v>0</v>
      </c>
      <c r="H1392">
        <v>28</v>
      </c>
      <c r="I1392">
        <v>1</v>
      </c>
      <c r="J1392">
        <v>2017</v>
      </c>
      <c r="K1392">
        <v>10</v>
      </c>
      <c r="L1392" t="s">
        <v>15</v>
      </c>
      <c r="M1392">
        <f>SUM(Pharma_Sales_Data[[#This Row],[M01AB]:[R06]])</f>
        <v>68.293000000000006</v>
      </c>
      <c r="N1392" s="2">
        <f>Pharma_Sales_Data[[#This Row],[Total Drug Sales]]*150</f>
        <v>10243.950000000001</v>
      </c>
      <c r="O1392" s="2">
        <f>Pharma_Sales_Data[[#This Row],[Total Revenue]]*0.3</f>
        <v>3073.1849999999999</v>
      </c>
      <c r="P1392" t="str">
        <f>IF(Pharma_Sales_Data[[#This Row],[Total Revenue]]&gt;20000,"High Value", IF(Pharma_Sales_Data[[#This Row],[Total Revenue]]&gt;=10000,"Medium Value","Low Value"))</f>
        <v>Medium Value</v>
      </c>
    </row>
    <row r="1393" spans="1:16" x14ac:dyDescent="0.35">
      <c r="A1393" s="1">
        <v>43032</v>
      </c>
      <c r="B1393">
        <v>2</v>
      </c>
      <c r="C1393">
        <v>2</v>
      </c>
      <c r="D1393">
        <v>10</v>
      </c>
      <c r="E1393">
        <v>65.2</v>
      </c>
      <c r="F1393">
        <v>3</v>
      </c>
      <c r="G1393">
        <v>0</v>
      </c>
      <c r="H1393">
        <v>10</v>
      </c>
      <c r="I1393">
        <v>1</v>
      </c>
      <c r="J1393">
        <v>2017</v>
      </c>
      <c r="K1393">
        <v>10</v>
      </c>
      <c r="L1393" t="s">
        <v>16</v>
      </c>
      <c r="M1393">
        <f>SUM(Pharma_Sales_Data[[#This Row],[M01AB]:[R06]])</f>
        <v>93.2</v>
      </c>
      <c r="N1393" s="2">
        <f>Pharma_Sales_Data[[#This Row],[Total Drug Sales]]*150</f>
        <v>13980</v>
      </c>
      <c r="O1393" s="2">
        <f>Pharma_Sales_Data[[#This Row],[Total Revenue]]*0.3</f>
        <v>4194</v>
      </c>
      <c r="P1393" t="str">
        <f>IF(Pharma_Sales_Data[[#This Row],[Total Revenue]]&gt;20000,"High Value", IF(Pharma_Sales_Data[[#This Row],[Total Revenue]]&gt;=10000,"Medium Value","Low Value"))</f>
        <v>Medium Value</v>
      </c>
    </row>
    <row r="1394" spans="1:16" x14ac:dyDescent="0.35">
      <c r="A1394" s="1">
        <v>43033</v>
      </c>
      <c r="B1394">
        <v>6.34</v>
      </c>
      <c r="C1394">
        <v>3.33</v>
      </c>
      <c r="D1394">
        <v>5.35</v>
      </c>
      <c r="E1394">
        <v>26.9</v>
      </c>
      <c r="F1394">
        <v>4</v>
      </c>
      <c r="G1394">
        <v>0</v>
      </c>
      <c r="H1394">
        <v>1</v>
      </c>
      <c r="I1394">
        <v>1</v>
      </c>
      <c r="J1394">
        <v>2017</v>
      </c>
      <c r="K1394">
        <v>10</v>
      </c>
      <c r="L1394" t="s">
        <v>17</v>
      </c>
      <c r="M1394">
        <f>SUM(Pharma_Sales_Data[[#This Row],[M01AB]:[R06]])</f>
        <v>47.92</v>
      </c>
      <c r="N1394" s="2">
        <f>Pharma_Sales_Data[[#This Row],[Total Drug Sales]]*150</f>
        <v>7188</v>
      </c>
      <c r="O1394" s="2">
        <f>Pharma_Sales_Data[[#This Row],[Total Revenue]]*0.3</f>
        <v>2156.4</v>
      </c>
      <c r="P1394" t="str">
        <f>IF(Pharma_Sales_Data[[#This Row],[Total Revenue]]&gt;20000,"High Value", IF(Pharma_Sales_Data[[#This Row],[Total Revenue]]&gt;=10000,"Medium Value","Low Value"))</f>
        <v>Low Value</v>
      </c>
    </row>
    <row r="1395" spans="1:16" x14ac:dyDescent="0.35">
      <c r="A1395" s="1">
        <v>43034</v>
      </c>
      <c r="B1395">
        <v>1.33</v>
      </c>
      <c r="C1395">
        <v>1.099</v>
      </c>
      <c r="D1395">
        <v>2</v>
      </c>
      <c r="E1395">
        <v>38</v>
      </c>
      <c r="F1395">
        <v>9</v>
      </c>
      <c r="G1395">
        <v>1</v>
      </c>
      <c r="H1395">
        <v>5</v>
      </c>
      <c r="I1395">
        <v>2.2999999999999998</v>
      </c>
      <c r="J1395">
        <v>2017</v>
      </c>
      <c r="K1395">
        <v>10</v>
      </c>
      <c r="L1395" t="s">
        <v>11</v>
      </c>
      <c r="M1395">
        <f>SUM(Pharma_Sales_Data[[#This Row],[M01AB]:[R06]])</f>
        <v>59.728999999999999</v>
      </c>
      <c r="N1395" s="2">
        <f>Pharma_Sales_Data[[#This Row],[Total Drug Sales]]*150</f>
        <v>8959.35</v>
      </c>
      <c r="O1395" s="2">
        <f>Pharma_Sales_Data[[#This Row],[Total Revenue]]*0.3</f>
        <v>2687.8049999999998</v>
      </c>
      <c r="P1395" t="str">
        <f>IF(Pharma_Sales_Data[[#This Row],[Total Revenue]]&gt;20000,"High Value", IF(Pharma_Sales_Data[[#This Row],[Total Revenue]]&gt;=10000,"Medium Value","Low Value"))</f>
        <v>Low Value</v>
      </c>
    </row>
    <row r="1396" spans="1:16" x14ac:dyDescent="0.35">
      <c r="A1396" s="1">
        <v>43035</v>
      </c>
      <c r="B1396">
        <v>6.32</v>
      </c>
      <c r="C1396">
        <v>2.363</v>
      </c>
      <c r="D1396">
        <v>6</v>
      </c>
      <c r="E1396">
        <v>26</v>
      </c>
      <c r="F1396">
        <v>14</v>
      </c>
      <c r="G1396">
        <v>1</v>
      </c>
      <c r="H1396">
        <v>21</v>
      </c>
      <c r="I1396">
        <v>2</v>
      </c>
      <c r="J1396">
        <v>2017</v>
      </c>
      <c r="K1396">
        <v>10</v>
      </c>
      <c r="L1396" t="s">
        <v>12</v>
      </c>
      <c r="M1396">
        <f>SUM(Pharma_Sales_Data[[#This Row],[M01AB]:[R06]])</f>
        <v>78.682999999999993</v>
      </c>
      <c r="N1396" s="2">
        <f>Pharma_Sales_Data[[#This Row],[Total Drug Sales]]*150</f>
        <v>11802.449999999999</v>
      </c>
      <c r="O1396" s="2">
        <f>Pharma_Sales_Data[[#This Row],[Total Revenue]]*0.3</f>
        <v>3540.7349999999997</v>
      </c>
      <c r="P1396" t="str">
        <f>IF(Pharma_Sales_Data[[#This Row],[Total Revenue]]&gt;20000,"High Value", IF(Pharma_Sales_Data[[#This Row],[Total Revenue]]&gt;=10000,"Medium Value","Low Value"))</f>
        <v>Medium Value</v>
      </c>
    </row>
    <row r="1397" spans="1:16" x14ac:dyDescent="0.35">
      <c r="A1397" s="1">
        <v>43036</v>
      </c>
      <c r="B1397">
        <v>5</v>
      </c>
      <c r="C1397">
        <v>2.33</v>
      </c>
      <c r="D1397">
        <v>4</v>
      </c>
      <c r="E1397">
        <v>24.1</v>
      </c>
      <c r="F1397">
        <v>11</v>
      </c>
      <c r="G1397">
        <v>0</v>
      </c>
      <c r="H1397">
        <v>7</v>
      </c>
      <c r="I1397">
        <v>3</v>
      </c>
      <c r="J1397">
        <v>2017</v>
      </c>
      <c r="K1397">
        <v>10</v>
      </c>
      <c r="L1397" t="s">
        <v>13</v>
      </c>
      <c r="M1397">
        <f>SUM(Pharma_Sales_Data[[#This Row],[M01AB]:[R06]])</f>
        <v>56.43</v>
      </c>
      <c r="N1397" s="2">
        <f>Pharma_Sales_Data[[#This Row],[Total Drug Sales]]*150</f>
        <v>8464.5</v>
      </c>
      <c r="O1397" s="2">
        <f>Pharma_Sales_Data[[#This Row],[Total Revenue]]*0.3</f>
        <v>2539.35</v>
      </c>
      <c r="P1397" t="str">
        <f>IF(Pharma_Sales_Data[[#This Row],[Total Revenue]]&gt;20000,"High Value", IF(Pharma_Sales_Data[[#This Row],[Total Revenue]]&gt;=10000,"Medium Value","Low Value"))</f>
        <v>Low Value</v>
      </c>
    </row>
    <row r="1398" spans="1:16" x14ac:dyDescent="0.35">
      <c r="A1398" s="1">
        <v>43037</v>
      </c>
      <c r="B1398">
        <v>7.66</v>
      </c>
      <c r="C1398">
        <v>2.3730000000000002</v>
      </c>
      <c r="D1398">
        <v>1.05</v>
      </c>
      <c r="E1398">
        <v>36</v>
      </c>
      <c r="F1398">
        <v>3</v>
      </c>
      <c r="G1398">
        <v>0</v>
      </c>
      <c r="H1398">
        <v>1</v>
      </c>
      <c r="I1398">
        <v>2.2000000000000002</v>
      </c>
      <c r="J1398">
        <v>2017</v>
      </c>
      <c r="K1398">
        <v>10</v>
      </c>
      <c r="L1398" t="s">
        <v>14</v>
      </c>
      <c r="M1398">
        <f>SUM(Pharma_Sales_Data[[#This Row],[M01AB]:[R06]])</f>
        <v>53.283000000000001</v>
      </c>
      <c r="N1398" s="2">
        <f>Pharma_Sales_Data[[#This Row],[Total Drug Sales]]*150</f>
        <v>7992.45</v>
      </c>
      <c r="O1398" s="2">
        <f>Pharma_Sales_Data[[#This Row],[Total Revenue]]*0.3</f>
        <v>2397.7349999999997</v>
      </c>
      <c r="P1398" t="str">
        <f>IF(Pharma_Sales_Data[[#This Row],[Total Revenue]]&gt;20000,"High Value", IF(Pharma_Sales_Data[[#This Row],[Total Revenue]]&gt;=10000,"Medium Value","Low Value"))</f>
        <v>Low Value</v>
      </c>
    </row>
    <row r="1399" spans="1:16" x14ac:dyDescent="0.35">
      <c r="A1399" s="1">
        <v>43038</v>
      </c>
      <c r="B1399">
        <v>1.5</v>
      </c>
      <c r="C1399">
        <v>3.66</v>
      </c>
      <c r="D1399">
        <v>2</v>
      </c>
      <c r="E1399">
        <v>32.799999999999997</v>
      </c>
      <c r="F1399">
        <v>7</v>
      </c>
      <c r="G1399">
        <v>0</v>
      </c>
      <c r="H1399">
        <v>9</v>
      </c>
      <c r="I1399">
        <v>1</v>
      </c>
      <c r="J1399">
        <v>2017</v>
      </c>
      <c r="K1399">
        <v>10</v>
      </c>
      <c r="L1399" t="s">
        <v>15</v>
      </c>
      <c r="M1399">
        <f>SUM(Pharma_Sales_Data[[#This Row],[M01AB]:[R06]])</f>
        <v>56.959999999999994</v>
      </c>
      <c r="N1399" s="2">
        <f>Pharma_Sales_Data[[#This Row],[Total Drug Sales]]*150</f>
        <v>8543.9999999999982</v>
      </c>
      <c r="O1399" s="2">
        <f>Pharma_Sales_Data[[#This Row],[Total Revenue]]*0.3</f>
        <v>2563.1999999999994</v>
      </c>
      <c r="P1399" t="str">
        <f>IF(Pharma_Sales_Data[[#This Row],[Total Revenue]]&gt;20000,"High Value", IF(Pharma_Sales_Data[[#This Row],[Total Revenue]]&gt;=10000,"Medium Value","Low Value"))</f>
        <v>Low Value</v>
      </c>
    </row>
    <row r="1400" spans="1:16" x14ac:dyDescent="0.35">
      <c r="A1400" s="1">
        <v>43039</v>
      </c>
      <c r="B1400">
        <v>4.33</v>
      </c>
      <c r="C1400">
        <v>1.363</v>
      </c>
      <c r="D1400">
        <v>4</v>
      </c>
      <c r="E1400">
        <v>38</v>
      </c>
      <c r="F1400">
        <v>2</v>
      </c>
      <c r="G1400">
        <v>0</v>
      </c>
      <c r="H1400">
        <v>0</v>
      </c>
      <c r="I1400">
        <v>1</v>
      </c>
      <c r="J1400">
        <v>2017</v>
      </c>
      <c r="K1400">
        <v>10</v>
      </c>
      <c r="L1400" t="s">
        <v>16</v>
      </c>
      <c r="M1400">
        <f>SUM(Pharma_Sales_Data[[#This Row],[M01AB]:[R06]])</f>
        <v>50.692999999999998</v>
      </c>
      <c r="N1400" s="2">
        <f>Pharma_Sales_Data[[#This Row],[Total Drug Sales]]*150</f>
        <v>7603.95</v>
      </c>
      <c r="O1400" s="2">
        <f>Pharma_Sales_Data[[#This Row],[Total Revenue]]*0.3</f>
        <v>2281.1849999999999</v>
      </c>
      <c r="P1400" t="str">
        <f>IF(Pharma_Sales_Data[[#This Row],[Total Revenue]]&gt;20000,"High Value", IF(Pharma_Sales_Data[[#This Row],[Total Revenue]]&gt;=10000,"Medium Value","Low Value"))</f>
        <v>Low Value</v>
      </c>
    </row>
    <row r="1401" spans="1:16" x14ac:dyDescent="0.35">
      <c r="A1401" s="1">
        <v>43040</v>
      </c>
      <c r="B1401">
        <v>0.67</v>
      </c>
      <c r="C1401">
        <v>3.4289999999999998</v>
      </c>
      <c r="D1401">
        <v>2</v>
      </c>
      <c r="E1401">
        <v>23</v>
      </c>
      <c r="F1401">
        <v>5</v>
      </c>
      <c r="G1401">
        <v>0</v>
      </c>
      <c r="H1401">
        <v>3</v>
      </c>
      <c r="I1401">
        <v>1</v>
      </c>
      <c r="J1401">
        <v>2017</v>
      </c>
      <c r="K1401">
        <v>11</v>
      </c>
      <c r="L1401" t="s">
        <v>17</v>
      </c>
      <c r="M1401">
        <f>SUM(Pharma_Sales_Data[[#This Row],[M01AB]:[R06]])</f>
        <v>38.099000000000004</v>
      </c>
      <c r="N1401" s="2">
        <f>Pharma_Sales_Data[[#This Row],[Total Drug Sales]]*150</f>
        <v>5714.85</v>
      </c>
      <c r="O1401" s="2">
        <f>Pharma_Sales_Data[[#This Row],[Total Revenue]]*0.3</f>
        <v>1714.4550000000002</v>
      </c>
      <c r="P1401" t="str">
        <f>IF(Pharma_Sales_Data[[#This Row],[Total Revenue]]&gt;20000,"High Value", IF(Pharma_Sales_Data[[#This Row],[Total Revenue]]&gt;=10000,"Medium Value","Low Value"))</f>
        <v>Low Value</v>
      </c>
    </row>
    <row r="1402" spans="1:16" x14ac:dyDescent="0.35">
      <c r="A1402" s="1">
        <v>43041</v>
      </c>
      <c r="B1402">
        <v>4</v>
      </c>
      <c r="C1402">
        <v>2.0659999999999998</v>
      </c>
      <c r="D1402">
        <v>1.55</v>
      </c>
      <c r="E1402">
        <v>22.1</v>
      </c>
      <c r="F1402">
        <v>5</v>
      </c>
      <c r="G1402">
        <v>0</v>
      </c>
      <c r="H1402">
        <v>11</v>
      </c>
      <c r="I1402">
        <v>3</v>
      </c>
      <c r="J1402">
        <v>2017</v>
      </c>
      <c r="K1402">
        <v>11</v>
      </c>
      <c r="L1402" t="s">
        <v>11</v>
      </c>
      <c r="M1402">
        <f>SUM(Pharma_Sales_Data[[#This Row],[M01AB]:[R06]])</f>
        <v>48.716000000000001</v>
      </c>
      <c r="N1402" s="2">
        <f>Pharma_Sales_Data[[#This Row],[Total Drug Sales]]*150</f>
        <v>7307.4000000000005</v>
      </c>
      <c r="O1402" s="2">
        <f>Pharma_Sales_Data[[#This Row],[Total Revenue]]*0.3</f>
        <v>2192.2200000000003</v>
      </c>
      <c r="P1402" t="str">
        <f>IF(Pharma_Sales_Data[[#This Row],[Total Revenue]]&gt;20000,"High Value", IF(Pharma_Sales_Data[[#This Row],[Total Revenue]]&gt;=10000,"Medium Value","Low Value"))</f>
        <v>Low Value</v>
      </c>
    </row>
    <row r="1403" spans="1:16" x14ac:dyDescent="0.35">
      <c r="A1403" s="1">
        <v>43042</v>
      </c>
      <c r="B1403">
        <v>2.33</v>
      </c>
      <c r="C1403">
        <v>7.67</v>
      </c>
      <c r="D1403">
        <v>4.4000000000000004</v>
      </c>
      <c r="E1403">
        <v>37.4</v>
      </c>
      <c r="F1403">
        <v>10</v>
      </c>
      <c r="G1403">
        <v>3</v>
      </c>
      <c r="H1403">
        <v>6</v>
      </c>
      <c r="I1403">
        <v>1</v>
      </c>
      <c r="J1403">
        <v>2017</v>
      </c>
      <c r="K1403">
        <v>11</v>
      </c>
      <c r="L1403" t="s">
        <v>12</v>
      </c>
      <c r="M1403">
        <f>SUM(Pharma_Sales_Data[[#This Row],[M01AB]:[R06]])</f>
        <v>71.8</v>
      </c>
      <c r="N1403" s="2">
        <f>Pharma_Sales_Data[[#This Row],[Total Drug Sales]]*150</f>
        <v>10770</v>
      </c>
      <c r="O1403" s="2">
        <f>Pharma_Sales_Data[[#This Row],[Total Revenue]]*0.3</f>
        <v>3231</v>
      </c>
      <c r="P1403" t="str">
        <f>IF(Pharma_Sales_Data[[#This Row],[Total Revenue]]&gt;20000,"High Value", IF(Pharma_Sales_Data[[#This Row],[Total Revenue]]&gt;=10000,"Medium Value","Low Value"))</f>
        <v>Medium Value</v>
      </c>
    </row>
    <row r="1404" spans="1:16" x14ac:dyDescent="0.35">
      <c r="A1404" s="1">
        <v>43043</v>
      </c>
      <c r="B1404">
        <v>10.34</v>
      </c>
      <c r="C1404">
        <v>7.4720000000000004</v>
      </c>
      <c r="D1404">
        <v>6</v>
      </c>
      <c r="E1404">
        <v>33</v>
      </c>
      <c r="F1404">
        <v>5</v>
      </c>
      <c r="G1404">
        <v>0</v>
      </c>
      <c r="H1404">
        <v>1</v>
      </c>
      <c r="I1404">
        <v>3.2</v>
      </c>
      <c r="J1404">
        <v>2017</v>
      </c>
      <c r="K1404">
        <v>11</v>
      </c>
      <c r="L1404" t="s">
        <v>13</v>
      </c>
      <c r="M1404">
        <f>SUM(Pharma_Sales_Data[[#This Row],[M01AB]:[R06]])</f>
        <v>66.012</v>
      </c>
      <c r="N1404" s="2">
        <f>Pharma_Sales_Data[[#This Row],[Total Drug Sales]]*150</f>
        <v>9901.7999999999993</v>
      </c>
      <c r="O1404" s="2">
        <f>Pharma_Sales_Data[[#This Row],[Total Revenue]]*0.3</f>
        <v>2970.5399999999995</v>
      </c>
      <c r="P1404" t="str">
        <f>IF(Pharma_Sales_Data[[#This Row],[Total Revenue]]&gt;20000,"High Value", IF(Pharma_Sales_Data[[#This Row],[Total Revenue]]&gt;=10000,"Medium Value","Low Value"))</f>
        <v>Low Value</v>
      </c>
    </row>
    <row r="1405" spans="1:16" x14ac:dyDescent="0.35">
      <c r="A1405" s="1">
        <v>43044</v>
      </c>
      <c r="B1405">
        <v>6.33</v>
      </c>
      <c r="C1405">
        <v>5.7990000000000004</v>
      </c>
      <c r="D1405">
        <v>1.1000000000000001</v>
      </c>
      <c r="E1405">
        <v>35.450000000000003</v>
      </c>
      <c r="F1405">
        <v>1</v>
      </c>
      <c r="G1405">
        <v>0</v>
      </c>
      <c r="H1405">
        <v>5</v>
      </c>
      <c r="I1405">
        <v>2</v>
      </c>
      <c r="J1405">
        <v>2017</v>
      </c>
      <c r="K1405">
        <v>11</v>
      </c>
      <c r="L1405" t="s">
        <v>14</v>
      </c>
      <c r="M1405">
        <f>SUM(Pharma_Sales_Data[[#This Row],[M01AB]:[R06]])</f>
        <v>56.679000000000002</v>
      </c>
      <c r="N1405" s="2">
        <f>Pharma_Sales_Data[[#This Row],[Total Drug Sales]]*150</f>
        <v>8501.85</v>
      </c>
      <c r="O1405" s="2">
        <f>Pharma_Sales_Data[[#This Row],[Total Revenue]]*0.3</f>
        <v>2550.5549999999998</v>
      </c>
      <c r="P1405" t="str">
        <f>IF(Pharma_Sales_Data[[#This Row],[Total Revenue]]&gt;20000,"High Value", IF(Pharma_Sales_Data[[#This Row],[Total Revenue]]&gt;=10000,"Medium Value","Low Value"))</f>
        <v>Low Value</v>
      </c>
    </row>
    <row r="1406" spans="1:16" x14ac:dyDescent="0.35">
      <c r="A1406" s="1">
        <v>43045</v>
      </c>
      <c r="B1406">
        <v>8.34</v>
      </c>
      <c r="C1406">
        <v>3.2</v>
      </c>
      <c r="D1406">
        <v>2</v>
      </c>
      <c r="E1406">
        <v>20.2</v>
      </c>
      <c r="F1406">
        <v>11</v>
      </c>
      <c r="G1406">
        <v>3</v>
      </c>
      <c r="H1406">
        <v>8</v>
      </c>
      <c r="I1406">
        <v>1</v>
      </c>
      <c r="J1406">
        <v>2017</v>
      </c>
      <c r="K1406">
        <v>11</v>
      </c>
      <c r="L1406" t="s">
        <v>15</v>
      </c>
      <c r="M1406">
        <f>SUM(Pharma_Sales_Data[[#This Row],[M01AB]:[R06]])</f>
        <v>56.739999999999995</v>
      </c>
      <c r="N1406" s="2">
        <f>Pharma_Sales_Data[[#This Row],[Total Drug Sales]]*150</f>
        <v>8511</v>
      </c>
      <c r="O1406" s="2">
        <f>Pharma_Sales_Data[[#This Row],[Total Revenue]]*0.3</f>
        <v>2553.2999999999997</v>
      </c>
      <c r="P1406" t="str">
        <f>IF(Pharma_Sales_Data[[#This Row],[Total Revenue]]&gt;20000,"High Value", IF(Pharma_Sales_Data[[#This Row],[Total Revenue]]&gt;=10000,"Medium Value","Low Value"))</f>
        <v>Low Value</v>
      </c>
    </row>
    <row r="1407" spans="1:16" x14ac:dyDescent="0.35">
      <c r="A1407" s="1">
        <v>43046</v>
      </c>
      <c r="B1407">
        <v>0.67</v>
      </c>
      <c r="C1407">
        <v>4</v>
      </c>
      <c r="D1407">
        <v>7</v>
      </c>
      <c r="E1407">
        <v>20</v>
      </c>
      <c r="F1407">
        <v>4</v>
      </c>
      <c r="G1407">
        <v>0</v>
      </c>
      <c r="H1407">
        <v>0</v>
      </c>
      <c r="I1407">
        <v>1.5</v>
      </c>
      <c r="J1407">
        <v>2017</v>
      </c>
      <c r="K1407">
        <v>11</v>
      </c>
      <c r="L1407" t="s">
        <v>16</v>
      </c>
      <c r="M1407">
        <f>SUM(Pharma_Sales_Data[[#This Row],[M01AB]:[R06]])</f>
        <v>37.17</v>
      </c>
      <c r="N1407" s="2">
        <f>Pharma_Sales_Data[[#This Row],[Total Drug Sales]]*150</f>
        <v>5575.5</v>
      </c>
      <c r="O1407" s="2">
        <f>Pharma_Sales_Data[[#This Row],[Total Revenue]]*0.3</f>
        <v>1672.6499999999999</v>
      </c>
      <c r="P1407" t="str">
        <f>IF(Pharma_Sales_Data[[#This Row],[Total Revenue]]&gt;20000,"High Value", IF(Pharma_Sales_Data[[#This Row],[Total Revenue]]&gt;=10000,"Medium Value","Low Value"))</f>
        <v>Low Value</v>
      </c>
    </row>
    <row r="1408" spans="1:16" x14ac:dyDescent="0.35">
      <c r="A1408" s="1">
        <v>43047</v>
      </c>
      <c r="B1408">
        <v>6</v>
      </c>
      <c r="C1408">
        <v>1.1000000000000001</v>
      </c>
      <c r="D1408">
        <v>2</v>
      </c>
      <c r="E1408">
        <v>9.1999999999999993</v>
      </c>
      <c r="F1408">
        <v>1</v>
      </c>
      <c r="G1408">
        <v>0</v>
      </c>
      <c r="H1408">
        <v>5</v>
      </c>
      <c r="I1408">
        <v>1</v>
      </c>
      <c r="J1408">
        <v>2017</v>
      </c>
      <c r="K1408">
        <v>11</v>
      </c>
      <c r="L1408" t="s">
        <v>17</v>
      </c>
      <c r="M1408">
        <f>SUM(Pharma_Sales_Data[[#This Row],[M01AB]:[R06]])</f>
        <v>25.299999999999997</v>
      </c>
      <c r="N1408" s="2">
        <f>Pharma_Sales_Data[[#This Row],[Total Drug Sales]]*150</f>
        <v>3794.9999999999995</v>
      </c>
      <c r="O1408" s="2">
        <f>Pharma_Sales_Data[[#This Row],[Total Revenue]]*0.3</f>
        <v>1138.4999999999998</v>
      </c>
      <c r="P1408" t="str">
        <f>IF(Pharma_Sales_Data[[#This Row],[Total Revenue]]&gt;20000,"High Value", IF(Pharma_Sales_Data[[#This Row],[Total Revenue]]&gt;=10000,"Medium Value","Low Value"))</f>
        <v>Low Value</v>
      </c>
    </row>
    <row r="1409" spans="1:16" x14ac:dyDescent="0.35">
      <c r="A1409" s="1">
        <v>43048</v>
      </c>
      <c r="B1409">
        <v>2.67</v>
      </c>
      <c r="C1409">
        <v>3.746</v>
      </c>
      <c r="D1409">
        <v>0</v>
      </c>
      <c r="E1409">
        <v>28.8</v>
      </c>
      <c r="F1409">
        <v>2</v>
      </c>
      <c r="G1409">
        <v>0</v>
      </c>
      <c r="H1409">
        <v>11</v>
      </c>
      <c r="I1409">
        <v>1</v>
      </c>
      <c r="J1409">
        <v>2017</v>
      </c>
      <c r="K1409">
        <v>11</v>
      </c>
      <c r="L1409" t="s">
        <v>11</v>
      </c>
      <c r="M1409">
        <f>SUM(Pharma_Sales_Data[[#This Row],[M01AB]:[R06]])</f>
        <v>49.216000000000001</v>
      </c>
      <c r="N1409" s="2">
        <f>Pharma_Sales_Data[[#This Row],[Total Drug Sales]]*150</f>
        <v>7382.4000000000005</v>
      </c>
      <c r="O1409" s="2">
        <f>Pharma_Sales_Data[[#This Row],[Total Revenue]]*0.3</f>
        <v>2214.7200000000003</v>
      </c>
      <c r="P1409" t="str">
        <f>IF(Pharma_Sales_Data[[#This Row],[Total Revenue]]&gt;20000,"High Value", IF(Pharma_Sales_Data[[#This Row],[Total Revenue]]&gt;=10000,"Medium Value","Low Value"))</f>
        <v>Low Value</v>
      </c>
    </row>
    <row r="1410" spans="1:16" x14ac:dyDescent="0.35">
      <c r="A1410" s="1">
        <v>43049</v>
      </c>
      <c r="B1410">
        <v>9.34</v>
      </c>
      <c r="C1410">
        <v>6.66</v>
      </c>
      <c r="D1410">
        <v>6.2</v>
      </c>
      <c r="E1410">
        <v>34</v>
      </c>
      <c r="F1410">
        <v>9</v>
      </c>
      <c r="G1410">
        <v>0</v>
      </c>
      <c r="H1410">
        <v>22</v>
      </c>
      <c r="I1410">
        <v>2</v>
      </c>
      <c r="J1410">
        <v>2017</v>
      </c>
      <c r="K1410">
        <v>11</v>
      </c>
      <c r="L1410" t="s">
        <v>12</v>
      </c>
      <c r="M1410">
        <f>SUM(Pharma_Sales_Data[[#This Row],[M01AB]:[R06]])</f>
        <v>89.2</v>
      </c>
      <c r="N1410" s="2">
        <f>Pharma_Sales_Data[[#This Row],[Total Drug Sales]]*150</f>
        <v>13380</v>
      </c>
      <c r="O1410" s="2">
        <f>Pharma_Sales_Data[[#This Row],[Total Revenue]]*0.3</f>
        <v>4014</v>
      </c>
      <c r="P1410" t="str">
        <f>IF(Pharma_Sales_Data[[#This Row],[Total Revenue]]&gt;20000,"High Value", IF(Pharma_Sales_Data[[#This Row],[Total Revenue]]&gt;=10000,"Medium Value","Low Value"))</f>
        <v>Medium Value</v>
      </c>
    </row>
    <row r="1411" spans="1:16" x14ac:dyDescent="0.35">
      <c r="A1411" s="1">
        <v>43050</v>
      </c>
      <c r="B1411">
        <v>8.5</v>
      </c>
      <c r="C1411">
        <v>3</v>
      </c>
      <c r="D1411">
        <v>4.0999999999999996</v>
      </c>
      <c r="E1411">
        <v>32</v>
      </c>
      <c r="F1411">
        <v>8</v>
      </c>
      <c r="G1411">
        <v>0</v>
      </c>
      <c r="H1411">
        <v>2</v>
      </c>
      <c r="I1411">
        <v>0</v>
      </c>
      <c r="J1411">
        <v>2017</v>
      </c>
      <c r="K1411">
        <v>11</v>
      </c>
      <c r="L1411" t="s">
        <v>13</v>
      </c>
      <c r="M1411">
        <f>SUM(Pharma_Sales_Data[[#This Row],[M01AB]:[R06]])</f>
        <v>57.6</v>
      </c>
      <c r="N1411" s="2">
        <f>Pharma_Sales_Data[[#This Row],[Total Drug Sales]]*150</f>
        <v>8640</v>
      </c>
      <c r="O1411" s="2">
        <f>Pharma_Sales_Data[[#This Row],[Total Revenue]]*0.3</f>
        <v>2592</v>
      </c>
      <c r="P1411" t="str">
        <f>IF(Pharma_Sales_Data[[#This Row],[Total Revenue]]&gt;20000,"High Value", IF(Pharma_Sales_Data[[#This Row],[Total Revenue]]&gt;=10000,"Medium Value","Low Value"))</f>
        <v>Low Value</v>
      </c>
    </row>
    <row r="1412" spans="1:16" x14ac:dyDescent="0.35">
      <c r="A1412" s="1">
        <v>43051</v>
      </c>
      <c r="B1412">
        <v>5</v>
      </c>
      <c r="C1412">
        <v>3.65</v>
      </c>
      <c r="D1412">
        <v>6.15</v>
      </c>
      <c r="E1412">
        <v>40</v>
      </c>
      <c r="F1412">
        <v>9</v>
      </c>
      <c r="G1412">
        <v>0</v>
      </c>
      <c r="H1412">
        <v>3</v>
      </c>
      <c r="I1412">
        <v>2</v>
      </c>
      <c r="J1412">
        <v>2017</v>
      </c>
      <c r="K1412">
        <v>11</v>
      </c>
      <c r="L1412" t="s">
        <v>14</v>
      </c>
      <c r="M1412">
        <f>SUM(Pharma_Sales_Data[[#This Row],[M01AB]:[R06]])</f>
        <v>68.8</v>
      </c>
      <c r="N1412" s="2">
        <f>Pharma_Sales_Data[[#This Row],[Total Drug Sales]]*150</f>
        <v>10320</v>
      </c>
      <c r="O1412" s="2">
        <f>Pharma_Sales_Data[[#This Row],[Total Revenue]]*0.3</f>
        <v>3096</v>
      </c>
      <c r="P1412" t="str">
        <f>IF(Pharma_Sales_Data[[#This Row],[Total Revenue]]&gt;20000,"High Value", IF(Pharma_Sales_Data[[#This Row],[Total Revenue]]&gt;=10000,"Medium Value","Low Value"))</f>
        <v>Medium Value</v>
      </c>
    </row>
    <row r="1413" spans="1:16" x14ac:dyDescent="0.35">
      <c r="A1413" s="1">
        <v>43052</v>
      </c>
      <c r="B1413">
        <v>9.33</v>
      </c>
      <c r="C1413">
        <v>2.4289999999999998</v>
      </c>
      <c r="D1413">
        <v>4.2</v>
      </c>
      <c r="E1413">
        <v>44.2</v>
      </c>
      <c r="F1413">
        <v>5</v>
      </c>
      <c r="G1413">
        <v>0</v>
      </c>
      <c r="H1413">
        <v>5</v>
      </c>
      <c r="I1413">
        <v>0.2</v>
      </c>
      <c r="J1413">
        <v>2017</v>
      </c>
      <c r="K1413">
        <v>11</v>
      </c>
      <c r="L1413" t="s">
        <v>15</v>
      </c>
      <c r="M1413">
        <f>SUM(Pharma_Sales_Data[[#This Row],[M01AB]:[R06]])</f>
        <v>70.359000000000009</v>
      </c>
      <c r="N1413" s="2">
        <f>Pharma_Sales_Data[[#This Row],[Total Drug Sales]]*150</f>
        <v>10553.850000000002</v>
      </c>
      <c r="O1413" s="2">
        <f>Pharma_Sales_Data[[#This Row],[Total Revenue]]*0.3</f>
        <v>3166.1550000000007</v>
      </c>
      <c r="P1413" t="str">
        <f>IF(Pharma_Sales_Data[[#This Row],[Total Revenue]]&gt;20000,"High Value", IF(Pharma_Sales_Data[[#This Row],[Total Revenue]]&gt;=10000,"Medium Value","Low Value"))</f>
        <v>Medium Value</v>
      </c>
    </row>
    <row r="1414" spans="1:16" x14ac:dyDescent="0.35">
      <c r="A1414" s="1">
        <v>43053</v>
      </c>
      <c r="B1414">
        <v>3</v>
      </c>
      <c r="C1414">
        <v>0.85899999999999999</v>
      </c>
      <c r="D1414">
        <v>2</v>
      </c>
      <c r="E1414">
        <v>6.8</v>
      </c>
      <c r="F1414">
        <v>14</v>
      </c>
      <c r="G1414">
        <v>0</v>
      </c>
      <c r="H1414">
        <v>19</v>
      </c>
      <c r="I1414">
        <v>1</v>
      </c>
      <c r="J1414">
        <v>2017</v>
      </c>
      <c r="K1414">
        <v>11</v>
      </c>
      <c r="L1414" t="s">
        <v>16</v>
      </c>
      <c r="M1414">
        <f>SUM(Pharma_Sales_Data[[#This Row],[M01AB]:[R06]])</f>
        <v>46.658999999999999</v>
      </c>
      <c r="N1414" s="2">
        <f>Pharma_Sales_Data[[#This Row],[Total Drug Sales]]*150</f>
        <v>6998.8499999999995</v>
      </c>
      <c r="O1414" s="2">
        <f>Pharma_Sales_Data[[#This Row],[Total Revenue]]*0.3</f>
        <v>2099.6549999999997</v>
      </c>
      <c r="P1414" t="str">
        <f>IF(Pharma_Sales_Data[[#This Row],[Total Revenue]]&gt;20000,"High Value", IF(Pharma_Sales_Data[[#This Row],[Total Revenue]]&gt;=10000,"Medium Value","Low Value"))</f>
        <v>Low Value</v>
      </c>
    </row>
    <row r="1415" spans="1:16" x14ac:dyDescent="0.35">
      <c r="A1415" s="1">
        <v>43054</v>
      </c>
      <c r="B1415">
        <v>5.33</v>
      </c>
      <c r="C1415">
        <v>2.726</v>
      </c>
      <c r="D1415">
        <v>7.7</v>
      </c>
      <c r="E1415">
        <v>17</v>
      </c>
      <c r="F1415">
        <v>8</v>
      </c>
      <c r="G1415">
        <v>3</v>
      </c>
      <c r="H1415">
        <v>0</v>
      </c>
      <c r="I1415">
        <v>1</v>
      </c>
      <c r="J1415">
        <v>2017</v>
      </c>
      <c r="K1415">
        <v>11</v>
      </c>
      <c r="L1415" t="s">
        <v>17</v>
      </c>
      <c r="M1415">
        <f>SUM(Pharma_Sales_Data[[#This Row],[M01AB]:[R06]])</f>
        <v>44.756</v>
      </c>
      <c r="N1415" s="2">
        <f>Pharma_Sales_Data[[#This Row],[Total Drug Sales]]*150</f>
        <v>6713.4</v>
      </c>
      <c r="O1415" s="2">
        <f>Pharma_Sales_Data[[#This Row],[Total Revenue]]*0.3</f>
        <v>2014.0199999999998</v>
      </c>
      <c r="P1415" t="str">
        <f>IF(Pharma_Sales_Data[[#This Row],[Total Revenue]]&gt;20000,"High Value", IF(Pharma_Sales_Data[[#This Row],[Total Revenue]]&gt;=10000,"Medium Value","Low Value"))</f>
        <v>Low Value</v>
      </c>
    </row>
    <row r="1416" spans="1:16" x14ac:dyDescent="0.35">
      <c r="A1416" s="1">
        <v>43055</v>
      </c>
      <c r="B1416">
        <v>5.33</v>
      </c>
      <c r="C1416">
        <v>2</v>
      </c>
      <c r="D1416">
        <v>3</v>
      </c>
      <c r="E1416">
        <v>17.600000000000001</v>
      </c>
      <c r="F1416">
        <v>3</v>
      </c>
      <c r="G1416">
        <v>0</v>
      </c>
      <c r="H1416">
        <v>1</v>
      </c>
      <c r="I1416">
        <v>1</v>
      </c>
      <c r="J1416">
        <v>2017</v>
      </c>
      <c r="K1416">
        <v>11</v>
      </c>
      <c r="L1416" t="s">
        <v>11</v>
      </c>
      <c r="M1416">
        <f>SUM(Pharma_Sales_Data[[#This Row],[M01AB]:[R06]])</f>
        <v>32.93</v>
      </c>
      <c r="N1416" s="2">
        <f>Pharma_Sales_Data[[#This Row],[Total Drug Sales]]*150</f>
        <v>4939.5</v>
      </c>
      <c r="O1416" s="2">
        <f>Pharma_Sales_Data[[#This Row],[Total Revenue]]*0.3</f>
        <v>1481.85</v>
      </c>
      <c r="P1416" t="str">
        <f>IF(Pharma_Sales_Data[[#This Row],[Total Revenue]]&gt;20000,"High Value", IF(Pharma_Sales_Data[[#This Row],[Total Revenue]]&gt;=10000,"Medium Value","Low Value"))</f>
        <v>Low Value</v>
      </c>
    </row>
    <row r="1417" spans="1:16" x14ac:dyDescent="0.35">
      <c r="A1417" s="1">
        <v>43056</v>
      </c>
      <c r="B1417">
        <v>3</v>
      </c>
      <c r="C1417">
        <v>4.8369999999999997</v>
      </c>
      <c r="D1417">
        <v>3</v>
      </c>
      <c r="E1417">
        <v>34</v>
      </c>
      <c r="F1417">
        <v>5</v>
      </c>
      <c r="G1417">
        <v>0</v>
      </c>
      <c r="H1417">
        <v>30</v>
      </c>
      <c r="I1417">
        <v>2</v>
      </c>
      <c r="J1417">
        <v>2017</v>
      </c>
      <c r="K1417">
        <v>11</v>
      </c>
      <c r="L1417" t="s">
        <v>12</v>
      </c>
      <c r="M1417">
        <f>SUM(Pharma_Sales_Data[[#This Row],[M01AB]:[R06]])</f>
        <v>81.837000000000003</v>
      </c>
      <c r="N1417" s="2">
        <f>Pharma_Sales_Data[[#This Row],[Total Drug Sales]]*150</f>
        <v>12275.550000000001</v>
      </c>
      <c r="O1417" s="2">
        <f>Pharma_Sales_Data[[#This Row],[Total Revenue]]*0.3</f>
        <v>3682.6650000000004</v>
      </c>
      <c r="P1417" t="str">
        <f>IF(Pharma_Sales_Data[[#This Row],[Total Revenue]]&gt;20000,"High Value", IF(Pharma_Sales_Data[[#This Row],[Total Revenue]]&gt;=10000,"Medium Value","Low Value"))</f>
        <v>Medium Value</v>
      </c>
    </row>
    <row r="1418" spans="1:16" x14ac:dyDescent="0.35">
      <c r="A1418" s="1">
        <v>43057</v>
      </c>
      <c r="B1418">
        <v>5.33</v>
      </c>
      <c r="C1418">
        <v>8.4499999999999993</v>
      </c>
      <c r="D1418">
        <v>2</v>
      </c>
      <c r="E1418">
        <v>42.5</v>
      </c>
      <c r="F1418">
        <v>2</v>
      </c>
      <c r="G1418">
        <v>0</v>
      </c>
      <c r="H1418">
        <v>8</v>
      </c>
      <c r="I1418">
        <v>1.2</v>
      </c>
      <c r="J1418">
        <v>2017</v>
      </c>
      <c r="K1418">
        <v>11</v>
      </c>
      <c r="L1418" t="s">
        <v>13</v>
      </c>
      <c r="M1418">
        <f>SUM(Pharma_Sales_Data[[#This Row],[M01AB]:[R06]])</f>
        <v>69.48</v>
      </c>
      <c r="N1418" s="2">
        <f>Pharma_Sales_Data[[#This Row],[Total Drug Sales]]*150</f>
        <v>10422</v>
      </c>
      <c r="O1418" s="2">
        <f>Pharma_Sales_Data[[#This Row],[Total Revenue]]*0.3</f>
        <v>3126.6</v>
      </c>
      <c r="P1418" t="str">
        <f>IF(Pharma_Sales_Data[[#This Row],[Total Revenue]]&gt;20000,"High Value", IF(Pharma_Sales_Data[[#This Row],[Total Revenue]]&gt;=10000,"Medium Value","Low Value"))</f>
        <v>Medium Value</v>
      </c>
    </row>
    <row r="1419" spans="1:16" x14ac:dyDescent="0.35">
      <c r="A1419" s="1">
        <v>43058</v>
      </c>
      <c r="B1419">
        <v>4</v>
      </c>
      <c r="C1419">
        <v>6.88</v>
      </c>
      <c r="D1419">
        <v>1</v>
      </c>
      <c r="E1419">
        <v>29</v>
      </c>
      <c r="F1419">
        <v>3</v>
      </c>
      <c r="G1419">
        <v>0</v>
      </c>
      <c r="H1419">
        <v>6</v>
      </c>
      <c r="I1419">
        <v>2.5</v>
      </c>
      <c r="J1419">
        <v>2017</v>
      </c>
      <c r="K1419">
        <v>11</v>
      </c>
      <c r="L1419" t="s">
        <v>14</v>
      </c>
      <c r="M1419">
        <f>SUM(Pharma_Sales_Data[[#This Row],[M01AB]:[R06]])</f>
        <v>52.379999999999995</v>
      </c>
      <c r="N1419" s="2">
        <f>Pharma_Sales_Data[[#This Row],[Total Drug Sales]]*150</f>
        <v>7856.9999999999991</v>
      </c>
      <c r="O1419" s="2">
        <f>Pharma_Sales_Data[[#This Row],[Total Revenue]]*0.3</f>
        <v>2357.0999999999995</v>
      </c>
      <c r="P1419" t="str">
        <f>IF(Pharma_Sales_Data[[#This Row],[Total Revenue]]&gt;20000,"High Value", IF(Pharma_Sales_Data[[#This Row],[Total Revenue]]&gt;=10000,"Medium Value","Low Value"))</f>
        <v>Low Value</v>
      </c>
    </row>
    <row r="1420" spans="1:16" x14ac:dyDescent="0.35">
      <c r="A1420" s="1">
        <v>43059</v>
      </c>
      <c r="B1420">
        <v>2.34</v>
      </c>
      <c r="C1420">
        <v>5.34</v>
      </c>
      <c r="D1420">
        <v>2.4</v>
      </c>
      <c r="E1420">
        <v>28.8</v>
      </c>
      <c r="F1420">
        <v>10</v>
      </c>
      <c r="G1420">
        <v>0</v>
      </c>
      <c r="H1420">
        <v>2</v>
      </c>
      <c r="I1420">
        <v>0</v>
      </c>
      <c r="J1420">
        <v>2017</v>
      </c>
      <c r="K1420">
        <v>11</v>
      </c>
      <c r="L1420" t="s">
        <v>15</v>
      </c>
      <c r="M1420">
        <f>SUM(Pharma_Sales_Data[[#This Row],[M01AB]:[R06]])</f>
        <v>50.88</v>
      </c>
      <c r="N1420" s="2">
        <f>Pharma_Sales_Data[[#This Row],[Total Drug Sales]]*150</f>
        <v>7632</v>
      </c>
      <c r="O1420" s="2">
        <f>Pharma_Sales_Data[[#This Row],[Total Revenue]]*0.3</f>
        <v>2289.6</v>
      </c>
      <c r="P1420" t="str">
        <f>IF(Pharma_Sales_Data[[#This Row],[Total Revenue]]&gt;20000,"High Value", IF(Pharma_Sales_Data[[#This Row],[Total Revenue]]&gt;=10000,"Medium Value","Low Value"))</f>
        <v>Low Value</v>
      </c>
    </row>
    <row r="1421" spans="1:16" x14ac:dyDescent="0.35">
      <c r="A1421" s="1">
        <v>43060</v>
      </c>
      <c r="B1421">
        <v>13.33</v>
      </c>
      <c r="C1421">
        <v>0.68</v>
      </c>
      <c r="D1421">
        <v>1</v>
      </c>
      <c r="E1421">
        <v>22.4</v>
      </c>
      <c r="F1421">
        <v>5</v>
      </c>
      <c r="G1421">
        <v>0</v>
      </c>
      <c r="H1421">
        <v>2</v>
      </c>
      <c r="I1421">
        <v>1</v>
      </c>
      <c r="J1421">
        <v>2017</v>
      </c>
      <c r="K1421">
        <v>11</v>
      </c>
      <c r="L1421" t="s">
        <v>16</v>
      </c>
      <c r="M1421">
        <f>SUM(Pharma_Sales_Data[[#This Row],[M01AB]:[R06]])</f>
        <v>45.41</v>
      </c>
      <c r="N1421" s="2">
        <f>Pharma_Sales_Data[[#This Row],[Total Drug Sales]]*150</f>
        <v>6811.4999999999991</v>
      </c>
      <c r="O1421" s="2">
        <f>Pharma_Sales_Data[[#This Row],[Total Revenue]]*0.3</f>
        <v>2043.4499999999996</v>
      </c>
      <c r="P1421" t="str">
        <f>IF(Pharma_Sales_Data[[#This Row],[Total Revenue]]&gt;20000,"High Value", IF(Pharma_Sales_Data[[#This Row],[Total Revenue]]&gt;=10000,"Medium Value","Low Value"))</f>
        <v>Low Value</v>
      </c>
    </row>
    <row r="1422" spans="1:16" x14ac:dyDescent="0.35">
      <c r="A1422" s="1">
        <v>43061</v>
      </c>
      <c r="B1422">
        <v>2</v>
      </c>
      <c r="C1422">
        <v>4</v>
      </c>
      <c r="D1422">
        <v>1</v>
      </c>
      <c r="E1422">
        <v>26.1</v>
      </c>
      <c r="F1422">
        <v>20</v>
      </c>
      <c r="G1422">
        <v>0</v>
      </c>
      <c r="H1422">
        <v>1</v>
      </c>
      <c r="I1422">
        <v>1</v>
      </c>
      <c r="J1422">
        <v>2017</v>
      </c>
      <c r="K1422">
        <v>11</v>
      </c>
      <c r="L1422" t="s">
        <v>17</v>
      </c>
      <c r="M1422">
        <f>SUM(Pharma_Sales_Data[[#This Row],[M01AB]:[R06]])</f>
        <v>55.1</v>
      </c>
      <c r="N1422" s="2">
        <f>Pharma_Sales_Data[[#This Row],[Total Drug Sales]]*150</f>
        <v>8265</v>
      </c>
      <c r="O1422" s="2">
        <f>Pharma_Sales_Data[[#This Row],[Total Revenue]]*0.3</f>
        <v>2479.5</v>
      </c>
      <c r="P1422" t="str">
        <f>IF(Pharma_Sales_Data[[#This Row],[Total Revenue]]&gt;20000,"High Value", IF(Pharma_Sales_Data[[#This Row],[Total Revenue]]&gt;=10000,"Medium Value","Low Value"))</f>
        <v>Low Value</v>
      </c>
    </row>
    <row r="1423" spans="1:16" x14ac:dyDescent="0.35">
      <c r="A1423" s="1">
        <v>43062</v>
      </c>
      <c r="B1423">
        <v>9.33</v>
      </c>
      <c r="C1423">
        <v>5.99</v>
      </c>
      <c r="D1423">
        <v>6</v>
      </c>
      <c r="E1423">
        <v>34.299999999999997</v>
      </c>
      <c r="F1423">
        <v>14</v>
      </c>
      <c r="G1423">
        <v>0</v>
      </c>
      <c r="H1423">
        <v>0</v>
      </c>
      <c r="I1423">
        <v>3</v>
      </c>
      <c r="J1423">
        <v>2017</v>
      </c>
      <c r="K1423">
        <v>11</v>
      </c>
      <c r="L1423" t="s">
        <v>11</v>
      </c>
      <c r="M1423">
        <f>SUM(Pharma_Sales_Data[[#This Row],[M01AB]:[R06]])</f>
        <v>72.62</v>
      </c>
      <c r="N1423" s="2">
        <f>Pharma_Sales_Data[[#This Row],[Total Drug Sales]]*150</f>
        <v>10893</v>
      </c>
      <c r="O1423" s="2">
        <f>Pharma_Sales_Data[[#This Row],[Total Revenue]]*0.3</f>
        <v>3267.9</v>
      </c>
      <c r="P1423" t="str">
        <f>IF(Pharma_Sales_Data[[#This Row],[Total Revenue]]&gt;20000,"High Value", IF(Pharma_Sales_Data[[#This Row],[Total Revenue]]&gt;=10000,"Medium Value","Low Value"))</f>
        <v>Medium Value</v>
      </c>
    </row>
    <row r="1424" spans="1:16" x14ac:dyDescent="0.35">
      <c r="A1424" s="1">
        <v>43063</v>
      </c>
      <c r="B1424">
        <v>8</v>
      </c>
      <c r="C1424">
        <v>3.1320000000000001</v>
      </c>
      <c r="D1424">
        <v>5</v>
      </c>
      <c r="E1424">
        <v>34.323999999999998</v>
      </c>
      <c r="F1424">
        <v>5</v>
      </c>
      <c r="G1424">
        <v>2</v>
      </c>
      <c r="H1424">
        <v>2</v>
      </c>
      <c r="I1424">
        <v>0</v>
      </c>
      <c r="J1424">
        <v>2017</v>
      </c>
      <c r="K1424">
        <v>11</v>
      </c>
      <c r="L1424" t="s">
        <v>12</v>
      </c>
      <c r="M1424">
        <f>SUM(Pharma_Sales_Data[[#This Row],[M01AB]:[R06]])</f>
        <v>59.455999999999996</v>
      </c>
      <c r="N1424" s="2">
        <f>Pharma_Sales_Data[[#This Row],[Total Drug Sales]]*150</f>
        <v>8918.4</v>
      </c>
      <c r="O1424" s="2">
        <f>Pharma_Sales_Data[[#This Row],[Total Revenue]]*0.3</f>
        <v>2675.52</v>
      </c>
      <c r="P1424" t="str">
        <f>IF(Pharma_Sales_Data[[#This Row],[Total Revenue]]&gt;20000,"High Value", IF(Pharma_Sales_Data[[#This Row],[Total Revenue]]&gt;=10000,"Medium Value","Low Value"))</f>
        <v>Low Value</v>
      </c>
    </row>
    <row r="1425" spans="1:16" x14ac:dyDescent="0.35">
      <c r="A1425" s="1">
        <v>43064</v>
      </c>
      <c r="B1425">
        <v>5.33</v>
      </c>
      <c r="C1425">
        <v>6.0759999999999996</v>
      </c>
      <c r="D1425">
        <v>4.0999999999999996</v>
      </c>
      <c r="E1425">
        <v>26.5</v>
      </c>
      <c r="F1425">
        <v>8</v>
      </c>
      <c r="G1425">
        <v>0</v>
      </c>
      <c r="H1425">
        <v>2</v>
      </c>
      <c r="I1425">
        <v>0</v>
      </c>
      <c r="J1425">
        <v>2017</v>
      </c>
      <c r="K1425">
        <v>11</v>
      </c>
      <c r="L1425" t="s">
        <v>13</v>
      </c>
      <c r="M1425">
        <f>SUM(Pharma_Sales_Data[[#This Row],[M01AB]:[R06]])</f>
        <v>52.006</v>
      </c>
      <c r="N1425" s="2">
        <f>Pharma_Sales_Data[[#This Row],[Total Drug Sales]]*150</f>
        <v>7800.9</v>
      </c>
      <c r="O1425" s="2">
        <f>Pharma_Sales_Data[[#This Row],[Total Revenue]]*0.3</f>
        <v>2340.27</v>
      </c>
      <c r="P1425" t="str">
        <f>IF(Pharma_Sales_Data[[#This Row],[Total Revenue]]&gt;20000,"High Value", IF(Pharma_Sales_Data[[#This Row],[Total Revenue]]&gt;=10000,"Medium Value","Low Value"))</f>
        <v>Low Value</v>
      </c>
    </row>
    <row r="1426" spans="1:16" x14ac:dyDescent="0.35">
      <c r="A1426" s="1">
        <v>43065</v>
      </c>
      <c r="B1426">
        <v>5.66</v>
      </c>
      <c r="C1426">
        <v>5.7859999999999996</v>
      </c>
      <c r="D1426">
        <v>1</v>
      </c>
      <c r="E1426">
        <v>31.2</v>
      </c>
      <c r="F1426">
        <v>2</v>
      </c>
      <c r="G1426">
        <v>1</v>
      </c>
      <c r="H1426">
        <v>12</v>
      </c>
      <c r="I1426">
        <v>2</v>
      </c>
      <c r="J1426">
        <v>2017</v>
      </c>
      <c r="K1426">
        <v>11</v>
      </c>
      <c r="L1426" t="s">
        <v>14</v>
      </c>
      <c r="M1426">
        <f>SUM(Pharma_Sales_Data[[#This Row],[M01AB]:[R06]])</f>
        <v>60.646000000000001</v>
      </c>
      <c r="N1426" s="2">
        <f>Pharma_Sales_Data[[#This Row],[Total Drug Sales]]*150</f>
        <v>9096.9</v>
      </c>
      <c r="O1426" s="2">
        <f>Pharma_Sales_Data[[#This Row],[Total Revenue]]*0.3</f>
        <v>2729.0699999999997</v>
      </c>
      <c r="P1426" t="str">
        <f>IF(Pharma_Sales_Data[[#This Row],[Total Revenue]]&gt;20000,"High Value", IF(Pharma_Sales_Data[[#This Row],[Total Revenue]]&gt;=10000,"Medium Value","Low Value"))</f>
        <v>Low Value</v>
      </c>
    </row>
    <row r="1427" spans="1:16" x14ac:dyDescent="0.35">
      <c r="A1427" s="1">
        <v>43066</v>
      </c>
      <c r="B1427">
        <v>1.34</v>
      </c>
      <c r="C1427">
        <v>3.67</v>
      </c>
      <c r="D1427">
        <v>6.1</v>
      </c>
      <c r="E1427">
        <v>34.825000000000003</v>
      </c>
      <c r="F1427">
        <v>4</v>
      </c>
      <c r="G1427">
        <v>0</v>
      </c>
      <c r="H1427">
        <v>7</v>
      </c>
      <c r="I1427">
        <v>3</v>
      </c>
      <c r="J1427">
        <v>2017</v>
      </c>
      <c r="K1427">
        <v>11</v>
      </c>
      <c r="L1427" t="s">
        <v>15</v>
      </c>
      <c r="M1427">
        <f>SUM(Pharma_Sales_Data[[#This Row],[M01AB]:[R06]])</f>
        <v>59.935000000000002</v>
      </c>
      <c r="N1427" s="2">
        <f>Pharma_Sales_Data[[#This Row],[Total Drug Sales]]*150</f>
        <v>8990.25</v>
      </c>
      <c r="O1427" s="2">
        <f>Pharma_Sales_Data[[#This Row],[Total Revenue]]*0.3</f>
        <v>2697.0749999999998</v>
      </c>
      <c r="P1427" t="str">
        <f>IF(Pharma_Sales_Data[[#This Row],[Total Revenue]]&gt;20000,"High Value", IF(Pharma_Sales_Data[[#This Row],[Total Revenue]]&gt;=10000,"Medium Value","Low Value"))</f>
        <v>Low Value</v>
      </c>
    </row>
    <row r="1428" spans="1:16" x14ac:dyDescent="0.35">
      <c r="A1428" s="1">
        <v>43067</v>
      </c>
      <c r="B1428">
        <v>5</v>
      </c>
      <c r="C1428">
        <v>1.34</v>
      </c>
      <c r="D1428">
        <v>5.35</v>
      </c>
      <c r="E1428">
        <v>40.6</v>
      </c>
      <c r="F1428">
        <v>5</v>
      </c>
      <c r="G1428">
        <v>3</v>
      </c>
      <c r="H1428">
        <v>8</v>
      </c>
      <c r="I1428">
        <v>3</v>
      </c>
      <c r="J1428">
        <v>2017</v>
      </c>
      <c r="K1428">
        <v>11</v>
      </c>
      <c r="L1428" t="s">
        <v>16</v>
      </c>
      <c r="M1428">
        <f>SUM(Pharma_Sales_Data[[#This Row],[M01AB]:[R06]])</f>
        <v>71.289999999999992</v>
      </c>
      <c r="N1428" s="2">
        <f>Pharma_Sales_Data[[#This Row],[Total Drug Sales]]*150</f>
        <v>10693.499999999998</v>
      </c>
      <c r="O1428" s="2">
        <f>Pharma_Sales_Data[[#This Row],[Total Revenue]]*0.3</f>
        <v>3208.0499999999993</v>
      </c>
      <c r="P1428" t="str">
        <f>IF(Pharma_Sales_Data[[#This Row],[Total Revenue]]&gt;20000,"High Value", IF(Pharma_Sales_Data[[#This Row],[Total Revenue]]&gt;=10000,"Medium Value","Low Value"))</f>
        <v>Medium Value</v>
      </c>
    </row>
    <row r="1429" spans="1:16" x14ac:dyDescent="0.35">
      <c r="A1429" s="1">
        <v>43068</v>
      </c>
      <c r="B1429">
        <v>6.34</v>
      </c>
      <c r="C1429">
        <v>2.3969999999999998</v>
      </c>
      <c r="D1429">
        <v>4.0999999999999996</v>
      </c>
      <c r="E1429">
        <v>32.6</v>
      </c>
      <c r="F1429">
        <v>7</v>
      </c>
      <c r="G1429">
        <v>0</v>
      </c>
      <c r="H1429">
        <v>5</v>
      </c>
      <c r="I1429">
        <v>3</v>
      </c>
      <c r="J1429">
        <v>2017</v>
      </c>
      <c r="K1429">
        <v>11</v>
      </c>
      <c r="L1429" t="s">
        <v>17</v>
      </c>
      <c r="M1429">
        <f>SUM(Pharma_Sales_Data[[#This Row],[M01AB]:[R06]])</f>
        <v>60.436999999999998</v>
      </c>
      <c r="N1429" s="2">
        <f>Pharma_Sales_Data[[#This Row],[Total Drug Sales]]*150</f>
        <v>9065.5499999999993</v>
      </c>
      <c r="O1429" s="2">
        <f>Pharma_Sales_Data[[#This Row],[Total Revenue]]*0.3</f>
        <v>2719.6649999999995</v>
      </c>
      <c r="P1429" t="str">
        <f>IF(Pharma_Sales_Data[[#This Row],[Total Revenue]]&gt;20000,"High Value", IF(Pharma_Sales_Data[[#This Row],[Total Revenue]]&gt;=10000,"Medium Value","Low Value"))</f>
        <v>Low Value</v>
      </c>
    </row>
    <row r="1430" spans="1:16" x14ac:dyDescent="0.35">
      <c r="A1430" s="1">
        <v>43069</v>
      </c>
      <c r="B1430">
        <v>5.67</v>
      </c>
      <c r="C1430">
        <v>1.3959999999999999</v>
      </c>
      <c r="D1430">
        <v>3</v>
      </c>
      <c r="E1430">
        <v>30</v>
      </c>
      <c r="F1430">
        <v>2</v>
      </c>
      <c r="G1430">
        <v>0</v>
      </c>
      <c r="H1430">
        <v>9</v>
      </c>
      <c r="I1430">
        <v>3</v>
      </c>
      <c r="J1430">
        <v>2017</v>
      </c>
      <c r="K1430">
        <v>11</v>
      </c>
      <c r="L1430" t="s">
        <v>11</v>
      </c>
      <c r="M1430">
        <f>SUM(Pharma_Sales_Data[[#This Row],[M01AB]:[R06]])</f>
        <v>54.066000000000003</v>
      </c>
      <c r="N1430" s="2">
        <f>Pharma_Sales_Data[[#This Row],[Total Drug Sales]]*150</f>
        <v>8109.9000000000005</v>
      </c>
      <c r="O1430" s="2">
        <f>Pharma_Sales_Data[[#This Row],[Total Revenue]]*0.3</f>
        <v>2432.9700000000003</v>
      </c>
      <c r="P1430" t="str">
        <f>IF(Pharma_Sales_Data[[#This Row],[Total Revenue]]&gt;20000,"High Value", IF(Pharma_Sales_Data[[#This Row],[Total Revenue]]&gt;=10000,"Medium Value","Low Value"))</f>
        <v>Low Value</v>
      </c>
    </row>
    <row r="1431" spans="1:16" x14ac:dyDescent="0.35">
      <c r="A1431" s="1">
        <v>43070</v>
      </c>
      <c r="B1431">
        <v>10.33</v>
      </c>
      <c r="C1431">
        <v>7.66</v>
      </c>
      <c r="D1431">
        <v>1</v>
      </c>
      <c r="E1431">
        <v>25.4</v>
      </c>
      <c r="F1431">
        <v>3</v>
      </c>
      <c r="G1431">
        <v>0</v>
      </c>
      <c r="H1431">
        <v>5</v>
      </c>
      <c r="I1431">
        <v>2</v>
      </c>
      <c r="J1431">
        <v>2017</v>
      </c>
      <c r="K1431">
        <v>12</v>
      </c>
      <c r="L1431" t="s">
        <v>12</v>
      </c>
      <c r="M1431">
        <f>SUM(Pharma_Sales_Data[[#This Row],[M01AB]:[R06]])</f>
        <v>54.39</v>
      </c>
      <c r="N1431" s="2">
        <f>Pharma_Sales_Data[[#This Row],[Total Drug Sales]]*150</f>
        <v>8158.5</v>
      </c>
      <c r="O1431" s="2">
        <f>Pharma_Sales_Data[[#This Row],[Total Revenue]]*0.3</f>
        <v>2447.5499999999997</v>
      </c>
      <c r="P1431" t="str">
        <f>IF(Pharma_Sales_Data[[#This Row],[Total Revenue]]&gt;20000,"High Value", IF(Pharma_Sales_Data[[#This Row],[Total Revenue]]&gt;=10000,"Medium Value","Low Value"))</f>
        <v>Low Value</v>
      </c>
    </row>
    <row r="1432" spans="1:16" x14ac:dyDescent="0.35">
      <c r="A1432" s="1">
        <v>43071</v>
      </c>
      <c r="B1432">
        <v>4.33</v>
      </c>
      <c r="C1432">
        <v>3.67</v>
      </c>
      <c r="D1432">
        <v>5</v>
      </c>
      <c r="E1432">
        <v>22</v>
      </c>
      <c r="F1432">
        <v>11</v>
      </c>
      <c r="G1432">
        <v>0</v>
      </c>
      <c r="H1432">
        <v>0</v>
      </c>
      <c r="I1432">
        <v>1.5</v>
      </c>
      <c r="J1432">
        <v>2017</v>
      </c>
      <c r="K1432">
        <v>12</v>
      </c>
      <c r="L1432" t="s">
        <v>13</v>
      </c>
      <c r="M1432">
        <f>SUM(Pharma_Sales_Data[[#This Row],[M01AB]:[R06]])</f>
        <v>47.5</v>
      </c>
      <c r="N1432" s="2">
        <f>Pharma_Sales_Data[[#This Row],[Total Drug Sales]]*150</f>
        <v>7125</v>
      </c>
      <c r="O1432" s="2">
        <f>Pharma_Sales_Data[[#This Row],[Total Revenue]]*0.3</f>
        <v>2137.5</v>
      </c>
      <c r="P1432" t="str">
        <f>IF(Pharma_Sales_Data[[#This Row],[Total Revenue]]&gt;20000,"High Value", IF(Pharma_Sales_Data[[#This Row],[Total Revenue]]&gt;=10000,"Medium Value","Low Value"))</f>
        <v>Low Value</v>
      </c>
    </row>
    <row r="1433" spans="1:16" x14ac:dyDescent="0.35">
      <c r="A1433" s="1">
        <v>43072</v>
      </c>
      <c r="B1433">
        <v>5.33</v>
      </c>
      <c r="C1433">
        <v>6.0229999999999997</v>
      </c>
      <c r="D1433">
        <v>3</v>
      </c>
      <c r="E1433">
        <v>33.4</v>
      </c>
      <c r="F1433">
        <v>3</v>
      </c>
      <c r="G1433">
        <v>0</v>
      </c>
      <c r="H1433">
        <v>6</v>
      </c>
      <c r="I1433">
        <v>2</v>
      </c>
      <c r="J1433">
        <v>2017</v>
      </c>
      <c r="K1433">
        <v>12</v>
      </c>
      <c r="L1433" t="s">
        <v>14</v>
      </c>
      <c r="M1433">
        <f>SUM(Pharma_Sales_Data[[#This Row],[M01AB]:[R06]])</f>
        <v>58.753</v>
      </c>
      <c r="N1433" s="2">
        <f>Pharma_Sales_Data[[#This Row],[Total Drug Sales]]*150</f>
        <v>8812.9500000000007</v>
      </c>
      <c r="O1433" s="2">
        <f>Pharma_Sales_Data[[#This Row],[Total Revenue]]*0.3</f>
        <v>2643.8850000000002</v>
      </c>
      <c r="P1433" t="str">
        <f>IF(Pharma_Sales_Data[[#This Row],[Total Revenue]]&gt;20000,"High Value", IF(Pharma_Sales_Data[[#This Row],[Total Revenue]]&gt;=10000,"Medium Value","Low Value"))</f>
        <v>Low Value</v>
      </c>
    </row>
    <row r="1434" spans="1:16" x14ac:dyDescent="0.35">
      <c r="A1434" s="1">
        <v>43073</v>
      </c>
      <c r="B1434">
        <v>1</v>
      </c>
      <c r="C1434">
        <v>2.363</v>
      </c>
      <c r="D1434">
        <v>4</v>
      </c>
      <c r="E1434">
        <v>15.6</v>
      </c>
      <c r="F1434">
        <v>3</v>
      </c>
      <c r="G1434">
        <v>0</v>
      </c>
      <c r="H1434">
        <v>13</v>
      </c>
      <c r="I1434">
        <v>3</v>
      </c>
      <c r="J1434">
        <v>2017</v>
      </c>
      <c r="K1434">
        <v>12</v>
      </c>
      <c r="L1434" t="s">
        <v>15</v>
      </c>
      <c r="M1434">
        <f>SUM(Pharma_Sales_Data[[#This Row],[M01AB]:[R06]])</f>
        <v>41.963000000000001</v>
      </c>
      <c r="N1434" s="2">
        <f>Pharma_Sales_Data[[#This Row],[Total Drug Sales]]*150</f>
        <v>6294.45</v>
      </c>
      <c r="O1434" s="2">
        <f>Pharma_Sales_Data[[#This Row],[Total Revenue]]*0.3</f>
        <v>1888.3349999999998</v>
      </c>
      <c r="P1434" t="str">
        <f>IF(Pharma_Sales_Data[[#This Row],[Total Revenue]]&gt;20000,"High Value", IF(Pharma_Sales_Data[[#This Row],[Total Revenue]]&gt;=10000,"Medium Value","Low Value"))</f>
        <v>Low Value</v>
      </c>
    </row>
    <row r="1435" spans="1:16" x14ac:dyDescent="0.35">
      <c r="A1435" s="1">
        <v>43074</v>
      </c>
      <c r="B1435">
        <v>3.68</v>
      </c>
      <c r="C1435">
        <v>3.165</v>
      </c>
      <c r="D1435">
        <v>4.05</v>
      </c>
      <c r="E1435">
        <v>17.100000000000001</v>
      </c>
      <c r="F1435">
        <v>1</v>
      </c>
      <c r="G1435">
        <v>0</v>
      </c>
      <c r="H1435">
        <v>6</v>
      </c>
      <c r="I1435">
        <v>2</v>
      </c>
      <c r="J1435">
        <v>2017</v>
      </c>
      <c r="K1435">
        <v>12</v>
      </c>
      <c r="L1435" t="s">
        <v>16</v>
      </c>
      <c r="M1435">
        <f>SUM(Pharma_Sales_Data[[#This Row],[M01AB]:[R06]])</f>
        <v>36.995000000000005</v>
      </c>
      <c r="N1435" s="2">
        <f>Pharma_Sales_Data[[#This Row],[Total Drug Sales]]*150</f>
        <v>5549.2500000000009</v>
      </c>
      <c r="O1435" s="2">
        <f>Pharma_Sales_Data[[#This Row],[Total Revenue]]*0.3</f>
        <v>1664.7750000000003</v>
      </c>
      <c r="P1435" t="str">
        <f>IF(Pharma_Sales_Data[[#This Row],[Total Revenue]]&gt;20000,"High Value", IF(Pharma_Sales_Data[[#This Row],[Total Revenue]]&gt;=10000,"Medium Value","Low Value"))</f>
        <v>Low Value</v>
      </c>
    </row>
    <row r="1436" spans="1:16" x14ac:dyDescent="0.35">
      <c r="A1436" s="1">
        <v>43075</v>
      </c>
      <c r="B1436">
        <v>4</v>
      </c>
      <c r="C1436">
        <v>4.3959999999999999</v>
      </c>
      <c r="D1436">
        <v>2.1</v>
      </c>
      <c r="E1436">
        <v>29.2</v>
      </c>
      <c r="F1436">
        <v>12</v>
      </c>
      <c r="G1436">
        <v>0</v>
      </c>
      <c r="H1436">
        <v>6</v>
      </c>
      <c r="I1436">
        <v>1</v>
      </c>
      <c r="J1436">
        <v>2017</v>
      </c>
      <c r="K1436">
        <v>12</v>
      </c>
      <c r="L1436" t="s">
        <v>17</v>
      </c>
      <c r="M1436">
        <f>SUM(Pharma_Sales_Data[[#This Row],[M01AB]:[R06]])</f>
        <v>58.695999999999998</v>
      </c>
      <c r="N1436" s="2">
        <f>Pharma_Sales_Data[[#This Row],[Total Drug Sales]]*150</f>
        <v>8804.4</v>
      </c>
      <c r="O1436" s="2">
        <f>Pharma_Sales_Data[[#This Row],[Total Revenue]]*0.3</f>
        <v>2641.3199999999997</v>
      </c>
      <c r="P1436" t="str">
        <f>IF(Pharma_Sales_Data[[#This Row],[Total Revenue]]&gt;20000,"High Value", IF(Pharma_Sales_Data[[#This Row],[Total Revenue]]&gt;=10000,"Medium Value","Low Value"))</f>
        <v>Low Value</v>
      </c>
    </row>
    <row r="1437" spans="1:16" x14ac:dyDescent="0.35">
      <c r="A1437" s="1">
        <v>43076</v>
      </c>
      <c r="B1437">
        <v>3</v>
      </c>
      <c r="C1437">
        <v>2.66</v>
      </c>
      <c r="D1437">
        <v>5.45</v>
      </c>
      <c r="E1437">
        <v>24.9</v>
      </c>
      <c r="F1437">
        <v>8</v>
      </c>
      <c r="G1437">
        <v>0</v>
      </c>
      <c r="H1437">
        <v>7</v>
      </c>
      <c r="I1437">
        <v>1</v>
      </c>
      <c r="J1437">
        <v>2017</v>
      </c>
      <c r="K1437">
        <v>12</v>
      </c>
      <c r="L1437" t="s">
        <v>11</v>
      </c>
      <c r="M1437">
        <f>SUM(Pharma_Sales_Data[[#This Row],[M01AB]:[R06]])</f>
        <v>52.01</v>
      </c>
      <c r="N1437" s="2">
        <f>Pharma_Sales_Data[[#This Row],[Total Drug Sales]]*150</f>
        <v>7801.5</v>
      </c>
      <c r="O1437" s="2">
        <f>Pharma_Sales_Data[[#This Row],[Total Revenue]]*0.3</f>
        <v>2340.4499999999998</v>
      </c>
      <c r="P1437" t="str">
        <f>IF(Pharma_Sales_Data[[#This Row],[Total Revenue]]&gt;20000,"High Value", IF(Pharma_Sales_Data[[#This Row],[Total Revenue]]&gt;=10000,"Medium Value","Low Value"))</f>
        <v>Low Value</v>
      </c>
    </row>
    <row r="1438" spans="1:16" x14ac:dyDescent="0.35">
      <c r="A1438" s="1">
        <v>43077</v>
      </c>
      <c r="B1438">
        <v>5.33</v>
      </c>
      <c r="C1438">
        <v>2.5099999999999998</v>
      </c>
      <c r="D1438">
        <v>3.5</v>
      </c>
      <c r="E1438">
        <v>44.2</v>
      </c>
      <c r="F1438">
        <v>5</v>
      </c>
      <c r="G1438">
        <v>1</v>
      </c>
      <c r="H1438">
        <v>7</v>
      </c>
      <c r="I1438">
        <v>2</v>
      </c>
      <c r="J1438">
        <v>2017</v>
      </c>
      <c r="K1438">
        <v>12</v>
      </c>
      <c r="L1438" t="s">
        <v>12</v>
      </c>
      <c r="M1438">
        <f>SUM(Pharma_Sales_Data[[#This Row],[M01AB]:[R06]])</f>
        <v>70.540000000000006</v>
      </c>
      <c r="N1438" s="2">
        <f>Pharma_Sales_Data[[#This Row],[Total Drug Sales]]*150</f>
        <v>10581.000000000002</v>
      </c>
      <c r="O1438" s="2">
        <f>Pharma_Sales_Data[[#This Row],[Total Revenue]]*0.3</f>
        <v>3174.3000000000006</v>
      </c>
      <c r="P1438" t="str">
        <f>IF(Pharma_Sales_Data[[#This Row],[Total Revenue]]&gt;20000,"High Value", IF(Pharma_Sales_Data[[#This Row],[Total Revenue]]&gt;=10000,"Medium Value","Low Value"))</f>
        <v>Medium Value</v>
      </c>
    </row>
    <row r="1439" spans="1:16" x14ac:dyDescent="0.35">
      <c r="A1439" s="1">
        <v>43078</v>
      </c>
      <c r="B1439">
        <v>5</v>
      </c>
      <c r="C1439">
        <v>2.17</v>
      </c>
      <c r="D1439">
        <v>5.4</v>
      </c>
      <c r="E1439">
        <v>36.6</v>
      </c>
      <c r="F1439">
        <v>14</v>
      </c>
      <c r="G1439">
        <v>0</v>
      </c>
      <c r="H1439">
        <v>7</v>
      </c>
      <c r="I1439">
        <v>2</v>
      </c>
      <c r="J1439">
        <v>2017</v>
      </c>
      <c r="K1439">
        <v>12</v>
      </c>
      <c r="L1439" t="s">
        <v>13</v>
      </c>
      <c r="M1439">
        <f>SUM(Pharma_Sales_Data[[#This Row],[M01AB]:[R06]])</f>
        <v>72.17</v>
      </c>
      <c r="N1439" s="2">
        <f>Pharma_Sales_Data[[#This Row],[Total Drug Sales]]*150</f>
        <v>10825.5</v>
      </c>
      <c r="O1439" s="2">
        <f>Pharma_Sales_Data[[#This Row],[Total Revenue]]*0.3</f>
        <v>3247.65</v>
      </c>
      <c r="P1439" t="str">
        <f>IF(Pharma_Sales_Data[[#This Row],[Total Revenue]]&gt;20000,"High Value", IF(Pharma_Sales_Data[[#This Row],[Total Revenue]]&gt;=10000,"Medium Value","Low Value"))</f>
        <v>Medium Value</v>
      </c>
    </row>
    <row r="1440" spans="1:16" x14ac:dyDescent="0.35">
      <c r="A1440" s="1">
        <v>43079</v>
      </c>
      <c r="B1440">
        <v>5</v>
      </c>
      <c r="C1440">
        <v>2.802</v>
      </c>
      <c r="D1440">
        <v>5</v>
      </c>
      <c r="E1440">
        <v>48</v>
      </c>
      <c r="F1440">
        <v>7</v>
      </c>
      <c r="G1440">
        <v>0</v>
      </c>
      <c r="H1440">
        <v>18</v>
      </c>
      <c r="I1440">
        <v>2</v>
      </c>
      <c r="J1440">
        <v>2017</v>
      </c>
      <c r="K1440">
        <v>12</v>
      </c>
      <c r="L1440" t="s">
        <v>14</v>
      </c>
      <c r="M1440">
        <f>SUM(Pharma_Sales_Data[[#This Row],[M01AB]:[R06]])</f>
        <v>87.801999999999992</v>
      </c>
      <c r="N1440" s="2">
        <f>Pharma_Sales_Data[[#This Row],[Total Drug Sales]]*150</f>
        <v>13170.3</v>
      </c>
      <c r="O1440" s="2">
        <f>Pharma_Sales_Data[[#This Row],[Total Revenue]]*0.3</f>
        <v>3951.0899999999997</v>
      </c>
      <c r="P1440" t="str">
        <f>IF(Pharma_Sales_Data[[#This Row],[Total Revenue]]&gt;20000,"High Value", IF(Pharma_Sales_Data[[#This Row],[Total Revenue]]&gt;=10000,"Medium Value","Low Value"))</f>
        <v>Medium Value</v>
      </c>
    </row>
    <row r="1441" spans="1:16" x14ac:dyDescent="0.35">
      <c r="A1441" s="1">
        <v>43080</v>
      </c>
      <c r="B1441">
        <v>8</v>
      </c>
      <c r="C1441">
        <v>6</v>
      </c>
      <c r="D1441">
        <v>5.5</v>
      </c>
      <c r="E1441">
        <v>34.4</v>
      </c>
      <c r="F1441">
        <v>10</v>
      </c>
      <c r="G1441">
        <v>0</v>
      </c>
      <c r="H1441">
        <v>6</v>
      </c>
      <c r="I1441">
        <v>1</v>
      </c>
      <c r="J1441">
        <v>2017</v>
      </c>
      <c r="K1441">
        <v>12</v>
      </c>
      <c r="L1441" t="s">
        <v>15</v>
      </c>
      <c r="M1441">
        <f>SUM(Pharma_Sales_Data[[#This Row],[M01AB]:[R06]])</f>
        <v>70.900000000000006</v>
      </c>
      <c r="N1441" s="2">
        <f>Pharma_Sales_Data[[#This Row],[Total Drug Sales]]*150</f>
        <v>10635</v>
      </c>
      <c r="O1441" s="2">
        <f>Pharma_Sales_Data[[#This Row],[Total Revenue]]*0.3</f>
        <v>3190.5</v>
      </c>
      <c r="P1441" t="str">
        <f>IF(Pharma_Sales_Data[[#This Row],[Total Revenue]]&gt;20000,"High Value", IF(Pharma_Sales_Data[[#This Row],[Total Revenue]]&gt;=10000,"Medium Value","Low Value"))</f>
        <v>Medium Value</v>
      </c>
    </row>
    <row r="1442" spans="1:16" x14ac:dyDescent="0.35">
      <c r="A1442" s="1">
        <v>43081</v>
      </c>
      <c r="B1442">
        <v>1.33</v>
      </c>
      <c r="C1442">
        <v>5.0659999999999998</v>
      </c>
      <c r="D1442">
        <v>3</v>
      </c>
      <c r="E1442">
        <v>44</v>
      </c>
      <c r="F1442">
        <v>6</v>
      </c>
      <c r="G1442">
        <v>1</v>
      </c>
      <c r="H1442">
        <v>12</v>
      </c>
      <c r="I1442">
        <v>2</v>
      </c>
      <c r="J1442">
        <v>2017</v>
      </c>
      <c r="K1442">
        <v>12</v>
      </c>
      <c r="L1442" t="s">
        <v>16</v>
      </c>
      <c r="M1442">
        <f>SUM(Pharma_Sales_Data[[#This Row],[M01AB]:[R06]])</f>
        <v>74.396000000000001</v>
      </c>
      <c r="N1442" s="2">
        <f>Pharma_Sales_Data[[#This Row],[Total Drug Sales]]*150</f>
        <v>11159.4</v>
      </c>
      <c r="O1442" s="2">
        <f>Pharma_Sales_Data[[#This Row],[Total Revenue]]*0.3</f>
        <v>3347.8199999999997</v>
      </c>
      <c r="P1442" t="str">
        <f>IF(Pharma_Sales_Data[[#This Row],[Total Revenue]]&gt;20000,"High Value", IF(Pharma_Sales_Data[[#This Row],[Total Revenue]]&gt;=10000,"Medium Value","Low Value"))</f>
        <v>Medium Value</v>
      </c>
    </row>
    <row r="1443" spans="1:16" x14ac:dyDescent="0.35">
      <c r="A1443" s="1">
        <v>43082</v>
      </c>
      <c r="B1443">
        <v>4</v>
      </c>
      <c r="C1443">
        <v>3.34</v>
      </c>
      <c r="D1443">
        <v>2.2999999999999998</v>
      </c>
      <c r="E1443">
        <v>29</v>
      </c>
      <c r="F1443">
        <v>9</v>
      </c>
      <c r="G1443">
        <v>0</v>
      </c>
      <c r="H1443">
        <v>0</v>
      </c>
      <c r="I1443">
        <v>1</v>
      </c>
      <c r="J1443">
        <v>2017</v>
      </c>
      <c r="K1443">
        <v>12</v>
      </c>
      <c r="L1443" t="s">
        <v>17</v>
      </c>
      <c r="M1443">
        <f>SUM(Pharma_Sales_Data[[#This Row],[M01AB]:[R06]])</f>
        <v>48.64</v>
      </c>
      <c r="N1443" s="2">
        <f>Pharma_Sales_Data[[#This Row],[Total Drug Sales]]*150</f>
        <v>7296</v>
      </c>
      <c r="O1443" s="2">
        <f>Pharma_Sales_Data[[#This Row],[Total Revenue]]*0.3</f>
        <v>2188.7999999999997</v>
      </c>
      <c r="P1443" t="str">
        <f>IF(Pharma_Sales_Data[[#This Row],[Total Revenue]]&gt;20000,"High Value", IF(Pharma_Sales_Data[[#This Row],[Total Revenue]]&gt;=10000,"Medium Value","Low Value"))</f>
        <v>Low Value</v>
      </c>
    </row>
    <row r="1444" spans="1:16" x14ac:dyDescent="0.35">
      <c r="A1444" s="1">
        <v>43083</v>
      </c>
      <c r="B1444">
        <v>3</v>
      </c>
      <c r="C1444">
        <v>3</v>
      </c>
      <c r="D1444">
        <v>3</v>
      </c>
      <c r="E1444">
        <v>30</v>
      </c>
      <c r="F1444">
        <v>5</v>
      </c>
      <c r="G1444">
        <v>0</v>
      </c>
      <c r="H1444">
        <v>0</v>
      </c>
      <c r="I1444">
        <v>3</v>
      </c>
      <c r="J1444">
        <v>2017</v>
      </c>
      <c r="K1444">
        <v>12</v>
      </c>
      <c r="L1444" t="s">
        <v>11</v>
      </c>
      <c r="M1444">
        <f>SUM(Pharma_Sales_Data[[#This Row],[M01AB]:[R06]])</f>
        <v>47</v>
      </c>
      <c r="N1444" s="2">
        <f>Pharma_Sales_Data[[#This Row],[Total Drug Sales]]*150</f>
        <v>7050</v>
      </c>
      <c r="O1444" s="2">
        <f>Pharma_Sales_Data[[#This Row],[Total Revenue]]*0.3</f>
        <v>2115</v>
      </c>
      <c r="P1444" t="str">
        <f>IF(Pharma_Sales_Data[[#This Row],[Total Revenue]]&gt;20000,"High Value", IF(Pharma_Sales_Data[[#This Row],[Total Revenue]]&gt;=10000,"Medium Value","Low Value"))</f>
        <v>Low Value</v>
      </c>
    </row>
    <row r="1445" spans="1:16" x14ac:dyDescent="0.35">
      <c r="A1445" s="1">
        <v>43084</v>
      </c>
      <c r="B1445">
        <v>4.18</v>
      </c>
      <c r="C1445">
        <v>5.01</v>
      </c>
      <c r="D1445">
        <v>2.5</v>
      </c>
      <c r="E1445">
        <v>29</v>
      </c>
      <c r="F1445">
        <v>6</v>
      </c>
      <c r="G1445">
        <v>0</v>
      </c>
      <c r="H1445">
        <v>0</v>
      </c>
      <c r="I1445">
        <v>1</v>
      </c>
      <c r="J1445">
        <v>2017</v>
      </c>
      <c r="K1445">
        <v>12</v>
      </c>
      <c r="L1445" t="s">
        <v>12</v>
      </c>
      <c r="M1445">
        <f>SUM(Pharma_Sales_Data[[#This Row],[M01AB]:[R06]])</f>
        <v>47.69</v>
      </c>
      <c r="N1445" s="2">
        <f>Pharma_Sales_Data[[#This Row],[Total Drug Sales]]*150</f>
        <v>7153.5</v>
      </c>
      <c r="O1445" s="2">
        <f>Pharma_Sales_Data[[#This Row],[Total Revenue]]*0.3</f>
        <v>2146.0499999999997</v>
      </c>
      <c r="P1445" t="str">
        <f>IF(Pharma_Sales_Data[[#This Row],[Total Revenue]]&gt;20000,"High Value", IF(Pharma_Sales_Data[[#This Row],[Total Revenue]]&gt;=10000,"Medium Value","Low Value"))</f>
        <v>Low Value</v>
      </c>
    </row>
    <row r="1446" spans="1:16" x14ac:dyDescent="0.35">
      <c r="A1446" s="1">
        <v>43085</v>
      </c>
      <c r="B1446">
        <v>11</v>
      </c>
      <c r="C1446">
        <v>6</v>
      </c>
      <c r="D1446">
        <v>3</v>
      </c>
      <c r="E1446">
        <v>36.6</v>
      </c>
      <c r="F1446">
        <v>6</v>
      </c>
      <c r="G1446">
        <v>1</v>
      </c>
      <c r="H1446">
        <v>1</v>
      </c>
      <c r="I1446">
        <v>2</v>
      </c>
      <c r="J1446">
        <v>2017</v>
      </c>
      <c r="K1446">
        <v>12</v>
      </c>
      <c r="L1446" t="s">
        <v>13</v>
      </c>
      <c r="M1446">
        <f>SUM(Pharma_Sales_Data[[#This Row],[M01AB]:[R06]])</f>
        <v>66.599999999999994</v>
      </c>
      <c r="N1446" s="2">
        <f>Pharma_Sales_Data[[#This Row],[Total Drug Sales]]*150</f>
        <v>9990</v>
      </c>
      <c r="O1446" s="2">
        <f>Pharma_Sales_Data[[#This Row],[Total Revenue]]*0.3</f>
        <v>2997</v>
      </c>
      <c r="P1446" t="str">
        <f>IF(Pharma_Sales_Data[[#This Row],[Total Revenue]]&gt;20000,"High Value", IF(Pharma_Sales_Data[[#This Row],[Total Revenue]]&gt;=10000,"Medium Value","Low Value"))</f>
        <v>Low Value</v>
      </c>
    </row>
    <row r="1447" spans="1:16" x14ac:dyDescent="0.35">
      <c r="A1447" s="1">
        <v>43086</v>
      </c>
      <c r="B1447">
        <v>7</v>
      </c>
      <c r="C1447">
        <v>0.33</v>
      </c>
      <c r="D1447">
        <v>5.0999999999999996</v>
      </c>
      <c r="E1447">
        <v>37</v>
      </c>
      <c r="F1447">
        <v>11</v>
      </c>
      <c r="G1447">
        <v>0</v>
      </c>
      <c r="H1447">
        <v>15</v>
      </c>
      <c r="I1447">
        <v>2</v>
      </c>
      <c r="J1447">
        <v>2017</v>
      </c>
      <c r="K1447">
        <v>12</v>
      </c>
      <c r="L1447" t="s">
        <v>14</v>
      </c>
      <c r="M1447">
        <f>SUM(Pharma_Sales_Data[[#This Row],[M01AB]:[R06]])</f>
        <v>77.430000000000007</v>
      </c>
      <c r="N1447" s="2">
        <f>Pharma_Sales_Data[[#This Row],[Total Drug Sales]]*150</f>
        <v>11614.500000000002</v>
      </c>
      <c r="O1447" s="2">
        <f>Pharma_Sales_Data[[#This Row],[Total Revenue]]*0.3</f>
        <v>3484.3500000000004</v>
      </c>
      <c r="P1447" t="str">
        <f>IF(Pharma_Sales_Data[[#This Row],[Total Revenue]]&gt;20000,"High Value", IF(Pharma_Sales_Data[[#This Row],[Total Revenue]]&gt;=10000,"Medium Value","Low Value"))</f>
        <v>Medium Value</v>
      </c>
    </row>
    <row r="1448" spans="1:16" x14ac:dyDescent="0.35">
      <c r="A1448" s="1">
        <v>43087</v>
      </c>
      <c r="B1448">
        <v>0.66</v>
      </c>
      <c r="C1448">
        <v>4.67</v>
      </c>
      <c r="D1448">
        <v>6</v>
      </c>
      <c r="E1448">
        <v>31.6</v>
      </c>
      <c r="F1448">
        <v>7</v>
      </c>
      <c r="G1448">
        <v>0</v>
      </c>
      <c r="H1448">
        <v>8</v>
      </c>
      <c r="I1448">
        <v>0</v>
      </c>
      <c r="J1448">
        <v>2017</v>
      </c>
      <c r="K1448">
        <v>12</v>
      </c>
      <c r="L1448" t="s">
        <v>15</v>
      </c>
      <c r="M1448">
        <f>SUM(Pharma_Sales_Data[[#This Row],[M01AB]:[R06]])</f>
        <v>57.93</v>
      </c>
      <c r="N1448" s="2">
        <f>Pharma_Sales_Data[[#This Row],[Total Drug Sales]]*150</f>
        <v>8689.5</v>
      </c>
      <c r="O1448" s="2">
        <f>Pharma_Sales_Data[[#This Row],[Total Revenue]]*0.3</f>
        <v>2606.85</v>
      </c>
      <c r="P1448" t="str">
        <f>IF(Pharma_Sales_Data[[#This Row],[Total Revenue]]&gt;20000,"High Value", IF(Pharma_Sales_Data[[#This Row],[Total Revenue]]&gt;=10000,"Medium Value","Low Value"))</f>
        <v>Low Value</v>
      </c>
    </row>
    <row r="1449" spans="1:16" x14ac:dyDescent="0.35">
      <c r="A1449" s="1">
        <v>43088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2017</v>
      </c>
      <c r="K1449">
        <v>12</v>
      </c>
      <c r="L1449" t="s">
        <v>16</v>
      </c>
      <c r="M1449">
        <f>SUM(Pharma_Sales_Data[[#This Row],[M01AB]:[R06]])</f>
        <v>0</v>
      </c>
      <c r="N1449" s="2">
        <f>Pharma_Sales_Data[[#This Row],[Total Drug Sales]]*150</f>
        <v>0</v>
      </c>
      <c r="O1449" s="2">
        <f>Pharma_Sales_Data[[#This Row],[Total Revenue]]*0.3</f>
        <v>0</v>
      </c>
      <c r="P1449" t="str">
        <f>IF(Pharma_Sales_Data[[#This Row],[Total Revenue]]&gt;20000,"High Value", IF(Pharma_Sales_Data[[#This Row],[Total Revenue]]&gt;=10000,"Medium Value","Low Value"))</f>
        <v>Low Value</v>
      </c>
    </row>
    <row r="1450" spans="1:16" x14ac:dyDescent="0.35">
      <c r="A1450" s="1">
        <v>43089</v>
      </c>
      <c r="B1450">
        <v>2</v>
      </c>
      <c r="C1450">
        <v>3.3959999999999999</v>
      </c>
      <c r="D1450">
        <v>3</v>
      </c>
      <c r="E1450">
        <v>27.2</v>
      </c>
      <c r="F1450">
        <v>3</v>
      </c>
      <c r="G1450">
        <v>0</v>
      </c>
      <c r="H1450">
        <v>11</v>
      </c>
      <c r="I1450">
        <v>2</v>
      </c>
      <c r="J1450">
        <v>2017</v>
      </c>
      <c r="K1450">
        <v>12</v>
      </c>
      <c r="L1450" t="s">
        <v>17</v>
      </c>
      <c r="M1450">
        <f>SUM(Pharma_Sales_Data[[#This Row],[M01AB]:[R06]])</f>
        <v>51.596000000000004</v>
      </c>
      <c r="N1450" s="2">
        <f>Pharma_Sales_Data[[#This Row],[Total Drug Sales]]*150</f>
        <v>7739.4000000000005</v>
      </c>
      <c r="O1450" s="2">
        <f>Pharma_Sales_Data[[#This Row],[Total Revenue]]*0.3</f>
        <v>2321.8200000000002</v>
      </c>
      <c r="P1450" t="str">
        <f>IF(Pharma_Sales_Data[[#This Row],[Total Revenue]]&gt;20000,"High Value", IF(Pharma_Sales_Data[[#This Row],[Total Revenue]]&gt;=10000,"Medium Value","Low Value"))</f>
        <v>Low Value</v>
      </c>
    </row>
    <row r="1451" spans="1:16" x14ac:dyDescent="0.35">
      <c r="A1451" s="1">
        <v>43090</v>
      </c>
      <c r="B1451">
        <v>2.02</v>
      </c>
      <c r="C1451">
        <v>2.66</v>
      </c>
      <c r="D1451">
        <v>4</v>
      </c>
      <c r="E1451">
        <v>23.4</v>
      </c>
      <c r="F1451">
        <v>5</v>
      </c>
      <c r="G1451">
        <v>0</v>
      </c>
      <c r="H1451">
        <v>6</v>
      </c>
      <c r="I1451">
        <v>0</v>
      </c>
      <c r="J1451">
        <v>2017</v>
      </c>
      <c r="K1451">
        <v>12</v>
      </c>
      <c r="L1451" t="s">
        <v>11</v>
      </c>
      <c r="M1451">
        <f>SUM(Pharma_Sales_Data[[#This Row],[M01AB]:[R06]])</f>
        <v>43.08</v>
      </c>
      <c r="N1451" s="2">
        <f>Pharma_Sales_Data[[#This Row],[Total Drug Sales]]*150</f>
        <v>6462</v>
      </c>
      <c r="O1451" s="2">
        <f>Pharma_Sales_Data[[#This Row],[Total Revenue]]*0.3</f>
        <v>1938.6</v>
      </c>
      <c r="P1451" t="str">
        <f>IF(Pharma_Sales_Data[[#This Row],[Total Revenue]]&gt;20000,"High Value", IF(Pharma_Sales_Data[[#This Row],[Total Revenue]]&gt;=10000,"Medium Value","Low Value"))</f>
        <v>Low Value</v>
      </c>
    </row>
    <row r="1452" spans="1:16" x14ac:dyDescent="0.35">
      <c r="A1452" s="1">
        <v>43091</v>
      </c>
      <c r="B1452">
        <v>5.99</v>
      </c>
      <c r="C1452">
        <v>2.7690000000000001</v>
      </c>
      <c r="D1452">
        <v>1.5</v>
      </c>
      <c r="E1452">
        <v>26</v>
      </c>
      <c r="F1452">
        <v>13</v>
      </c>
      <c r="G1452">
        <v>0</v>
      </c>
      <c r="H1452">
        <v>1</v>
      </c>
      <c r="I1452">
        <v>1.6</v>
      </c>
      <c r="J1452">
        <v>2017</v>
      </c>
      <c r="K1452">
        <v>12</v>
      </c>
      <c r="L1452" t="s">
        <v>12</v>
      </c>
      <c r="M1452">
        <f>SUM(Pharma_Sales_Data[[#This Row],[M01AB]:[R06]])</f>
        <v>51.859000000000002</v>
      </c>
      <c r="N1452" s="2">
        <f>Pharma_Sales_Data[[#This Row],[Total Drug Sales]]*150</f>
        <v>7778.85</v>
      </c>
      <c r="O1452" s="2">
        <f>Pharma_Sales_Data[[#This Row],[Total Revenue]]*0.3</f>
        <v>2333.6550000000002</v>
      </c>
      <c r="P1452" t="str">
        <f>IF(Pharma_Sales_Data[[#This Row],[Total Revenue]]&gt;20000,"High Value", IF(Pharma_Sales_Data[[#This Row],[Total Revenue]]&gt;=10000,"Medium Value","Low Value"))</f>
        <v>Low Value</v>
      </c>
    </row>
    <row r="1453" spans="1:16" x14ac:dyDescent="0.35">
      <c r="A1453" s="1">
        <v>43092</v>
      </c>
      <c r="B1453">
        <v>6</v>
      </c>
      <c r="C1453">
        <v>4.5049999999999999</v>
      </c>
      <c r="D1453">
        <v>6.1</v>
      </c>
      <c r="E1453">
        <v>28.3</v>
      </c>
      <c r="F1453">
        <v>6</v>
      </c>
      <c r="G1453">
        <v>0</v>
      </c>
      <c r="H1453">
        <v>1</v>
      </c>
      <c r="I1453">
        <v>1</v>
      </c>
      <c r="J1453">
        <v>2017</v>
      </c>
      <c r="K1453">
        <v>12</v>
      </c>
      <c r="L1453" t="s">
        <v>13</v>
      </c>
      <c r="M1453">
        <f>SUM(Pharma_Sales_Data[[#This Row],[M01AB]:[R06]])</f>
        <v>52.905000000000001</v>
      </c>
      <c r="N1453" s="2">
        <f>Pharma_Sales_Data[[#This Row],[Total Drug Sales]]*150</f>
        <v>7935.75</v>
      </c>
      <c r="O1453" s="2">
        <f>Pharma_Sales_Data[[#This Row],[Total Revenue]]*0.3</f>
        <v>2380.7249999999999</v>
      </c>
      <c r="P1453" t="str">
        <f>IF(Pharma_Sales_Data[[#This Row],[Total Revenue]]&gt;20000,"High Value", IF(Pharma_Sales_Data[[#This Row],[Total Revenue]]&gt;=10000,"Medium Value","Low Value"))</f>
        <v>Low Value</v>
      </c>
    </row>
    <row r="1454" spans="1:16" x14ac:dyDescent="0.35">
      <c r="A1454" s="1">
        <v>43093</v>
      </c>
      <c r="B1454">
        <v>7.66</v>
      </c>
      <c r="C1454">
        <v>3.46</v>
      </c>
      <c r="D1454">
        <v>2</v>
      </c>
      <c r="E1454">
        <v>32.200000000000003</v>
      </c>
      <c r="F1454">
        <v>4</v>
      </c>
      <c r="G1454">
        <v>0</v>
      </c>
      <c r="H1454">
        <v>5</v>
      </c>
      <c r="I1454">
        <v>1</v>
      </c>
      <c r="J1454">
        <v>2017</v>
      </c>
      <c r="K1454">
        <v>12</v>
      </c>
      <c r="L1454" t="s">
        <v>14</v>
      </c>
      <c r="M1454">
        <f>SUM(Pharma_Sales_Data[[#This Row],[M01AB]:[R06]])</f>
        <v>55.320000000000007</v>
      </c>
      <c r="N1454" s="2">
        <f>Pharma_Sales_Data[[#This Row],[Total Drug Sales]]*150</f>
        <v>8298.0000000000018</v>
      </c>
      <c r="O1454" s="2">
        <f>Pharma_Sales_Data[[#This Row],[Total Revenue]]*0.3</f>
        <v>2489.4000000000005</v>
      </c>
      <c r="P1454" t="str">
        <f>IF(Pharma_Sales_Data[[#This Row],[Total Revenue]]&gt;20000,"High Value", IF(Pharma_Sales_Data[[#This Row],[Total Revenue]]&gt;=10000,"Medium Value","Low Value"))</f>
        <v>Low Value</v>
      </c>
    </row>
    <row r="1455" spans="1:16" x14ac:dyDescent="0.35">
      <c r="A1455" s="1">
        <v>43094</v>
      </c>
      <c r="B1455">
        <v>1</v>
      </c>
      <c r="C1455">
        <v>0.62</v>
      </c>
      <c r="D1455">
        <v>4.0999999999999996</v>
      </c>
      <c r="E1455">
        <v>15.53</v>
      </c>
      <c r="F1455">
        <v>4</v>
      </c>
      <c r="G1455">
        <v>0</v>
      </c>
      <c r="H1455">
        <v>6</v>
      </c>
      <c r="I1455">
        <v>2</v>
      </c>
      <c r="J1455">
        <v>2017</v>
      </c>
      <c r="K1455">
        <v>12</v>
      </c>
      <c r="L1455" t="s">
        <v>15</v>
      </c>
      <c r="M1455">
        <f>SUM(Pharma_Sales_Data[[#This Row],[M01AB]:[R06]])</f>
        <v>33.25</v>
      </c>
      <c r="N1455" s="2">
        <f>Pharma_Sales_Data[[#This Row],[Total Drug Sales]]*150</f>
        <v>4987.5</v>
      </c>
      <c r="O1455" s="2">
        <f>Pharma_Sales_Data[[#This Row],[Total Revenue]]*0.3</f>
        <v>1496.25</v>
      </c>
      <c r="P1455" t="str">
        <f>IF(Pharma_Sales_Data[[#This Row],[Total Revenue]]&gt;20000,"High Value", IF(Pharma_Sales_Data[[#This Row],[Total Revenue]]&gt;=10000,"Medium Value","Low Value"))</f>
        <v>Low Value</v>
      </c>
    </row>
    <row r="1456" spans="1:16" x14ac:dyDescent="0.35">
      <c r="A1456" s="1">
        <v>43095</v>
      </c>
      <c r="B1456">
        <v>2.99</v>
      </c>
      <c r="C1456">
        <v>4.67</v>
      </c>
      <c r="D1456">
        <v>3.5</v>
      </c>
      <c r="E1456">
        <v>56.9</v>
      </c>
      <c r="F1456">
        <v>9</v>
      </c>
      <c r="G1456">
        <v>0</v>
      </c>
      <c r="H1456">
        <v>9</v>
      </c>
      <c r="I1456">
        <v>2</v>
      </c>
      <c r="J1456">
        <v>2017</v>
      </c>
      <c r="K1456">
        <v>12</v>
      </c>
      <c r="L1456" t="s">
        <v>16</v>
      </c>
      <c r="M1456">
        <f>SUM(Pharma_Sales_Data[[#This Row],[M01AB]:[R06]])</f>
        <v>88.06</v>
      </c>
      <c r="N1456" s="2">
        <f>Pharma_Sales_Data[[#This Row],[Total Drug Sales]]*150</f>
        <v>13209</v>
      </c>
      <c r="O1456" s="2">
        <f>Pharma_Sales_Data[[#This Row],[Total Revenue]]*0.3</f>
        <v>3962.7</v>
      </c>
      <c r="P1456" t="str">
        <f>IF(Pharma_Sales_Data[[#This Row],[Total Revenue]]&gt;20000,"High Value", IF(Pharma_Sales_Data[[#This Row],[Total Revenue]]&gt;=10000,"Medium Value","Low Value"))</f>
        <v>Medium Value</v>
      </c>
    </row>
    <row r="1457" spans="1:16" x14ac:dyDescent="0.35">
      <c r="A1457" s="1">
        <v>43096</v>
      </c>
      <c r="B1457">
        <v>7</v>
      </c>
      <c r="C1457">
        <v>4.8140000000000001</v>
      </c>
      <c r="D1457">
        <v>5.15</v>
      </c>
      <c r="E1457">
        <v>32.700000000000003</v>
      </c>
      <c r="F1457">
        <v>9</v>
      </c>
      <c r="G1457">
        <v>0</v>
      </c>
      <c r="H1457">
        <v>3</v>
      </c>
      <c r="I1457">
        <v>0</v>
      </c>
      <c r="J1457">
        <v>2017</v>
      </c>
      <c r="K1457">
        <v>12</v>
      </c>
      <c r="L1457" t="s">
        <v>17</v>
      </c>
      <c r="M1457">
        <f>SUM(Pharma_Sales_Data[[#This Row],[M01AB]:[R06]])</f>
        <v>61.664000000000001</v>
      </c>
      <c r="N1457" s="2">
        <f>Pharma_Sales_Data[[#This Row],[Total Drug Sales]]*150</f>
        <v>9249.6</v>
      </c>
      <c r="O1457" s="2">
        <f>Pharma_Sales_Data[[#This Row],[Total Revenue]]*0.3</f>
        <v>2774.88</v>
      </c>
      <c r="P1457" t="str">
        <f>IF(Pharma_Sales_Data[[#This Row],[Total Revenue]]&gt;20000,"High Value", IF(Pharma_Sales_Data[[#This Row],[Total Revenue]]&gt;=10000,"Medium Value","Low Value"))</f>
        <v>Low Value</v>
      </c>
    </row>
    <row r="1458" spans="1:16" x14ac:dyDescent="0.35">
      <c r="A1458" s="1">
        <v>43097</v>
      </c>
      <c r="B1458">
        <v>7.33</v>
      </c>
      <c r="C1458">
        <v>3.4620000000000002</v>
      </c>
      <c r="D1458">
        <v>5.0999999999999996</v>
      </c>
      <c r="E1458">
        <v>35.35</v>
      </c>
      <c r="F1458">
        <v>12</v>
      </c>
      <c r="G1458">
        <v>3</v>
      </c>
      <c r="H1458">
        <v>24</v>
      </c>
      <c r="I1458">
        <v>1</v>
      </c>
      <c r="J1458">
        <v>2017</v>
      </c>
      <c r="K1458">
        <v>12</v>
      </c>
      <c r="L1458" t="s">
        <v>11</v>
      </c>
      <c r="M1458">
        <f>SUM(Pharma_Sales_Data[[#This Row],[M01AB]:[R06]])</f>
        <v>91.242000000000004</v>
      </c>
      <c r="N1458" s="2">
        <f>Pharma_Sales_Data[[#This Row],[Total Drug Sales]]*150</f>
        <v>13686.300000000001</v>
      </c>
      <c r="O1458" s="2">
        <f>Pharma_Sales_Data[[#This Row],[Total Revenue]]*0.3</f>
        <v>4105.8900000000003</v>
      </c>
      <c r="P1458" t="str">
        <f>IF(Pharma_Sales_Data[[#This Row],[Total Revenue]]&gt;20000,"High Value", IF(Pharma_Sales_Data[[#This Row],[Total Revenue]]&gt;=10000,"Medium Value","Low Value"))</f>
        <v>Medium Value</v>
      </c>
    </row>
    <row r="1459" spans="1:16" x14ac:dyDescent="0.35">
      <c r="A1459" s="1">
        <v>43098</v>
      </c>
      <c r="B1459">
        <v>9.34</v>
      </c>
      <c r="C1459">
        <v>2.0659999999999998</v>
      </c>
      <c r="D1459">
        <v>2.5</v>
      </c>
      <c r="E1459">
        <v>41.4</v>
      </c>
      <c r="F1459">
        <v>17</v>
      </c>
      <c r="G1459">
        <v>0</v>
      </c>
      <c r="H1459">
        <v>11</v>
      </c>
      <c r="I1459">
        <v>2</v>
      </c>
      <c r="J1459">
        <v>2017</v>
      </c>
      <c r="K1459">
        <v>12</v>
      </c>
      <c r="L1459" t="s">
        <v>12</v>
      </c>
      <c r="M1459">
        <f>SUM(Pharma_Sales_Data[[#This Row],[M01AB]:[R06]])</f>
        <v>85.305999999999997</v>
      </c>
      <c r="N1459" s="2">
        <f>Pharma_Sales_Data[[#This Row],[Total Drug Sales]]*150</f>
        <v>12795.9</v>
      </c>
      <c r="O1459" s="2">
        <f>Pharma_Sales_Data[[#This Row],[Total Revenue]]*0.3</f>
        <v>3838.7699999999995</v>
      </c>
      <c r="P1459" t="str">
        <f>IF(Pharma_Sales_Data[[#This Row],[Total Revenue]]&gt;20000,"High Value", IF(Pharma_Sales_Data[[#This Row],[Total Revenue]]&gt;=10000,"Medium Value","Low Value"))</f>
        <v>Medium Value</v>
      </c>
    </row>
    <row r="1460" spans="1:16" x14ac:dyDescent="0.35">
      <c r="A1460" s="1">
        <v>43099</v>
      </c>
      <c r="B1460">
        <v>8.68</v>
      </c>
      <c r="C1460">
        <v>8.3629999999999995</v>
      </c>
      <c r="D1460">
        <v>4</v>
      </c>
      <c r="E1460">
        <v>50</v>
      </c>
      <c r="F1460">
        <v>8</v>
      </c>
      <c r="G1460">
        <v>0</v>
      </c>
      <c r="H1460">
        <v>10</v>
      </c>
      <c r="I1460">
        <v>3</v>
      </c>
      <c r="J1460">
        <v>2017</v>
      </c>
      <c r="K1460">
        <v>12</v>
      </c>
      <c r="L1460" t="s">
        <v>13</v>
      </c>
      <c r="M1460">
        <f>SUM(Pharma_Sales_Data[[#This Row],[M01AB]:[R06]])</f>
        <v>92.043000000000006</v>
      </c>
      <c r="N1460" s="2">
        <f>Pharma_Sales_Data[[#This Row],[Total Drug Sales]]*150</f>
        <v>13806.45</v>
      </c>
      <c r="O1460" s="2">
        <f>Pharma_Sales_Data[[#This Row],[Total Revenue]]*0.3</f>
        <v>4141.9350000000004</v>
      </c>
      <c r="P1460" t="str">
        <f>IF(Pharma_Sales_Data[[#This Row],[Total Revenue]]&gt;20000,"High Value", IF(Pharma_Sales_Data[[#This Row],[Total Revenue]]&gt;=10000,"Medium Value","Low Value"))</f>
        <v>Medium Value</v>
      </c>
    </row>
    <row r="1461" spans="1:16" x14ac:dyDescent="0.35">
      <c r="A1461" s="1">
        <v>43100</v>
      </c>
      <c r="B1461">
        <v>13.83</v>
      </c>
      <c r="C1461">
        <v>10.042999999999999</v>
      </c>
      <c r="D1461">
        <v>5.3</v>
      </c>
      <c r="E1461">
        <v>70.2</v>
      </c>
      <c r="F1461">
        <v>9</v>
      </c>
      <c r="G1461">
        <v>0</v>
      </c>
      <c r="H1461">
        <v>0</v>
      </c>
      <c r="I1461">
        <v>1</v>
      </c>
      <c r="J1461">
        <v>2017</v>
      </c>
      <c r="K1461">
        <v>12</v>
      </c>
      <c r="L1461" t="s">
        <v>14</v>
      </c>
      <c r="M1461">
        <f>SUM(Pharma_Sales_Data[[#This Row],[M01AB]:[R06]])</f>
        <v>109.373</v>
      </c>
      <c r="N1461" s="2">
        <f>Pharma_Sales_Data[[#This Row],[Total Drug Sales]]*150</f>
        <v>16405.95</v>
      </c>
      <c r="O1461" s="2">
        <f>Pharma_Sales_Data[[#This Row],[Total Revenue]]*0.3</f>
        <v>4921.7849999999999</v>
      </c>
      <c r="P1461" t="str">
        <f>IF(Pharma_Sales_Data[[#This Row],[Total Revenue]]&gt;20000,"High Value", IF(Pharma_Sales_Data[[#This Row],[Total Revenue]]&gt;=10000,"Medium Value","Low Value"))</f>
        <v>Medium Value</v>
      </c>
    </row>
    <row r="1462" spans="1:16" x14ac:dyDescent="0.35">
      <c r="A1462" s="1">
        <v>43101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2018</v>
      </c>
      <c r="K1462">
        <v>1</v>
      </c>
      <c r="L1462" t="s">
        <v>15</v>
      </c>
      <c r="M1462">
        <f>SUM(Pharma_Sales_Data[[#This Row],[M01AB]:[R06]])</f>
        <v>0</v>
      </c>
      <c r="N1462" s="2">
        <f>Pharma_Sales_Data[[#This Row],[Total Drug Sales]]*150</f>
        <v>0</v>
      </c>
      <c r="O1462" s="2">
        <f>Pharma_Sales_Data[[#This Row],[Total Revenue]]*0.3</f>
        <v>0</v>
      </c>
      <c r="P1462" t="str">
        <f>IF(Pharma_Sales_Data[[#This Row],[Total Revenue]]&gt;20000,"High Value", IF(Pharma_Sales_Data[[#This Row],[Total Revenue]]&gt;=10000,"Medium Value","Low Value"))</f>
        <v>Low Value</v>
      </c>
    </row>
    <row r="1463" spans="1:16" x14ac:dyDescent="0.35">
      <c r="A1463" s="1">
        <v>43102</v>
      </c>
      <c r="B1463">
        <v>1</v>
      </c>
      <c r="C1463">
        <v>5.33</v>
      </c>
      <c r="D1463">
        <v>2.25</v>
      </c>
      <c r="E1463">
        <v>38</v>
      </c>
      <c r="F1463">
        <v>3</v>
      </c>
      <c r="G1463">
        <v>0</v>
      </c>
      <c r="H1463">
        <v>2</v>
      </c>
      <c r="I1463">
        <v>2</v>
      </c>
      <c r="J1463">
        <v>2018</v>
      </c>
      <c r="K1463">
        <v>1</v>
      </c>
      <c r="L1463" t="s">
        <v>16</v>
      </c>
      <c r="M1463">
        <f>SUM(Pharma_Sales_Data[[#This Row],[M01AB]:[R06]])</f>
        <v>53.58</v>
      </c>
      <c r="N1463" s="2">
        <f>Pharma_Sales_Data[[#This Row],[Total Drug Sales]]*150</f>
        <v>8037</v>
      </c>
      <c r="O1463" s="2">
        <f>Pharma_Sales_Data[[#This Row],[Total Revenue]]*0.3</f>
        <v>2411.1</v>
      </c>
      <c r="P1463" t="str">
        <f>IF(Pharma_Sales_Data[[#This Row],[Total Revenue]]&gt;20000,"High Value", IF(Pharma_Sales_Data[[#This Row],[Total Revenue]]&gt;=10000,"Medium Value","Low Value"))</f>
        <v>Low Value</v>
      </c>
    </row>
    <row r="1464" spans="1:16" x14ac:dyDescent="0.35">
      <c r="A1464" s="1">
        <v>43103</v>
      </c>
      <c r="B1464">
        <v>4.67</v>
      </c>
      <c r="C1464">
        <v>2.3969999999999998</v>
      </c>
      <c r="D1464">
        <v>3</v>
      </c>
      <c r="E1464">
        <v>54</v>
      </c>
      <c r="F1464">
        <v>4</v>
      </c>
      <c r="G1464">
        <v>0</v>
      </c>
      <c r="H1464">
        <v>10</v>
      </c>
      <c r="I1464">
        <v>3</v>
      </c>
      <c r="J1464">
        <v>2018</v>
      </c>
      <c r="K1464">
        <v>1</v>
      </c>
      <c r="L1464" t="s">
        <v>17</v>
      </c>
      <c r="M1464">
        <f>SUM(Pharma_Sales_Data[[#This Row],[M01AB]:[R06]])</f>
        <v>81.067000000000007</v>
      </c>
      <c r="N1464" s="2">
        <f>Pharma_Sales_Data[[#This Row],[Total Drug Sales]]*150</f>
        <v>12160.050000000001</v>
      </c>
      <c r="O1464" s="2">
        <f>Pharma_Sales_Data[[#This Row],[Total Revenue]]*0.3</f>
        <v>3648.0150000000003</v>
      </c>
      <c r="P1464" t="str">
        <f>IF(Pharma_Sales_Data[[#This Row],[Total Revenue]]&gt;20000,"High Value", IF(Pharma_Sales_Data[[#This Row],[Total Revenue]]&gt;=10000,"Medium Value","Low Value"))</f>
        <v>Medium Value</v>
      </c>
    </row>
    <row r="1465" spans="1:16" x14ac:dyDescent="0.35">
      <c r="A1465" s="1">
        <v>43104</v>
      </c>
      <c r="B1465">
        <v>6</v>
      </c>
      <c r="C1465">
        <v>1.099</v>
      </c>
      <c r="D1465">
        <v>1</v>
      </c>
      <c r="E1465">
        <v>39.200000000000003</v>
      </c>
      <c r="F1465">
        <v>9</v>
      </c>
      <c r="G1465">
        <v>0</v>
      </c>
      <c r="H1465">
        <v>1</v>
      </c>
      <c r="I1465">
        <v>2</v>
      </c>
      <c r="J1465">
        <v>2018</v>
      </c>
      <c r="K1465">
        <v>1</v>
      </c>
      <c r="L1465" t="s">
        <v>11</v>
      </c>
      <c r="M1465">
        <f>SUM(Pharma_Sales_Data[[#This Row],[M01AB]:[R06]])</f>
        <v>59.299000000000007</v>
      </c>
      <c r="N1465" s="2">
        <f>Pharma_Sales_Data[[#This Row],[Total Drug Sales]]*150</f>
        <v>8894.85</v>
      </c>
      <c r="O1465" s="2">
        <f>Pharma_Sales_Data[[#This Row],[Total Revenue]]*0.3</f>
        <v>2668.4549999999999</v>
      </c>
      <c r="P1465" t="str">
        <f>IF(Pharma_Sales_Data[[#This Row],[Total Revenue]]&gt;20000,"High Value", IF(Pharma_Sales_Data[[#This Row],[Total Revenue]]&gt;=10000,"Medium Value","Low Value"))</f>
        <v>Low Value</v>
      </c>
    </row>
    <row r="1466" spans="1:16" x14ac:dyDescent="0.35">
      <c r="A1466" s="1">
        <v>43105</v>
      </c>
      <c r="B1466">
        <v>12</v>
      </c>
      <c r="C1466">
        <v>6.8250000000000002</v>
      </c>
      <c r="D1466">
        <v>3</v>
      </c>
      <c r="E1466">
        <v>26</v>
      </c>
      <c r="F1466">
        <v>11</v>
      </c>
      <c r="G1466">
        <v>0</v>
      </c>
      <c r="H1466">
        <v>21</v>
      </c>
      <c r="I1466">
        <v>1</v>
      </c>
      <c r="J1466">
        <v>2018</v>
      </c>
      <c r="K1466">
        <v>1</v>
      </c>
      <c r="L1466" t="s">
        <v>12</v>
      </c>
      <c r="M1466">
        <f>SUM(Pharma_Sales_Data[[#This Row],[M01AB]:[R06]])</f>
        <v>80.825000000000003</v>
      </c>
      <c r="N1466" s="2">
        <f>Pharma_Sales_Data[[#This Row],[Total Drug Sales]]*150</f>
        <v>12123.75</v>
      </c>
      <c r="O1466" s="2">
        <f>Pharma_Sales_Data[[#This Row],[Total Revenue]]*0.3</f>
        <v>3637.125</v>
      </c>
      <c r="P1466" t="str">
        <f>IF(Pharma_Sales_Data[[#This Row],[Total Revenue]]&gt;20000,"High Value", IF(Pharma_Sales_Data[[#This Row],[Total Revenue]]&gt;=10000,"Medium Value","Low Value"))</f>
        <v>Medium Value</v>
      </c>
    </row>
    <row r="1467" spans="1:16" x14ac:dyDescent="0.35">
      <c r="A1467" s="1">
        <v>43106</v>
      </c>
      <c r="B1467">
        <v>4.66</v>
      </c>
      <c r="C1467">
        <v>1.66</v>
      </c>
      <c r="D1467">
        <v>2.2000000000000002</v>
      </c>
      <c r="E1467">
        <v>73</v>
      </c>
      <c r="F1467">
        <v>4</v>
      </c>
      <c r="G1467">
        <v>0</v>
      </c>
      <c r="H1467">
        <v>5</v>
      </c>
      <c r="I1467">
        <v>8</v>
      </c>
      <c r="J1467">
        <v>2018</v>
      </c>
      <c r="K1467">
        <v>1</v>
      </c>
      <c r="L1467" t="s">
        <v>13</v>
      </c>
      <c r="M1467">
        <f>SUM(Pharma_Sales_Data[[#This Row],[M01AB]:[R06]])</f>
        <v>98.52</v>
      </c>
      <c r="N1467" s="2">
        <f>Pharma_Sales_Data[[#This Row],[Total Drug Sales]]*150</f>
        <v>14778</v>
      </c>
      <c r="O1467" s="2">
        <f>Pharma_Sales_Data[[#This Row],[Total Revenue]]*0.3</f>
        <v>4433.3999999999996</v>
      </c>
      <c r="P1467" t="str">
        <f>IF(Pharma_Sales_Data[[#This Row],[Total Revenue]]&gt;20000,"High Value", IF(Pharma_Sales_Data[[#This Row],[Total Revenue]]&gt;=10000,"Medium Value","Low Value"))</f>
        <v>Medium Value</v>
      </c>
    </row>
    <row r="1468" spans="1:16" x14ac:dyDescent="0.35">
      <c r="A1468" s="1">
        <v>43107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2018</v>
      </c>
      <c r="K1468">
        <v>1</v>
      </c>
      <c r="L1468" t="s">
        <v>14</v>
      </c>
      <c r="M1468">
        <f>SUM(Pharma_Sales_Data[[#This Row],[M01AB]:[R06]])</f>
        <v>0</v>
      </c>
      <c r="N1468" s="2">
        <f>Pharma_Sales_Data[[#This Row],[Total Drug Sales]]*150</f>
        <v>0</v>
      </c>
      <c r="O1468" s="2">
        <f>Pharma_Sales_Data[[#This Row],[Total Revenue]]*0.3</f>
        <v>0</v>
      </c>
      <c r="P1468" t="str">
        <f>IF(Pharma_Sales_Data[[#This Row],[Total Revenue]]&gt;20000,"High Value", IF(Pharma_Sales_Data[[#This Row],[Total Revenue]]&gt;=10000,"Medium Value","Low Value"))</f>
        <v>Low Value</v>
      </c>
    </row>
    <row r="1469" spans="1:16" x14ac:dyDescent="0.35">
      <c r="A1469" s="1">
        <v>43108</v>
      </c>
      <c r="B1469">
        <v>2.33</v>
      </c>
      <c r="C1469">
        <v>6.53</v>
      </c>
      <c r="D1469">
        <v>4.2</v>
      </c>
      <c r="E1469">
        <v>29.6</v>
      </c>
      <c r="F1469">
        <v>5</v>
      </c>
      <c r="G1469">
        <v>0</v>
      </c>
      <c r="H1469">
        <v>0</v>
      </c>
      <c r="I1469">
        <v>1</v>
      </c>
      <c r="J1469">
        <v>2018</v>
      </c>
      <c r="K1469">
        <v>1</v>
      </c>
      <c r="L1469" t="s">
        <v>15</v>
      </c>
      <c r="M1469">
        <f>SUM(Pharma_Sales_Data[[#This Row],[M01AB]:[R06]])</f>
        <v>48.66</v>
      </c>
      <c r="N1469" s="2">
        <f>Pharma_Sales_Data[[#This Row],[Total Drug Sales]]*150</f>
        <v>7298.9999999999991</v>
      </c>
      <c r="O1469" s="2">
        <f>Pharma_Sales_Data[[#This Row],[Total Revenue]]*0.3</f>
        <v>2189.6999999999998</v>
      </c>
      <c r="P1469" t="str">
        <f>IF(Pharma_Sales_Data[[#This Row],[Total Revenue]]&gt;20000,"High Value", IF(Pharma_Sales_Data[[#This Row],[Total Revenue]]&gt;=10000,"Medium Value","Low Value"))</f>
        <v>Low Value</v>
      </c>
    </row>
    <row r="1470" spans="1:16" x14ac:dyDescent="0.35">
      <c r="A1470" s="1">
        <v>43109</v>
      </c>
      <c r="B1470">
        <v>5.33</v>
      </c>
      <c r="C1470">
        <v>2.0990000000000002</v>
      </c>
      <c r="D1470">
        <v>5</v>
      </c>
      <c r="E1470">
        <v>33.825000000000003</v>
      </c>
      <c r="F1470">
        <v>9</v>
      </c>
      <c r="G1470">
        <v>6</v>
      </c>
      <c r="H1470">
        <v>10</v>
      </c>
      <c r="I1470">
        <v>1</v>
      </c>
      <c r="J1470">
        <v>2018</v>
      </c>
      <c r="K1470">
        <v>1</v>
      </c>
      <c r="L1470" t="s">
        <v>16</v>
      </c>
      <c r="M1470">
        <f>SUM(Pharma_Sales_Data[[#This Row],[M01AB]:[R06]])</f>
        <v>72.254000000000005</v>
      </c>
      <c r="N1470" s="2">
        <f>Pharma_Sales_Data[[#This Row],[Total Drug Sales]]*150</f>
        <v>10838.1</v>
      </c>
      <c r="O1470" s="2">
        <f>Pharma_Sales_Data[[#This Row],[Total Revenue]]*0.3</f>
        <v>3251.43</v>
      </c>
      <c r="P1470" t="str">
        <f>IF(Pharma_Sales_Data[[#This Row],[Total Revenue]]&gt;20000,"High Value", IF(Pharma_Sales_Data[[#This Row],[Total Revenue]]&gt;=10000,"Medium Value","Low Value"))</f>
        <v>Medium Value</v>
      </c>
    </row>
    <row r="1471" spans="1:16" x14ac:dyDescent="0.35">
      <c r="A1471" s="1">
        <v>43110</v>
      </c>
      <c r="B1471">
        <v>9.33</v>
      </c>
      <c r="C1471">
        <v>7.4059999999999997</v>
      </c>
      <c r="D1471">
        <v>6</v>
      </c>
      <c r="E1471">
        <v>44.5</v>
      </c>
      <c r="F1471">
        <v>12</v>
      </c>
      <c r="G1471">
        <v>0</v>
      </c>
      <c r="H1471">
        <v>6</v>
      </c>
      <c r="I1471">
        <v>2</v>
      </c>
      <c r="J1471">
        <v>2018</v>
      </c>
      <c r="K1471">
        <v>1</v>
      </c>
      <c r="L1471" t="s">
        <v>17</v>
      </c>
      <c r="M1471">
        <f>SUM(Pharma_Sales_Data[[#This Row],[M01AB]:[R06]])</f>
        <v>87.236000000000004</v>
      </c>
      <c r="N1471" s="2">
        <f>Pharma_Sales_Data[[#This Row],[Total Drug Sales]]*150</f>
        <v>13085.400000000001</v>
      </c>
      <c r="O1471" s="2">
        <f>Pharma_Sales_Data[[#This Row],[Total Revenue]]*0.3</f>
        <v>3925.6200000000003</v>
      </c>
      <c r="P1471" t="str">
        <f>IF(Pharma_Sales_Data[[#This Row],[Total Revenue]]&gt;20000,"High Value", IF(Pharma_Sales_Data[[#This Row],[Total Revenue]]&gt;=10000,"Medium Value","Low Value"))</f>
        <v>Medium Value</v>
      </c>
    </row>
    <row r="1472" spans="1:16" x14ac:dyDescent="0.35">
      <c r="A1472" s="1">
        <v>43111</v>
      </c>
      <c r="B1472">
        <v>4</v>
      </c>
      <c r="C1472">
        <v>4.33</v>
      </c>
      <c r="D1472">
        <v>5.5</v>
      </c>
      <c r="E1472">
        <v>37.6</v>
      </c>
      <c r="F1472">
        <v>7</v>
      </c>
      <c r="G1472">
        <v>0</v>
      </c>
      <c r="H1472">
        <v>5</v>
      </c>
      <c r="I1472">
        <v>0</v>
      </c>
      <c r="J1472">
        <v>2018</v>
      </c>
      <c r="K1472">
        <v>1</v>
      </c>
      <c r="L1472" t="s">
        <v>11</v>
      </c>
      <c r="M1472">
        <f>SUM(Pharma_Sales_Data[[#This Row],[M01AB]:[R06]])</f>
        <v>63.43</v>
      </c>
      <c r="N1472" s="2">
        <f>Pharma_Sales_Data[[#This Row],[Total Drug Sales]]*150</f>
        <v>9514.5</v>
      </c>
      <c r="O1472" s="2">
        <f>Pharma_Sales_Data[[#This Row],[Total Revenue]]*0.3</f>
        <v>2854.35</v>
      </c>
      <c r="P1472" t="str">
        <f>IF(Pharma_Sales_Data[[#This Row],[Total Revenue]]&gt;20000,"High Value", IF(Pharma_Sales_Data[[#This Row],[Total Revenue]]&gt;=10000,"Medium Value","Low Value"))</f>
        <v>Low Value</v>
      </c>
    </row>
    <row r="1473" spans="1:16" x14ac:dyDescent="0.35">
      <c r="A1473" s="1">
        <v>43112</v>
      </c>
      <c r="B1473">
        <v>5.66</v>
      </c>
      <c r="C1473">
        <v>1.33</v>
      </c>
      <c r="D1473">
        <v>3</v>
      </c>
      <c r="E1473">
        <v>42</v>
      </c>
      <c r="F1473">
        <v>11</v>
      </c>
      <c r="G1473">
        <v>0</v>
      </c>
      <c r="H1473">
        <v>10</v>
      </c>
      <c r="I1473">
        <v>0</v>
      </c>
      <c r="J1473">
        <v>2018</v>
      </c>
      <c r="K1473">
        <v>1</v>
      </c>
      <c r="L1473" t="s">
        <v>12</v>
      </c>
      <c r="M1473">
        <f>SUM(Pharma_Sales_Data[[#This Row],[M01AB]:[R06]])</f>
        <v>72.990000000000009</v>
      </c>
      <c r="N1473" s="2">
        <f>Pharma_Sales_Data[[#This Row],[Total Drug Sales]]*150</f>
        <v>10948.500000000002</v>
      </c>
      <c r="O1473" s="2">
        <f>Pharma_Sales_Data[[#This Row],[Total Revenue]]*0.3</f>
        <v>3284.5500000000006</v>
      </c>
      <c r="P1473" t="str">
        <f>IF(Pharma_Sales_Data[[#This Row],[Total Revenue]]&gt;20000,"High Value", IF(Pharma_Sales_Data[[#This Row],[Total Revenue]]&gt;=10000,"Medium Value","Low Value"))</f>
        <v>Medium Value</v>
      </c>
    </row>
    <row r="1474" spans="1:16" x14ac:dyDescent="0.35">
      <c r="A1474" s="1">
        <v>43113</v>
      </c>
      <c r="B1474">
        <v>3.5</v>
      </c>
      <c r="C1474">
        <v>3.4950000000000001</v>
      </c>
      <c r="D1474">
        <v>3.2</v>
      </c>
      <c r="E1474">
        <v>32</v>
      </c>
      <c r="F1474">
        <v>6</v>
      </c>
      <c r="G1474">
        <v>0</v>
      </c>
      <c r="H1474">
        <v>8</v>
      </c>
      <c r="I1474">
        <v>1</v>
      </c>
      <c r="J1474">
        <v>2018</v>
      </c>
      <c r="K1474">
        <v>1</v>
      </c>
      <c r="L1474" t="s">
        <v>13</v>
      </c>
      <c r="M1474">
        <f>SUM(Pharma_Sales_Data[[#This Row],[M01AB]:[R06]])</f>
        <v>57.195</v>
      </c>
      <c r="N1474" s="2">
        <f>Pharma_Sales_Data[[#This Row],[Total Drug Sales]]*150</f>
        <v>8579.25</v>
      </c>
      <c r="O1474" s="2">
        <f>Pharma_Sales_Data[[#This Row],[Total Revenue]]*0.3</f>
        <v>2573.7750000000001</v>
      </c>
      <c r="P1474" t="str">
        <f>IF(Pharma_Sales_Data[[#This Row],[Total Revenue]]&gt;20000,"High Value", IF(Pharma_Sales_Data[[#This Row],[Total Revenue]]&gt;=10000,"Medium Value","Low Value"))</f>
        <v>Low Value</v>
      </c>
    </row>
    <row r="1475" spans="1:16" x14ac:dyDescent="0.35">
      <c r="A1475" s="1">
        <v>43114</v>
      </c>
      <c r="B1475">
        <v>4.33</v>
      </c>
      <c r="C1475">
        <v>5.1550000000000002</v>
      </c>
      <c r="D1475">
        <v>1.2</v>
      </c>
      <c r="E1475">
        <v>36</v>
      </c>
      <c r="F1475">
        <v>2</v>
      </c>
      <c r="G1475">
        <v>0</v>
      </c>
      <c r="H1475">
        <v>5</v>
      </c>
      <c r="I1475">
        <v>1</v>
      </c>
      <c r="J1475">
        <v>2018</v>
      </c>
      <c r="K1475">
        <v>1</v>
      </c>
      <c r="L1475" t="s">
        <v>14</v>
      </c>
      <c r="M1475">
        <f>SUM(Pharma_Sales_Data[[#This Row],[M01AB]:[R06]])</f>
        <v>54.685000000000002</v>
      </c>
      <c r="N1475" s="2">
        <f>Pharma_Sales_Data[[#This Row],[Total Drug Sales]]*150</f>
        <v>8202.75</v>
      </c>
      <c r="O1475" s="2">
        <f>Pharma_Sales_Data[[#This Row],[Total Revenue]]*0.3</f>
        <v>2460.8249999999998</v>
      </c>
      <c r="P1475" t="str">
        <f>IF(Pharma_Sales_Data[[#This Row],[Total Revenue]]&gt;20000,"High Value", IF(Pharma_Sales_Data[[#This Row],[Total Revenue]]&gt;=10000,"Medium Value","Low Value"))</f>
        <v>Low Value</v>
      </c>
    </row>
    <row r="1476" spans="1:16" x14ac:dyDescent="0.35">
      <c r="A1476" s="1">
        <v>43115</v>
      </c>
      <c r="B1476">
        <v>6.99</v>
      </c>
      <c r="C1476">
        <v>2</v>
      </c>
      <c r="D1476">
        <v>5.0999999999999996</v>
      </c>
      <c r="E1476">
        <v>26</v>
      </c>
      <c r="F1476">
        <v>8</v>
      </c>
      <c r="G1476">
        <v>0</v>
      </c>
      <c r="H1476">
        <v>15</v>
      </c>
      <c r="I1476">
        <v>2</v>
      </c>
      <c r="J1476">
        <v>2018</v>
      </c>
      <c r="K1476">
        <v>1</v>
      </c>
      <c r="L1476" t="s">
        <v>15</v>
      </c>
      <c r="M1476">
        <f>SUM(Pharma_Sales_Data[[#This Row],[M01AB]:[R06]])</f>
        <v>65.09</v>
      </c>
      <c r="N1476" s="2">
        <f>Pharma_Sales_Data[[#This Row],[Total Drug Sales]]*150</f>
        <v>9763.5</v>
      </c>
      <c r="O1476" s="2">
        <f>Pharma_Sales_Data[[#This Row],[Total Revenue]]*0.3</f>
        <v>2929.0499999999997</v>
      </c>
      <c r="P1476" t="str">
        <f>IF(Pharma_Sales_Data[[#This Row],[Total Revenue]]&gt;20000,"High Value", IF(Pharma_Sales_Data[[#This Row],[Total Revenue]]&gt;=10000,"Medium Value","Low Value"))</f>
        <v>Low Value</v>
      </c>
    </row>
    <row r="1477" spans="1:16" x14ac:dyDescent="0.35">
      <c r="A1477" s="1">
        <v>43116</v>
      </c>
      <c r="B1477">
        <v>6.34</v>
      </c>
      <c r="C1477">
        <v>2.67</v>
      </c>
      <c r="D1477">
        <v>3</v>
      </c>
      <c r="E1477">
        <v>18</v>
      </c>
      <c r="F1477">
        <v>2</v>
      </c>
      <c r="G1477">
        <v>0</v>
      </c>
      <c r="H1477">
        <v>8</v>
      </c>
      <c r="I1477">
        <v>0</v>
      </c>
      <c r="J1477">
        <v>2018</v>
      </c>
      <c r="K1477">
        <v>1</v>
      </c>
      <c r="L1477" t="s">
        <v>16</v>
      </c>
      <c r="M1477">
        <f>SUM(Pharma_Sales_Data[[#This Row],[M01AB]:[R06]])</f>
        <v>40.01</v>
      </c>
      <c r="N1477" s="2">
        <f>Pharma_Sales_Data[[#This Row],[Total Drug Sales]]*150</f>
        <v>6001.5</v>
      </c>
      <c r="O1477" s="2">
        <f>Pharma_Sales_Data[[#This Row],[Total Revenue]]*0.3</f>
        <v>1800.45</v>
      </c>
      <c r="P1477" t="str">
        <f>IF(Pharma_Sales_Data[[#This Row],[Total Revenue]]&gt;20000,"High Value", IF(Pharma_Sales_Data[[#This Row],[Total Revenue]]&gt;=10000,"Medium Value","Low Value"))</f>
        <v>Low Value</v>
      </c>
    </row>
    <row r="1478" spans="1:16" x14ac:dyDescent="0.35">
      <c r="A1478" s="1">
        <v>43117</v>
      </c>
      <c r="B1478">
        <v>6.67</v>
      </c>
      <c r="C1478">
        <v>2.85</v>
      </c>
      <c r="D1478">
        <v>2</v>
      </c>
      <c r="E1478">
        <v>30.2</v>
      </c>
      <c r="F1478">
        <v>10</v>
      </c>
      <c r="G1478">
        <v>2</v>
      </c>
      <c r="H1478">
        <v>41</v>
      </c>
      <c r="I1478">
        <v>2</v>
      </c>
      <c r="J1478">
        <v>2018</v>
      </c>
      <c r="K1478">
        <v>1</v>
      </c>
      <c r="L1478" t="s">
        <v>17</v>
      </c>
      <c r="M1478">
        <f>SUM(Pharma_Sales_Data[[#This Row],[M01AB]:[R06]])</f>
        <v>96.72</v>
      </c>
      <c r="N1478" s="2">
        <f>Pharma_Sales_Data[[#This Row],[Total Drug Sales]]*150</f>
        <v>14508</v>
      </c>
      <c r="O1478" s="2">
        <f>Pharma_Sales_Data[[#This Row],[Total Revenue]]*0.3</f>
        <v>4352.3999999999996</v>
      </c>
      <c r="P1478" t="str">
        <f>IF(Pharma_Sales_Data[[#This Row],[Total Revenue]]&gt;20000,"High Value", IF(Pharma_Sales_Data[[#This Row],[Total Revenue]]&gt;=10000,"Medium Value","Low Value"))</f>
        <v>Medium Value</v>
      </c>
    </row>
    <row r="1479" spans="1:16" x14ac:dyDescent="0.35">
      <c r="A1479" s="1">
        <v>43118</v>
      </c>
      <c r="B1479">
        <v>4.33</v>
      </c>
      <c r="C1479">
        <v>3.726</v>
      </c>
      <c r="D1479">
        <v>4</v>
      </c>
      <c r="E1479">
        <v>58.4</v>
      </c>
      <c r="F1479">
        <v>9</v>
      </c>
      <c r="G1479">
        <v>0</v>
      </c>
      <c r="H1479">
        <v>2</v>
      </c>
      <c r="I1479">
        <v>1</v>
      </c>
      <c r="J1479">
        <v>2018</v>
      </c>
      <c r="K1479">
        <v>1</v>
      </c>
      <c r="L1479" t="s">
        <v>11</v>
      </c>
      <c r="M1479">
        <f>SUM(Pharma_Sales_Data[[#This Row],[M01AB]:[R06]])</f>
        <v>82.456000000000003</v>
      </c>
      <c r="N1479" s="2">
        <f>Pharma_Sales_Data[[#This Row],[Total Drug Sales]]*150</f>
        <v>12368.4</v>
      </c>
      <c r="O1479" s="2">
        <f>Pharma_Sales_Data[[#This Row],[Total Revenue]]*0.3</f>
        <v>3710.5199999999995</v>
      </c>
      <c r="P1479" t="str">
        <f>IF(Pharma_Sales_Data[[#This Row],[Total Revenue]]&gt;20000,"High Value", IF(Pharma_Sales_Data[[#This Row],[Total Revenue]]&gt;=10000,"Medium Value","Low Value"))</f>
        <v>Medium Value</v>
      </c>
    </row>
    <row r="1480" spans="1:16" x14ac:dyDescent="0.35">
      <c r="A1480" s="1">
        <v>43119</v>
      </c>
      <c r="B1480">
        <v>6.33</v>
      </c>
      <c r="C1480">
        <v>2.528</v>
      </c>
      <c r="D1480">
        <v>3</v>
      </c>
      <c r="E1480">
        <v>23.4</v>
      </c>
      <c r="F1480">
        <v>12</v>
      </c>
      <c r="G1480">
        <v>0</v>
      </c>
      <c r="H1480">
        <v>3</v>
      </c>
      <c r="I1480">
        <v>1</v>
      </c>
      <c r="J1480">
        <v>2018</v>
      </c>
      <c r="K1480">
        <v>1</v>
      </c>
      <c r="L1480" t="s">
        <v>12</v>
      </c>
      <c r="M1480">
        <f>SUM(Pharma_Sales_Data[[#This Row],[M01AB]:[R06]])</f>
        <v>51.257999999999996</v>
      </c>
      <c r="N1480" s="2">
        <f>Pharma_Sales_Data[[#This Row],[Total Drug Sales]]*150</f>
        <v>7688.6999999999989</v>
      </c>
      <c r="O1480" s="2">
        <f>Pharma_Sales_Data[[#This Row],[Total Revenue]]*0.3</f>
        <v>2306.6099999999997</v>
      </c>
      <c r="P1480" t="str">
        <f>IF(Pharma_Sales_Data[[#This Row],[Total Revenue]]&gt;20000,"High Value", IF(Pharma_Sales_Data[[#This Row],[Total Revenue]]&gt;=10000,"Medium Value","Low Value"))</f>
        <v>Low Value</v>
      </c>
    </row>
    <row r="1481" spans="1:16" x14ac:dyDescent="0.35">
      <c r="A1481" s="1">
        <v>43120</v>
      </c>
      <c r="B1481">
        <v>2.66</v>
      </c>
      <c r="C1481">
        <v>2.3199999999999998</v>
      </c>
      <c r="D1481">
        <v>2</v>
      </c>
      <c r="E1481">
        <v>38</v>
      </c>
      <c r="F1481">
        <v>2</v>
      </c>
      <c r="G1481">
        <v>0</v>
      </c>
      <c r="H1481">
        <v>5</v>
      </c>
      <c r="I1481">
        <v>0</v>
      </c>
      <c r="J1481">
        <v>2018</v>
      </c>
      <c r="K1481">
        <v>1</v>
      </c>
      <c r="L1481" t="s">
        <v>13</v>
      </c>
      <c r="M1481">
        <f>SUM(Pharma_Sales_Data[[#This Row],[M01AB]:[R06]])</f>
        <v>51.980000000000004</v>
      </c>
      <c r="N1481" s="2">
        <f>Pharma_Sales_Data[[#This Row],[Total Drug Sales]]*150</f>
        <v>7797.0000000000009</v>
      </c>
      <c r="O1481" s="2">
        <f>Pharma_Sales_Data[[#This Row],[Total Revenue]]*0.3</f>
        <v>2339.1000000000004</v>
      </c>
      <c r="P1481" t="str">
        <f>IF(Pharma_Sales_Data[[#This Row],[Total Revenue]]&gt;20000,"High Value", IF(Pharma_Sales_Data[[#This Row],[Total Revenue]]&gt;=10000,"Medium Value","Low Value"))</f>
        <v>Low Value</v>
      </c>
    </row>
    <row r="1482" spans="1:16" x14ac:dyDescent="0.35">
      <c r="A1482" s="1">
        <v>43121</v>
      </c>
      <c r="B1482">
        <v>3.33</v>
      </c>
      <c r="C1482">
        <v>3.53</v>
      </c>
      <c r="D1482">
        <v>3.4</v>
      </c>
      <c r="E1482">
        <v>32.799999999999997</v>
      </c>
      <c r="F1482">
        <v>6</v>
      </c>
      <c r="G1482">
        <v>0</v>
      </c>
      <c r="H1482">
        <v>1</v>
      </c>
      <c r="I1482">
        <v>3.5</v>
      </c>
      <c r="J1482">
        <v>2018</v>
      </c>
      <c r="K1482">
        <v>1</v>
      </c>
      <c r="L1482" t="s">
        <v>14</v>
      </c>
      <c r="M1482">
        <f>SUM(Pharma_Sales_Data[[#This Row],[M01AB]:[R06]])</f>
        <v>53.559999999999995</v>
      </c>
      <c r="N1482" s="2">
        <f>Pharma_Sales_Data[[#This Row],[Total Drug Sales]]*150</f>
        <v>8033.9999999999991</v>
      </c>
      <c r="O1482" s="2">
        <f>Pharma_Sales_Data[[#This Row],[Total Revenue]]*0.3</f>
        <v>2410.1999999999998</v>
      </c>
      <c r="P1482" t="str">
        <f>IF(Pharma_Sales_Data[[#This Row],[Total Revenue]]&gt;20000,"High Value", IF(Pharma_Sales_Data[[#This Row],[Total Revenue]]&gt;=10000,"Medium Value","Low Value"))</f>
        <v>Low Value</v>
      </c>
    </row>
    <row r="1483" spans="1:16" x14ac:dyDescent="0.35">
      <c r="A1483" s="1">
        <v>43122</v>
      </c>
      <c r="B1483">
        <v>6</v>
      </c>
      <c r="C1483">
        <v>3.3959999999999999</v>
      </c>
      <c r="D1483">
        <v>6</v>
      </c>
      <c r="E1483">
        <v>29</v>
      </c>
      <c r="F1483">
        <v>5</v>
      </c>
      <c r="G1483">
        <v>0</v>
      </c>
      <c r="H1483">
        <v>6</v>
      </c>
      <c r="I1483">
        <v>1</v>
      </c>
      <c r="J1483">
        <v>2018</v>
      </c>
      <c r="K1483">
        <v>1</v>
      </c>
      <c r="L1483" t="s">
        <v>15</v>
      </c>
      <c r="M1483">
        <f>SUM(Pharma_Sales_Data[[#This Row],[M01AB]:[R06]])</f>
        <v>56.396000000000001</v>
      </c>
      <c r="N1483" s="2">
        <f>Pharma_Sales_Data[[#This Row],[Total Drug Sales]]*150</f>
        <v>8459.4</v>
      </c>
      <c r="O1483" s="2">
        <f>Pharma_Sales_Data[[#This Row],[Total Revenue]]*0.3</f>
        <v>2537.8199999999997</v>
      </c>
      <c r="P1483" t="str">
        <f>IF(Pharma_Sales_Data[[#This Row],[Total Revenue]]&gt;20000,"High Value", IF(Pharma_Sales_Data[[#This Row],[Total Revenue]]&gt;=10000,"Medium Value","Low Value"))</f>
        <v>Low Value</v>
      </c>
    </row>
    <row r="1484" spans="1:16" x14ac:dyDescent="0.35">
      <c r="A1484" s="1">
        <v>43123</v>
      </c>
      <c r="B1484">
        <v>1</v>
      </c>
      <c r="C1484">
        <v>1.0660000000000001</v>
      </c>
      <c r="D1484">
        <v>4.5999999999999996</v>
      </c>
      <c r="E1484">
        <v>38.6</v>
      </c>
      <c r="F1484">
        <v>4</v>
      </c>
      <c r="G1484">
        <v>0</v>
      </c>
      <c r="H1484">
        <v>5</v>
      </c>
      <c r="I1484">
        <v>1</v>
      </c>
      <c r="J1484">
        <v>2018</v>
      </c>
      <c r="K1484">
        <v>1</v>
      </c>
      <c r="L1484" t="s">
        <v>16</v>
      </c>
      <c r="M1484">
        <f>SUM(Pharma_Sales_Data[[#This Row],[M01AB]:[R06]])</f>
        <v>55.265999999999998</v>
      </c>
      <c r="N1484" s="2">
        <f>Pharma_Sales_Data[[#This Row],[Total Drug Sales]]*150</f>
        <v>8289.9</v>
      </c>
      <c r="O1484" s="2">
        <f>Pharma_Sales_Data[[#This Row],[Total Revenue]]*0.3</f>
        <v>2486.9699999999998</v>
      </c>
      <c r="P1484" t="str">
        <f>IF(Pharma_Sales_Data[[#This Row],[Total Revenue]]&gt;20000,"High Value", IF(Pharma_Sales_Data[[#This Row],[Total Revenue]]&gt;=10000,"Medium Value","Low Value"))</f>
        <v>Low Value</v>
      </c>
    </row>
    <row r="1485" spans="1:16" x14ac:dyDescent="0.35">
      <c r="A1485" s="1">
        <v>43124</v>
      </c>
      <c r="B1485">
        <v>7.33</v>
      </c>
      <c r="C1485">
        <v>6.67</v>
      </c>
      <c r="D1485">
        <v>4</v>
      </c>
      <c r="E1485">
        <v>32</v>
      </c>
      <c r="F1485">
        <v>13</v>
      </c>
      <c r="G1485">
        <v>0</v>
      </c>
      <c r="H1485">
        <v>4</v>
      </c>
      <c r="I1485">
        <v>1</v>
      </c>
      <c r="J1485">
        <v>2018</v>
      </c>
      <c r="K1485">
        <v>1</v>
      </c>
      <c r="L1485" t="s">
        <v>17</v>
      </c>
      <c r="M1485">
        <f>SUM(Pharma_Sales_Data[[#This Row],[M01AB]:[R06]])</f>
        <v>68</v>
      </c>
      <c r="N1485" s="2">
        <f>Pharma_Sales_Data[[#This Row],[Total Drug Sales]]*150</f>
        <v>10200</v>
      </c>
      <c r="O1485" s="2">
        <f>Pharma_Sales_Data[[#This Row],[Total Revenue]]*0.3</f>
        <v>3060</v>
      </c>
      <c r="P1485" t="str">
        <f>IF(Pharma_Sales_Data[[#This Row],[Total Revenue]]&gt;20000,"High Value", IF(Pharma_Sales_Data[[#This Row],[Total Revenue]]&gt;=10000,"Medium Value","Low Value"))</f>
        <v>Medium Value</v>
      </c>
    </row>
    <row r="1486" spans="1:16" x14ac:dyDescent="0.35">
      <c r="A1486" s="1">
        <v>43125</v>
      </c>
      <c r="B1486">
        <v>3.66</v>
      </c>
      <c r="C1486">
        <v>5.1319999999999997</v>
      </c>
      <c r="D1486">
        <v>4.2</v>
      </c>
      <c r="E1486">
        <v>36.799999999999997</v>
      </c>
      <c r="F1486">
        <v>15</v>
      </c>
      <c r="G1486">
        <v>0</v>
      </c>
      <c r="H1486">
        <v>7</v>
      </c>
      <c r="I1486">
        <v>3</v>
      </c>
      <c r="J1486">
        <v>2018</v>
      </c>
      <c r="K1486">
        <v>1</v>
      </c>
      <c r="L1486" t="s">
        <v>11</v>
      </c>
      <c r="M1486">
        <f>SUM(Pharma_Sales_Data[[#This Row],[M01AB]:[R06]])</f>
        <v>74.792000000000002</v>
      </c>
      <c r="N1486" s="2">
        <f>Pharma_Sales_Data[[#This Row],[Total Drug Sales]]*150</f>
        <v>11218.800000000001</v>
      </c>
      <c r="O1486" s="2">
        <f>Pharma_Sales_Data[[#This Row],[Total Revenue]]*0.3</f>
        <v>3365.6400000000003</v>
      </c>
      <c r="P1486" t="str">
        <f>IF(Pharma_Sales_Data[[#This Row],[Total Revenue]]&gt;20000,"High Value", IF(Pharma_Sales_Data[[#This Row],[Total Revenue]]&gt;=10000,"Medium Value","Low Value"))</f>
        <v>Medium Value</v>
      </c>
    </row>
    <row r="1487" spans="1:16" x14ac:dyDescent="0.35">
      <c r="A1487" s="1">
        <v>43126</v>
      </c>
      <c r="B1487">
        <v>3</v>
      </c>
      <c r="C1487">
        <v>3.0230000000000001</v>
      </c>
      <c r="D1487">
        <v>0.4</v>
      </c>
      <c r="E1487">
        <v>62.2</v>
      </c>
      <c r="F1487">
        <v>9</v>
      </c>
      <c r="G1487">
        <v>0</v>
      </c>
      <c r="H1487">
        <v>12</v>
      </c>
      <c r="I1487">
        <v>1</v>
      </c>
      <c r="J1487">
        <v>2018</v>
      </c>
      <c r="K1487">
        <v>1</v>
      </c>
      <c r="L1487" t="s">
        <v>12</v>
      </c>
      <c r="M1487">
        <f>SUM(Pharma_Sales_Data[[#This Row],[M01AB]:[R06]])</f>
        <v>90.623000000000005</v>
      </c>
      <c r="N1487" s="2">
        <f>Pharma_Sales_Data[[#This Row],[Total Drug Sales]]*150</f>
        <v>13593.45</v>
      </c>
      <c r="O1487" s="2">
        <f>Pharma_Sales_Data[[#This Row],[Total Revenue]]*0.3</f>
        <v>4078.0349999999999</v>
      </c>
      <c r="P1487" t="str">
        <f>IF(Pharma_Sales_Data[[#This Row],[Total Revenue]]&gt;20000,"High Value", IF(Pharma_Sales_Data[[#This Row],[Total Revenue]]&gt;=10000,"Medium Value","Low Value"))</f>
        <v>Medium Value</v>
      </c>
    </row>
    <row r="1488" spans="1:16" x14ac:dyDescent="0.35">
      <c r="A1488" s="1">
        <v>43127</v>
      </c>
      <c r="B1488">
        <v>3.34</v>
      </c>
      <c r="C1488">
        <v>7.33</v>
      </c>
      <c r="D1488">
        <v>3</v>
      </c>
      <c r="E1488">
        <v>52.9</v>
      </c>
      <c r="F1488">
        <v>7</v>
      </c>
      <c r="G1488">
        <v>0</v>
      </c>
      <c r="H1488">
        <v>3</v>
      </c>
      <c r="I1488">
        <v>4</v>
      </c>
      <c r="J1488">
        <v>2018</v>
      </c>
      <c r="K1488">
        <v>1</v>
      </c>
      <c r="L1488" t="s">
        <v>13</v>
      </c>
      <c r="M1488">
        <f>SUM(Pharma_Sales_Data[[#This Row],[M01AB]:[R06]])</f>
        <v>80.569999999999993</v>
      </c>
      <c r="N1488" s="2">
        <f>Pharma_Sales_Data[[#This Row],[Total Drug Sales]]*150</f>
        <v>12085.499999999998</v>
      </c>
      <c r="O1488" s="2">
        <f>Pharma_Sales_Data[[#This Row],[Total Revenue]]*0.3</f>
        <v>3625.6499999999992</v>
      </c>
      <c r="P1488" t="str">
        <f>IF(Pharma_Sales_Data[[#This Row],[Total Revenue]]&gt;20000,"High Value", IF(Pharma_Sales_Data[[#This Row],[Total Revenue]]&gt;=10000,"Medium Value","Low Value"))</f>
        <v>Medium Value</v>
      </c>
    </row>
    <row r="1489" spans="1:16" x14ac:dyDescent="0.35">
      <c r="A1489" s="1">
        <v>43128</v>
      </c>
      <c r="B1489">
        <v>1.5</v>
      </c>
      <c r="C1489">
        <v>2.35</v>
      </c>
      <c r="D1489">
        <v>5.65</v>
      </c>
      <c r="E1489">
        <v>55</v>
      </c>
      <c r="F1489">
        <v>11</v>
      </c>
      <c r="G1489">
        <v>0</v>
      </c>
      <c r="H1489">
        <v>10</v>
      </c>
      <c r="I1489">
        <v>2</v>
      </c>
      <c r="J1489">
        <v>2018</v>
      </c>
      <c r="K1489">
        <v>1</v>
      </c>
      <c r="L1489" t="s">
        <v>14</v>
      </c>
      <c r="M1489">
        <f>SUM(Pharma_Sales_Data[[#This Row],[M01AB]:[R06]])</f>
        <v>87.5</v>
      </c>
      <c r="N1489" s="2">
        <f>Pharma_Sales_Data[[#This Row],[Total Drug Sales]]*150</f>
        <v>13125</v>
      </c>
      <c r="O1489" s="2">
        <f>Pharma_Sales_Data[[#This Row],[Total Revenue]]*0.3</f>
        <v>3937.5</v>
      </c>
      <c r="P1489" t="str">
        <f>IF(Pharma_Sales_Data[[#This Row],[Total Revenue]]&gt;20000,"High Value", IF(Pharma_Sales_Data[[#This Row],[Total Revenue]]&gt;=10000,"Medium Value","Low Value"))</f>
        <v>Medium Value</v>
      </c>
    </row>
    <row r="1490" spans="1:16" x14ac:dyDescent="0.35">
      <c r="A1490" s="1">
        <v>43129</v>
      </c>
      <c r="B1490">
        <v>2.33</v>
      </c>
      <c r="C1490">
        <v>4.3630000000000004</v>
      </c>
      <c r="D1490">
        <v>4.25</v>
      </c>
      <c r="E1490">
        <v>47.9</v>
      </c>
      <c r="F1490">
        <v>10</v>
      </c>
      <c r="G1490">
        <v>3</v>
      </c>
      <c r="H1490">
        <v>4</v>
      </c>
      <c r="I1490">
        <v>1</v>
      </c>
      <c r="J1490">
        <v>2018</v>
      </c>
      <c r="K1490">
        <v>1</v>
      </c>
      <c r="L1490" t="s">
        <v>15</v>
      </c>
      <c r="M1490">
        <f>SUM(Pharma_Sales_Data[[#This Row],[M01AB]:[R06]])</f>
        <v>76.843000000000004</v>
      </c>
      <c r="N1490" s="2">
        <f>Pharma_Sales_Data[[#This Row],[Total Drug Sales]]*150</f>
        <v>11526.45</v>
      </c>
      <c r="O1490" s="2">
        <f>Pharma_Sales_Data[[#This Row],[Total Revenue]]*0.3</f>
        <v>3457.9349999999999</v>
      </c>
      <c r="P1490" t="str">
        <f>IF(Pharma_Sales_Data[[#This Row],[Total Revenue]]&gt;20000,"High Value", IF(Pharma_Sales_Data[[#This Row],[Total Revenue]]&gt;=10000,"Medium Value","Low Value"))</f>
        <v>Medium Value</v>
      </c>
    </row>
    <row r="1491" spans="1:16" x14ac:dyDescent="0.35">
      <c r="A1491" s="1">
        <v>43130</v>
      </c>
      <c r="B1491">
        <v>4.33</v>
      </c>
      <c r="C1491">
        <v>3.76</v>
      </c>
      <c r="D1491">
        <v>3</v>
      </c>
      <c r="E1491">
        <v>37</v>
      </c>
      <c r="F1491">
        <v>11</v>
      </c>
      <c r="G1491">
        <v>0</v>
      </c>
      <c r="H1491">
        <v>4</v>
      </c>
      <c r="I1491">
        <v>3</v>
      </c>
      <c r="J1491">
        <v>2018</v>
      </c>
      <c r="K1491">
        <v>1</v>
      </c>
      <c r="L1491" t="s">
        <v>16</v>
      </c>
      <c r="M1491">
        <f>SUM(Pharma_Sales_Data[[#This Row],[M01AB]:[R06]])</f>
        <v>66.09</v>
      </c>
      <c r="N1491" s="2">
        <f>Pharma_Sales_Data[[#This Row],[Total Drug Sales]]*150</f>
        <v>9913.5</v>
      </c>
      <c r="O1491" s="2">
        <f>Pharma_Sales_Data[[#This Row],[Total Revenue]]*0.3</f>
        <v>2974.0499999999997</v>
      </c>
      <c r="P1491" t="str">
        <f>IF(Pharma_Sales_Data[[#This Row],[Total Revenue]]&gt;20000,"High Value", IF(Pharma_Sales_Data[[#This Row],[Total Revenue]]&gt;=10000,"Medium Value","Low Value"))</f>
        <v>Low Value</v>
      </c>
    </row>
    <row r="1492" spans="1:16" x14ac:dyDescent="0.35">
      <c r="A1492" s="1">
        <v>43131</v>
      </c>
      <c r="B1492">
        <v>0.33</v>
      </c>
      <c r="C1492">
        <v>5.0759999999999996</v>
      </c>
      <c r="D1492">
        <v>4</v>
      </c>
      <c r="E1492">
        <v>30.4</v>
      </c>
      <c r="F1492">
        <v>12</v>
      </c>
      <c r="G1492">
        <v>0</v>
      </c>
      <c r="H1492">
        <v>6</v>
      </c>
      <c r="I1492">
        <v>1</v>
      </c>
      <c r="J1492">
        <v>2018</v>
      </c>
      <c r="K1492">
        <v>1</v>
      </c>
      <c r="L1492" t="s">
        <v>17</v>
      </c>
      <c r="M1492">
        <f>SUM(Pharma_Sales_Data[[#This Row],[M01AB]:[R06]])</f>
        <v>58.805999999999997</v>
      </c>
      <c r="N1492" s="2">
        <f>Pharma_Sales_Data[[#This Row],[Total Drug Sales]]*150</f>
        <v>8820.9</v>
      </c>
      <c r="O1492" s="2">
        <f>Pharma_Sales_Data[[#This Row],[Total Revenue]]*0.3</f>
        <v>2646.27</v>
      </c>
      <c r="P1492" t="str">
        <f>IF(Pharma_Sales_Data[[#This Row],[Total Revenue]]&gt;20000,"High Value", IF(Pharma_Sales_Data[[#This Row],[Total Revenue]]&gt;=10000,"Medium Value","Low Value"))</f>
        <v>Low Value</v>
      </c>
    </row>
    <row r="1493" spans="1:16" x14ac:dyDescent="0.35">
      <c r="A1493" s="1">
        <v>43132</v>
      </c>
      <c r="B1493">
        <v>5.34</v>
      </c>
      <c r="C1493">
        <v>4.33</v>
      </c>
      <c r="D1493">
        <v>6</v>
      </c>
      <c r="E1493">
        <v>30.5</v>
      </c>
      <c r="F1493">
        <v>7</v>
      </c>
      <c r="G1493">
        <v>0</v>
      </c>
      <c r="H1493">
        <v>6</v>
      </c>
      <c r="I1493">
        <v>3</v>
      </c>
      <c r="J1493">
        <v>2018</v>
      </c>
      <c r="K1493">
        <v>2</v>
      </c>
      <c r="L1493" t="s">
        <v>11</v>
      </c>
      <c r="M1493">
        <f>SUM(Pharma_Sales_Data[[#This Row],[M01AB]:[R06]])</f>
        <v>62.17</v>
      </c>
      <c r="N1493" s="2">
        <f>Pharma_Sales_Data[[#This Row],[Total Drug Sales]]*150</f>
        <v>9325.5</v>
      </c>
      <c r="O1493" s="2">
        <f>Pharma_Sales_Data[[#This Row],[Total Revenue]]*0.3</f>
        <v>2797.65</v>
      </c>
      <c r="P1493" t="str">
        <f>IF(Pharma_Sales_Data[[#This Row],[Total Revenue]]&gt;20000,"High Value", IF(Pharma_Sales_Data[[#This Row],[Total Revenue]]&gt;=10000,"Medium Value","Low Value"))</f>
        <v>Low Value</v>
      </c>
    </row>
    <row r="1494" spans="1:16" x14ac:dyDescent="0.35">
      <c r="A1494" s="1">
        <v>43133</v>
      </c>
      <c r="B1494">
        <v>2.33</v>
      </c>
      <c r="C1494">
        <v>4.99</v>
      </c>
      <c r="D1494">
        <v>4</v>
      </c>
      <c r="E1494">
        <v>54.6</v>
      </c>
      <c r="F1494">
        <v>6</v>
      </c>
      <c r="G1494">
        <v>0</v>
      </c>
      <c r="H1494">
        <v>6</v>
      </c>
      <c r="I1494">
        <v>4.4000000000000004</v>
      </c>
      <c r="J1494">
        <v>2018</v>
      </c>
      <c r="K1494">
        <v>2</v>
      </c>
      <c r="L1494" t="s">
        <v>12</v>
      </c>
      <c r="M1494">
        <f>SUM(Pharma_Sales_Data[[#This Row],[M01AB]:[R06]])</f>
        <v>82.320000000000007</v>
      </c>
      <c r="N1494" s="2">
        <f>Pharma_Sales_Data[[#This Row],[Total Drug Sales]]*150</f>
        <v>12348.000000000002</v>
      </c>
      <c r="O1494" s="2">
        <f>Pharma_Sales_Data[[#This Row],[Total Revenue]]*0.3</f>
        <v>3704.4000000000005</v>
      </c>
      <c r="P1494" t="str">
        <f>IF(Pharma_Sales_Data[[#This Row],[Total Revenue]]&gt;20000,"High Value", IF(Pharma_Sales_Data[[#This Row],[Total Revenue]]&gt;=10000,"Medium Value","Low Value"))</f>
        <v>Medium Value</v>
      </c>
    </row>
    <row r="1495" spans="1:16" x14ac:dyDescent="0.35">
      <c r="A1495" s="1">
        <v>43134</v>
      </c>
      <c r="B1495">
        <v>4.33</v>
      </c>
      <c r="C1495">
        <v>7.13</v>
      </c>
      <c r="D1495">
        <v>3.3</v>
      </c>
      <c r="E1495">
        <v>67.099999999999994</v>
      </c>
      <c r="F1495">
        <v>12</v>
      </c>
      <c r="G1495">
        <v>0</v>
      </c>
      <c r="H1495">
        <v>5</v>
      </c>
      <c r="I1495">
        <v>2</v>
      </c>
      <c r="J1495">
        <v>2018</v>
      </c>
      <c r="K1495">
        <v>2</v>
      </c>
      <c r="L1495" t="s">
        <v>13</v>
      </c>
      <c r="M1495">
        <f>SUM(Pharma_Sales_Data[[#This Row],[M01AB]:[R06]])</f>
        <v>100.86</v>
      </c>
      <c r="N1495" s="2">
        <f>Pharma_Sales_Data[[#This Row],[Total Drug Sales]]*150</f>
        <v>15129</v>
      </c>
      <c r="O1495" s="2">
        <f>Pharma_Sales_Data[[#This Row],[Total Revenue]]*0.3</f>
        <v>4538.7</v>
      </c>
      <c r="P1495" t="str">
        <f>IF(Pharma_Sales_Data[[#This Row],[Total Revenue]]&gt;20000,"High Value", IF(Pharma_Sales_Data[[#This Row],[Total Revenue]]&gt;=10000,"Medium Value","Low Value"))</f>
        <v>Medium Value</v>
      </c>
    </row>
    <row r="1496" spans="1:16" x14ac:dyDescent="0.35">
      <c r="A1496" s="1">
        <v>43135</v>
      </c>
      <c r="B1496">
        <v>7.99</v>
      </c>
      <c r="C1496">
        <v>9.0660000000000007</v>
      </c>
      <c r="D1496">
        <v>2</v>
      </c>
      <c r="E1496">
        <v>50.6</v>
      </c>
      <c r="F1496">
        <v>6</v>
      </c>
      <c r="G1496">
        <v>0</v>
      </c>
      <c r="H1496">
        <v>3</v>
      </c>
      <c r="I1496">
        <v>3</v>
      </c>
      <c r="J1496">
        <v>2018</v>
      </c>
      <c r="K1496">
        <v>2</v>
      </c>
      <c r="L1496" t="s">
        <v>14</v>
      </c>
      <c r="M1496">
        <f>SUM(Pharma_Sales_Data[[#This Row],[M01AB]:[R06]])</f>
        <v>81.656000000000006</v>
      </c>
      <c r="N1496" s="2">
        <f>Pharma_Sales_Data[[#This Row],[Total Drug Sales]]*150</f>
        <v>12248.400000000001</v>
      </c>
      <c r="O1496" s="2">
        <f>Pharma_Sales_Data[[#This Row],[Total Revenue]]*0.3</f>
        <v>3674.5200000000004</v>
      </c>
      <c r="P1496" t="str">
        <f>IF(Pharma_Sales_Data[[#This Row],[Total Revenue]]&gt;20000,"High Value", IF(Pharma_Sales_Data[[#This Row],[Total Revenue]]&gt;=10000,"Medium Value","Low Value"))</f>
        <v>Medium Value</v>
      </c>
    </row>
    <row r="1497" spans="1:16" x14ac:dyDescent="0.35">
      <c r="A1497" s="1">
        <v>43136</v>
      </c>
      <c r="B1497">
        <v>7.33</v>
      </c>
      <c r="C1497">
        <v>3.0659999999999998</v>
      </c>
      <c r="D1497">
        <v>3</v>
      </c>
      <c r="E1497">
        <v>53</v>
      </c>
      <c r="F1497">
        <v>18</v>
      </c>
      <c r="G1497">
        <v>0</v>
      </c>
      <c r="H1497">
        <v>6</v>
      </c>
      <c r="I1497">
        <v>0.66</v>
      </c>
      <c r="J1497">
        <v>2018</v>
      </c>
      <c r="K1497">
        <v>2</v>
      </c>
      <c r="L1497" t="s">
        <v>15</v>
      </c>
      <c r="M1497">
        <f>SUM(Pharma_Sales_Data[[#This Row],[M01AB]:[R06]])</f>
        <v>91.055999999999997</v>
      </c>
      <c r="N1497" s="2">
        <f>Pharma_Sales_Data[[#This Row],[Total Drug Sales]]*150</f>
        <v>13658.4</v>
      </c>
      <c r="O1497" s="2">
        <f>Pharma_Sales_Data[[#This Row],[Total Revenue]]*0.3</f>
        <v>4097.5199999999995</v>
      </c>
      <c r="P1497" t="str">
        <f>IF(Pharma_Sales_Data[[#This Row],[Total Revenue]]&gt;20000,"High Value", IF(Pharma_Sales_Data[[#This Row],[Total Revenue]]&gt;=10000,"Medium Value","Low Value"))</f>
        <v>Medium Value</v>
      </c>
    </row>
    <row r="1498" spans="1:16" x14ac:dyDescent="0.35">
      <c r="A1498" s="1">
        <v>43137</v>
      </c>
      <c r="B1498">
        <v>4.34</v>
      </c>
      <c r="C1498">
        <v>1.87</v>
      </c>
      <c r="D1498">
        <v>6.85</v>
      </c>
      <c r="E1498">
        <v>51.5</v>
      </c>
      <c r="F1498">
        <v>8</v>
      </c>
      <c r="G1498">
        <v>0</v>
      </c>
      <c r="H1498">
        <v>5</v>
      </c>
      <c r="I1498">
        <v>1</v>
      </c>
      <c r="J1498">
        <v>2018</v>
      </c>
      <c r="K1498">
        <v>2</v>
      </c>
      <c r="L1498" t="s">
        <v>16</v>
      </c>
      <c r="M1498">
        <f>SUM(Pharma_Sales_Data[[#This Row],[M01AB]:[R06]])</f>
        <v>78.56</v>
      </c>
      <c r="N1498" s="2">
        <f>Pharma_Sales_Data[[#This Row],[Total Drug Sales]]*150</f>
        <v>11784</v>
      </c>
      <c r="O1498" s="2">
        <f>Pharma_Sales_Data[[#This Row],[Total Revenue]]*0.3</f>
        <v>3535.2</v>
      </c>
      <c r="P1498" t="str">
        <f>IF(Pharma_Sales_Data[[#This Row],[Total Revenue]]&gt;20000,"High Value", IF(Pharma_Sales_Data[[#This Row],[Total Revenue]]&gt;=10000,"Medium Value","Low Value"))</f>
        <v>Medium Value</v>
      </c>
    </row>
    <row r="1499" spans="1:16" x14ac:dyDescent="0.35">
      <c r="A1499" s="1">
        <v>43138</v>
      </c>
      <c r="B1499">
        <v>4.84</v>
      </c>
      <c r="C1499">
        <v>8.1319999999999997</v>
      </c>
      <c r="D1499">
        <v>3.2</v>
      </c>
      <c r="E1499">
        <v>44.8</v>
      </c>
      <c r="F1499">
        <v>8</v>
      </c>
      <c r="G1499">
        <v>0</v>
      </c>
      <c r="H1499">
        <v>23</v>
      </c>
      <c r="I1499">
        <v>0</v>
      </c>
      <c r="J1499">
        <v>2018</v>
      </c>
      <c r="K1499">
        <v>2</v>
      </c>
      <c r="L1499" t="s">
        <v>17</v>
      </c>
      <c r="M1499">
        <f>SUM(Pharma_Sales_Data[[#This Row],[M01AB]:[R06]])</f>
        <v>91.971999999999994</v>
      </c>
      <c r="N1499" s="2">
        <f>Pharma_Sales_Data[[#This Row],[Total Drug Sales]]*150</f>
        <v>13795.8</v>
      </c>
      <c r="O1499" s="2">
        <f>Pharma_Sales_Data[[#This Row],[Total Revenue]]*0.3</f>
        <v>4138.74</v>
      </c>
      <c r="P1499" t="str">
        <f>IF(Pharma_Sales_Data[[#This Row],[Total Revenue]]&gt;20000,"High Value", IF(Pharma_Sales_Data[[#This Row],[Total Revenue]]&gt;=10000,"Medium Value","Low Value"))</f>
        <v>Medium Value</v>
      </c>
    </row>
    <row r="1500" spans="1:16" x14ac:dyDescent="0.35">
      <c r="A1500" s="1">
        <v>43139</v>
      </c>
      <c r="B1500">
        <v>6.33</v>
      </c>
      <c r="C1500">
        <v>1.34</v>
      </c>
      <c r="D1500">
        <v>3</v>
      </c>
      <c r="E1500">
        <v>47</v>
      </c>
      <c r="F1500">
        <v>7</v>
      </c>
      <c r="G1500">
        <v>0</v>
      </c>
      <c r="H1500">
        <v>1.25</v>
      </c>
      <c r="I1500">
        <v>0</v>
      </c>
      <c r="J1500">
        <v>2018</v>
      </c>
      <c r="K1500">
        <v>2</v>
      </c>
      <c r="L1500" t="s">
        <v>11</v>
      </c>
      <c r="M1500">
        <f>SUM(Pharma_Sales_Data[[#This Row],[M01AB]:[R06]])</f>
        <v>65.92</v>
      </c>
      <c r="N1500" s="2">
        <f>Pharma_Sales_Data[[#This Row],[Total Drug Sales]]*150</f>
        <v>9888</v>
      </c>
      <c r="O1500" s="2">
        <f>Pharma_Sales_Data[[#This Row],[Total Revenue]]*0.3</f>
        <v>2966.4</v>
      </c>
      <c r="P1500" t="str">
        <f>IF(Pharma_Sales_Data[[#This Row],[Total Revenue]]&gt;20000,"High Value", IF(Pharma_Sales_Data[[#This Row],[Total Revenue]]&gt;=10000,"Medium Value","Low Value"))</f>
        <v>Low Value</v>
      </c>
    </row>
    <row r="1501" spans="1:16" x14ac:dyDescent="0.35">
      <c r="A1501" s="1">
        <v>43140</v>
      </c>
      <c r="B1501">
        <v>3</v>
      </c>
      <c r="C1501">
        <v>3.69</v>
      </c>
      <c r="D1501">
        <v>4.25</v>
      </c>
      <c r="E1501">
        <v>47</v>
      </c>
      <c r="F1501">
        <v>17</v>
      </c>
      <c r="G1501">
        <v>0</v>
      </c>
      <c r="H1501">
        <v>11</v>
      </c>
      <c r="I1501">
        <v>0</v>
      </c>
      <c r="J1501">
        <v>2018</v>
      </c>
      <c r="K1501">
        <v>2</v>
      </c>
      <c r="L1501" t="s">
        <v>12</v>
      </c>
      <c r="M1501">
        <f>SUM(Pharma_Sales_Data[[#This Row],[M01AB]:[R06]])</f>
        <v>85.94</v>
      </c>
      <c r="N1501" s="2">
        <f>Pharma_Sales_Data[[#This Row],[Total Drug Sales]]*150</f>
        <v>12891</v>
      </c>
      <c r="O1501" s="2">
        <f>Pharma_Sales_Data[[#This Row],[Total Revenue]]*0.3</f>
        <v>3867.2999999999997</v>
      </c>
      <c r="P1501" t="str">
        <f>IF(Pharma_Sales_Data[[#This Row],[Total Revenue]]&gt;20000,"High Value", IF(Pharma_Sales_Data[[#This Row],[Total Revenue]]&gt;=10000,"Medium Value","Low Value"))</f>
        <v>Medium Value</v>
      </c>
    </row>
    <row r="1502" spans="1:16" x14ac:dyDescent="0.35">
      <c r="A1502" s="1">
        <v>43141</v>
      </c>
      <c r="B1502">
        <v>10.01</v>
      </c>
      <c r="C1502">
        <v>5.2309999999999999</v>
      </c>
      <c r="D1502">
        <v>3.5</v>
      </c>
      <c r="E1502">
        <v>60.4</v>
      </c>
      <c r="F1502">
        <v>6</v>
      </c>
      <c r="G1502">
        <v>0</v>
      </c>
      <c r="H1502">
        <v>15</v>
      </c>
      <c r="I1502">
        <v>3</v>
      </c>
      <c r="J1502">
        <v>2018</v>
      </c>
      <c r="K1502">
        <v>2</v>
      </c>
      <c r="L1502" t="s">
        <v>13</v>
      </c>
      <c r="M1502">
        <f>SUM(Pharma_Sales_Data[[#This Row],[M01AB]:[R06]])</f>
        <v>103.14099999999999</v>
      </c>
      <c r="N1502" s="2">
        <f>Pharma_Sales_Data[[#This Row],[Total Drug Sales]]*150</f>
        <v>15471.149999999998</v>
      </c>
      <c r="O1502" s="2">
        <f>Pharma_Sales_Data[[#This Row],[Total Revenue]]*0.3</f>
        <v>4641.3449999999993</v>
      </c>
      <c r="P1502" t="str">
        <f>IF(Pharma_Sales_Data[[#This Row],[Total Revenue]]&gt;20000,"High Value", IF(Pharma_Sales_Data[[#This Row],[Total Revenue]]&gt;=10000,"Medium Value","Low Value"))</f>
        <v>Medium Value</v>
      </c>
    </row>
    <row r="1503" spans="1:16" x14ac:dyDescent="0.35">
      <c r="A1503" s="1">
        <v>43142</v>
      </c>
      <c r="B1503">
        <v>6.33</v>
      </c>
      <c r="C1503">
        <v>5.3959999999999999</v>
      </c>
      <c r="D1503">
        <v>7.8</v>
      </c>
      <c r="E1503">
        <v>63.25</v>
      </c>
      <c r="F1503">
        <v>12</v>
      </c>
      <c r="G1503">
        <v>0</v>
      </c>
      <c r="H1503">
        <v>10</v>
      </c>
      <c r="I1503">
        <v>2</v>
      </c>
      <c r="J1503">
        <v>2018</v>
      </c>
      <c r="K1503">
        <v>2</v>
      </c>
      <c r="L1503" t="s">
        <v>14</v>
      </c>
      <c r="M1503">
        <f>SUM(Pharma_Sales_Data[[#This Row],[M01AB]:[R06]])</f>
        <v>106.776</v>
      </c>
      <c r="N1503" s="2">
        <f>Pharma_Sales_Data[[#This Row],[Total Drug Sales]]*150</f>
        <v>16016.4</v>
      </c>
      <c r="O1503" s="2">
        <f>Pharma_Sales_Data[[#This Row],[Total Revenue]]*0.3</f>
        <v>4804.92</v>
      </c>
      <c r="P1503" t="str">
        <f>IF(Pharma_Sales_Data[[#This Row],[Total Revenue]]&gt;20000,"High Value", IF(Pharma_Sales_Data[[#This Row],[Total Revenue]]&gt;=10000,"Medium Value","Low Value"))</f>
        <v>Medium Value</v>
      </c>
    </row>
    <row r="1504" spans="1:16" x14ac:dyDescent="0.35">
      <c r="A1504" s="1">
        <v>43143</v>
      </c>
      <c r="B1504">
        <v>8</v>
      </c>
      <c r="C1504">
        <v>4.7690000000000001</v>
      </c>
      <c r="D1504">
        <v>10</v>
      </c>
      <c r="E1504">
        <v>36.299999999999997</v>
      </c>
      <c r="F1504">
        <v>14</v>
      </c>
      <c r="G1504">
        <v>1</v>
      </c>
      <c r="H1504">
        <v>1</v>
      </c>
      <c r="I1504">
        <v>1</v>
      </c>
      <c r="J1504">
        <v>2018</v>
      </c>
      <c r="K1504">
        <v>2</v>
      </c>
      <c r="L1504" t="s">
        <v>15</v>
      </c>
      <c r="M1504">
        <f>SUM(Pharma_Sales_Data[[#This Row],[M01AB]:[R06]])</f>
        <v>76.068999999999988</v>
      </c>
      <c r="N1504" s="2">
        <f>Pharma_Sales_Data[[#This Row],[Total Drug Sales]]*150</f>
        <v>11410.349999999999</v>
      </c>
      <c r="O1504" s="2">
        <f>Pharma_Sales_Data[[#This Row],[Total Revenue]]*0.3</f>
        <v>3423.1049999999996</v>
      </c>
      <c r="P1504" t="str">
        <f>IF(Pharma_Sales_Data[[#This Row],[Total Revenue]]&gt;20000,"High Value", IF(Pharma_Sales_Data[[#This Row],[Total Revenue]]&gt;=10000,"Medium Value","Low Value"))</f>
        <v>Medium Value</v>
      </c>
    </row>
    <row r="1505" spans="1:16" x14ac:dyDescent="0.35">
      <c r="A1505" s="1">
        <v>43144</v>
      </c>
      <c r="B1505">
        <v>6</v>
      </c>
      <c r="C1505">
        <v>8.0329999999999995</v>
      </c>
      <c r="D1505">
        <v>5</v>
      </c>
      <c r="E1505">
        <v>17.8</v>
      </c>
      <c r="F1505">
        <v>10</v>
      </c>
      <c r="G1505">
        <v>0</v>
      </c>
      <c r="H1505">
        <v>10</v>
      </c>
      <c r="I1505">
        <v>3</v>
      </c>
      <c r="J1505">
        <v>2018</v>
      </c>
      <c r="K1505">
        <v>2</v>
      </c>
      <c r="L1505" t="s">
        <v>16</v>
      </c>
      <c r="M1505">
        <f>SUM(Pharma_Sales_Data[[#This Row],[M01AB]:[R06]])</f>
        <v>59.832999999999998</v>
      </c>
      <c r="N1505" s="2">
        <f>Pharma_Sales_Data[[#This Row],[Total Drug Sales]]*150</f>
        <v>8974.9499999999989</v>
      </c>
      <c r="O1505" s="2">
        <f>Pharma_Sales_Data[[#This Row],[Total Revenue]]*0.3</f>
        <v>2692.4849999999997</v>
      </c>
      <c r="P1505" t="str">
        <f>IF(Pharma_Sales_Data[[#This Row],[Total Revenue]]&gt;20000,"High Value", IF(Pharma_Sales_Data[[#This Row],[Total Revenue]]&gt;=10000,"Medium Value","Low Value"))</f>
        <v>Low Value</v>
      </c>
    </row>
    <row r="1506" spans="1:16" x14ac:dyDescent="0.35">
      <c r="A1506" s="1">
        <v>43145</v>
      </c>
      <c r="B1506">
        <v>1</v>
      </c>
      <c r="C1506">
        <v>6.33</v>
      </c>
      <c r="D1506">
        <v>2.1</v>
      </c>
      <c r="E1506">
        <v>50.3</v>
      </c>
      <c r="F1506">
        <v>15</v>
      </c>
      <c r="G1506">
        <v>0</v>
      </c>
      <c r="H1506">
        <v>14</v>
      </c>
      <c r="I1506">
        <v>0</v>
      </c>
      <c r="J1506">
        <v>2018</v>
      </c>
      <c r="K1506">
        <v>2</v>
      </c>
      <c r="L1506" t="s">
        <v>17</v>
      </c>
      <c r="M1506">
        <f>SUM(Pharma_Sales_Data[[#This Row],[M01AB]:[R06]])</f>
        <v>88.72999999999999</v>
      </c>
      <c r="N1506" s="2">
        <f>Pharma_Sales_Data[[#This Row],[Total Drug Sales]]*150</f>
        <v>13309.499999999998</v>
      </c>
      <c r="O1506" s="2">
        <f>Pharma_Sales_Data[[#This Row],[Total Revenue]]*0.3</f>
        <v>3992.8499999999995</v>
      </c>
      <c r="P1506" t="str">
        <f>IF(Pharma_Sales_Data[[#This Row],[Total Revenue]]&gt;20000,"High Value", IF(Pharma_Sales_Data[[#This Row],[Total Revenue]]&gt;=10000,"Medium Value","Low Value"))</f>
        <v>Medium Value</v>
      </c>
    </row>
    <row r="1507" spans="1:16" x14ac:dyDescent="0.35">
      <c r="A1507" s="1">
        <v>43146</v>
      </c>
      <c r="B1507">
        <v>1.5</v>
      </c>
      <c r="C1507">
        <v>6.9450000000000003</v>
      </c>
      <c r="D1507">
        <v>0.85</v>
      </c>
      <c r="E1507">
        <v>74.599999999999994</v>
      </c>
      <c r="F1507">
        <v>6</v>
      </c>
      <c r="G1507">
        <v>0</v>
      </c>
      <c r="H1507">
        <v>10</v>
      </c>
      <c r="I1507">
        <v>0</v>
      </c>
      <c r="J1507">
        <v>2018</v>
      </c>
      <c r="K1507">
        <v>2</v>
      </c>
      <c r="L1507" t="s">
        <v>11</v>
      </c>
      <c r="M1507">
        <f>SUM(Pharma_Sales_Data[[#This Row],[M01AB]:[R06]])</f>
        <v>99.894999999999996</v>
      </c>
      <c r="N1507" s="2">
        <f>Pharma_Sales_Data[[#This Row],[Total Drug Sales]]*150</f>
        <v>14984.25</v>
      </c>
      <c r="O1507" s="2">
        <f>Pharma_Sales_Data[[#This Row],[Total Revenue]]*0.3</f>
        <v>4495.2749999999996</v>
      </c>
      <c r="P1507" t="str">
        <f>IF(Pharma_Sales_Data[[#This Row],[Total Revenue]]&gt;20000,"High Value", IF(Pharma_Sales_Data[[#This Row],[Total Revenue]]&gt;=10000,"Medium Value","Low Value"))</f>
        <v>Medium Value</v>
      </c>
    </row>
    <row r="1508" spans="1:16" x14ac:dyDescent="0.35">
      <c r="A1508" s="1">
        <v>43147</v>
      </c>
      <c r="B1508">
        <v>7.68</v>
      </c>
      <c r="C1508">
        <v>7.1749999999999998</v>
      </c>
      <c r="D1508">
        <v>1.2</v>
      </c>
      <c r="E1508">
        <v>65.162000000000006</v>
      </c>
      <c r="F1508">
        <v>10</v>
      </c>
      <c r="G1508">
        <v>0</v>
      </c>
      <c r="H1508">
        <v>0</v>
      </c>
      <c r="I1508">
        <v>1</v>
      </c>
      <c r="J1508">
        <v>2018</v>
      </c>
      <c r="K1508">
        <v>2</v>
      </c>
      <c r="L1508" t="s">
        <v>12</v>
      </c>
      <c r="M1508">
        <f>SUM(Pharma_Sales_Data[[#This Row],[M01AB]:[R06]])</f>
        <v>92.217000000000013</v>
      </c>
      <c r="N1508" s="2">
        <f>Pharma_Sales_Data[[#This Row],[Total Drug Sales]]*150</f>
        <v>13832.550000000001</v>
      </c>
      <c r="O1508" s="2">
        <f>Pharma_Sales_Data[[#This Row],[Total Revenue]]*0.3</f>
        <v>4149.7650000000003</v>
      </c>
      <c r="P1508" t="str">
        <f>IF(Pharma_Sales_Data[[#This Row],[Total Revenue]]&gt;20000,"High Value", IF(Pharma_Sales_Data[[#This Row],[Total Revenue]]&gt;=10000,"Medium Value","Low Value"))</f>
        <v>Medium Value</v>
      </c>
    </row>
    <row r="1509" spans="1:16" x14ac:dyDescent="0.35">
      <c r="A1509" s="1">
        <v>43148</v>
      </c>
      <c r="B1509">
        <v>1.33</v>
      </c>
      <c r="C1509">
        <v>3.64</v>
      </c>
      <c r="D1509">
        <v>2</v>
      </c>
      <c r="E1509">
        <v>50.4</v>
      </c>
      <c r="F1509">
        <v>5</v>
      </c>
      <c r="G1509">
        <v>0</v>
      </c>
      <c r="H1509">
        <v>9</v>
      </c>
      <c r="I1509">
        <v>0</v>
      </c>
      <c r="J1509">
        <v>2018</v>
      </c>
      <c r="K1509">
        <v>2</v>
      </c>
      <c r="L1509" t="s">
        <v>13</v>
      </c>
      <c r="M1509">
        <f>SUM(Pharma_Sales_Data[[#This Row],[M01AB]:[R06]])</f>
        <v>71.37</v>
      </c>
      <c r="N1509" s="2">
        <f>Pharma_Sales_Data[[#This Row],[Total Drug Sales]]*150</f>
        <v>10705.5</v>
      </c>
      <c r="O1509" s="2">
        <f>Pharma_Sales_Data[[#This Row],[Total Revenue]]*0.3</f>
        <v>3211.65</v>
      </c>
      <c r="P1509" t="str">
        <f>IF(Pharma_Sales_Data[[#This Row],[Total Revenue]]&gt;20000,"High Value", IF(Pharma_Sales_Data[[#This Row],[Total Revenue]]&gt;=10000,"Medium Value","Low Value"))</f>
        <v>Medium Value</v>
      </c>
    </row>
    <row r="1510" spans="1:16" x14ac:dyDescent="0.35">
      <c r="A1510" s="1">
        <v>43149</v>
      </c>
      <c r="B1510">
        <v>6</v>
      </c>
      <c r="C1510">
        <v>6.726</v>
      </c>
      <c r="D1510">
        <v>7.55</v>
      </c>
      <c r="E1510">
        <v>44</v>
      </c>
      <c r="F1510">
        <v>2</v>
      </c>
      <c r="G1510">
        <v>0</v>
      </c>
      <c r="H1510">
        <v>4</v>
      </c>
      <c r="I1510">
        <v>1</v>
      </c>
      <c r="J1510">
        <v>2018</v>
      </c>
      <c r="K1510">
        <v>2</v>
      </c>
      <c r="L1510" t="s">
        <v>14</v>
      </c>
      <c r="M1510">
        <f>SUM(Pharma_Sales_Data[[#This Row],[M01AB]:[R06]])</f>
        <v>71.275999999999996</v>
      </c>
      <c r="N1510" s="2">
        <f>Pharma_Sales_Data[[#This Row],[Total Drug Sales]]*150</f>
        <v>10691.4</v>
      </c>
      <c r="O1510" s="2">
        <f>Pharma_Sales_Data[[#This Row],[Total Revenue]]*0.3</f>
        <v>3207.4199999999996</v>
      </c>
      <c r="P1510" t="str">
        <f>IF(Pharma_Sales_Data[[#This Row],[Total Revenue]]&gt;20000,"High Value", IF(Pharma_Sales_Data[[#This Row],[Total Revenue]]&gt;=10000,"Medium Value","Low Value"))</f>
        <v>Medium Value</v>
      </c>
    </row>
    <row r="1511" spans="1:16" x14ac:dyDescent="0.35">
      <c r="A1511" s="1">
        <v>43150</v>
      </c>
      <c r="B1511">
        <v>1</v>
      </c>
      <c r="C1511">
        <v>3.34</v>
      </c>
      <c r="D1511">
        <v>1.7</v>
      </c>
      <c r="E1511">
        <v>27</v>
      </c>
      <c r="F1511">
        <v>6</v>
      </c>
      <c r="G1511">
        <v>0</v>
      </c>
      <c r="H1511">
        <v>12</v>
      </c>
      <c r="I1511">
        <v>2</v>
      </c>
      <c r="J1511">
        <v>2018</v>
      </c>
      <c r="K1511">
        <v>2</v>
      </c>
      <c r="L1511" t="s">
        <v>15</v>
      </c>
      <c r="M1511">
        <f>SUM(Pharma_Sales_Data[[#This Row],[M01AB]:[R06]])</f>
        <v>53.04</v>
      </c>
      <c r="N1511" s="2">
        <f>Pharma_Sales_Data[[#This Row],[Total Drug Sales]]*150</f>
        <v>7956</v>
      </c>
      <c r="O1511" s="2">
        <f>Pharma_Sales_Data[[#This Row],[Total Revenue]]*0.3</f>
        <v>2386.7999999999997</v>
      </c>
      <c r="P1511" t="str">
        <f>IF(Pharma_Sales_Data[[#This Row],[Total Revenue]]&gt;20000,"High Value", IF(Pharma_Sales_Data[[#This Row],[Total Revenue]]&gt;=10000,"Medium Value","Low Value"))</f>
        <v>Low Value</v>
      </c>
    </row>
    <row r="1512" spans="1:16" x14ac:dyDescent="0.35">
      <c r="A1512" s="1">
        <v>43151</v>
      </c>
      <c r="B1512">
        <v>4.18</v>
      </c>
      <c r="C1512">
        <v>2.286</v>
      </c>
      <c r="D1512">
        <v>4.2</v>
      </c>
      <c r="E1512">
        <v>30.2</v>
      </c>
      <c r="F1512">
        <v>6</v>
      </c>
      <c r="G1512">
        <v>0</v>
      </c>
      <c r="H1512">
        <v>2</v>
      </c>
      <c r="I1512">
        <v>3</v>
      </c>
      <c r="J1512">
        <v>2018</v>
      </c>
      <c r="K1512">
        <v>2</v>
      </c>
      <c r="L1512" t="s">
        <v>16</v>
      </c>
      <c r="M1512">
        <f>SUM(Pharma_Sales_Data[[#This Row],[M01AB]:[R06]])</f>
        <v>51.866</v>
      </c>
      <c r="N1512" s="2">
        <f>Pharma_Sales_Data[[#This Row],[Total Drug Sales]]*150</f>
        <v>7779.9</v>
      </c>
      <c r="O1512" s="2">
        <f>Pharma_Sales_Data[[#This Row],[Total Revenue]]*0.3</f>
        <v>2333.9699999999998</v>
      </c>
      <c r="P1512" t="str">
        <f>IF(Pharma_Sales_Data[[#This Row],[Total Revenue]]&gt;20000,"High Value", IF(Pharma_Sales_Data[[#This Row],[Total Revenue]]&gt;=10000,"Medium Value","Low Value"))</f>
        <v>Low Value</v>
      </c>
    </row>
    <row r="1513" spans="1:16" x14ac:dyDescent="0.35">
      <c r="A1513" s="1">
        <v>43152</v>
      </c>
      <c r="B1513">
        <v>1.34</v>
      </c>
      <c r="C1513">
        <v>7.01</v>
      </c>
      <c r="D1513">
        <v>9.5</v>
      </c>
      <c r="E1513">
        <v>27.4</v>
      </c>
      <c r="F1513">
        <v>5</v>
      </c>
      <c r="G1513">
        <v>0</v>
      </c>
      <c r="H1513">
        <v>6</v>
      </c>
      <c r="I1513">
        <v>1</v>
      </c>
      <c r="J1513">
        <v>2018</v>
      </c>
      <c r="K1513">
        <v>2</v>
      </c>
      <c r="L1513" t="s">
        <v>17</v>
      </c>
      <c r="M1513">
        <f>SUM(Pharma_Sales_Data[[#This Row],[M01AB]:[R06]])</f>
        <v>57.25</v>
      </c>
      <c r="N1513" s="2">
        <f>Pharma_Sales_Data[[#This Row],[Total Drug Sales]]*150</f>
        <v>8587.5</v>
      </c>
      <c r="O1513" s="2">
        <f>Pharma_Sales_Data[[#This Row],[Total Revenue]]*0.3</f>
        <v>2576.25</v>
      </c>
      <c r="P1513" t="str">
        <f>IF(Pharma_Sales_Data[[#This Row],[Total Revenue]]&gt;20000,"High Value", IF(Pharma_Sales_Data[[#This Row],[Total Revenue]]&gt;=10000,"Medium Value","Low Value"))</f>
        <v>Low Value</v>
      </c>
    </row>
    <row r="1514" spans="1:16" x14ac:dyDescent="0.35">
      <c r="A1514" s="1">
        <v>43153</v>
      </c>
      <c r="B1514">
        <v>5</v>
      </c>
      <c r="C1514">
        <v>6.33</v>
      </c>
      <c r="D1514">
        <v>3.15</v>
      </c>
      <c r="E1514">
        <v>30</v>
      </c>
      <c r="F1514">
        <v>6</v>
      </c>
      <c r="G1514">
        <v>0</v>
      </c>
      <c r="H1514">
        <v>20</v>
      </c>
      <c r="I1514">
        <v>0</v>
      </c>
      <c r="J1514">
        <v>2018</v>
      </c>
      <c r="K1514">
        <v>2</v>
      </c>
      <c r="L1514" t="s">
        <v>11</v>
      </c>
      <c r="M1514">
        <f>SUM(Pharma_Sales_Data[[#This Row],[M01AB]:[R06]])</f>
        <v>70.48</v>
      </c>
      <c r="N1514" s="2">
        <f>Pharma_Sales_Data[[#This Row],[Total Drug Sales]]*150</f>
        <v>10572</v>
      </c>
      <c r="O1514" s="2">
        <f>Pharma_Sales_Data[[#This Row],[Total Revenue]]*0.3</f>
        <v>3171.6</v>
      </c>
      <c r="P1514" t="str">
        <f>IF(Pharma_Sales_Data[[#This Row],[Total Revenue]]&gt;20000,"High Value", IF(Pharma_Sales_Data[[#This Row],[Total Revenue]]&gt;=10000,"Medium Value","Low Value"))</f>
        <v>Medium Value</v>
      </c>
    </row>
    <row r="1515" spans="1:16" x14ac:dyDescent="0.35">
      <c r="A1515" s="1">
        <v>43154</v>
      </c>
      <c r="B1515">
        <v>5.83</v>
      </c>
      <c r="C1515">
        <v>2.9790000000000001</v>
      </c>
      <c r="D1515">
        <v>1</v>
      </c>
      <c r="E1515">
        <v>34.200000000000003</v>
      </c>
      <c r="F1515">
        <v>6</v>
      </c>
      <c r="G1515">
        <v>0</v>
      </c>
      <c r="H1515">
        <v>12</v>
      </c>
      <c r="I1515">
        <v>0</v>
      </c>
      <c r="J1515">
        <v>2018</v>
      </c>
      <c r="K1515">
        <v>2</v>
      </c>
      <c r="L1515" t="s">
        <v>12</v>
      </c>
      <c r="M1515">
        <f>SUM(Pharma_Sales_Data[[#This Row],[M01AB]:[R06]])</f>
        <v>62.009</v>
      </c>
      <c r="N1515" s="2">
        <f>Pharma_Sales_Data[[#This Row],[Total Drug Sales]]*150</f>
        <v>9301.35</v>
      </c>
      <c r="O1515" s="2">
        <f>Pharma_Sales_Data[[#This Row],[Total Revenue]]*0.3</f>
        <v>2790.4050000000002</v>
      </c>
      <c r="P1515" t="str">
        <f>IF(Pharma_Sales_Data[[#This Row],[Total Revenue]]&gt;20000,"High Value", IF(Pharma_Sales_Data[[#This Row],[Total Revenue]]&gt;=10000,"Medium Value","Low Value"))</f>
        <v>Low Value</v>
      </c>
    </row>
    <row r="1516" spans="1:16" x14ac:dyDescent="0.35">
      <c r="A1516" s="1">
        <v>43155</v>
      </c>
      <c r="B1516">
        <v>8</v>
      </c>
      <c r="C1516">
        <v>5.68</v>
      </c>
      <c r="D1516">
        <v>7</v>
      </c>
      <c r="E1516">
        <v>43.5</v>
      </c>
      <c r="F1516">
        <v>10</v>
      </c>
      <c r="G1516">
        <v>0</v>
      </c>
      <c r="H1516">
        <v>8</v>
      </c>
      <c r="I1516">
        <v>3</v>
      </c>
      <c r="J1516">
        <v>2018</v>
      </c>
      <c r="K1516">
        <v>2</v>
      </c>
      <c r="L1516" t="s">
        <v>13</v>
      </c>
      <c r="M1516">
        <f>SUM(Pharma_Sales_Data[[#This Row],[M01AB]:[R06]])</f>
        <v>85.18</v>
      </c>
      <c r="N1516" s="2">
        <f>Pharma_Sales_Data[[#This Row],[Total Drug Sales]]*150</f>
        <v>12777.000000000002</v>
      </c>
      <c r="O1516" s="2">
        <f>Pharma_Sales_Data[[#This Row],[Total Revenue]]*0.3</f>
        <v>3833.1000000000004</v>
      </c>
      <c r="P1516" t="str">
        <f>IF(Pharma_Sales_Data[[#This Row],[Total Revenue]]&gt;20000,"High Value", IF(Pharma_Sales_Data[[#This Row],[Total Revenue]]&gt;=10000,"Medium Value","Low Value"))</f>
        <v>Medium Value</v>
      </c>
    </row>
    <row r="1517" spans="1:16" x14ac:dyDescent="0.35">
      <c r="A1517" s="1">
        <v>43156</v>
      </c>
      <c r="B1517">
        <v>4</v>
      </c>
      <c r="C1517">
        <v>1.68</v>
      </c>
      <c r="D1517">
        <v>2</v>
      </c>
      <c r="E1517">
        <v>36.799999999999997</v>
      </c>
      <c r="F1517">
        <v>10</v>
      </c>
      <c r="G1517">
        <v>0</v>
      </c>
      <c r="H1517">
        <v>10</v>
      </c>
      <c r="I1517">
        <v>2</v>
      </c>
      <c r="J1517">
        <v>2018</v>
      </c>
      <c r="K1517">
        <v>2</v>
      </c>
      <c r="L1517" t="s">
        <v>14</v>
      </c>
      <c r="M1517">
        <f>SUM(Pharma_Sales_Data[[#This Row],[M01AB]:[R06]])</f>
        <v>66.47999999999999</v>
      </c>
      <c r="N1517" s="2">
        <f>Pharma_Sales_Data[[#This Row],[Total Drug Sales]]*150</f>
        <v>9971.9999999999982</v>
      </c>
      <c r="O1517" s="2">
        <f>Pharma_Sales_Data[[#This Row],[Total Revenue]]*0.3</f>
        <v>2991.5999999999995</v>
      </c>
      <c r="P1517" t="str">
        <f>IF(Pharma_Sales_Data[[#This Row],[Total Revenue]]&gt;20000,"High Value", IF(Pharma_Sales_Data[[#This Row],[Total Revenue]]&gt;=10000,"Medium Value","Low Value"))</f>
        <v>Low Value</v>
      </c>
    </row>
    <row r="1518" spans="1:16" x14ac:dyDescent="0.35">
      <c r="A1518" s="1">
        <v>43157</v>
      </c>
      <c r="B1518">
        <v>1</v>
      </c>
      <c r="C1518">
        <v>0.66</v>
      </c>
      <c r="D1518">
        <v>2</v>
      </c>
      <c r="E1518">
        <v>46.6</v>
      </c>
      <c r="F1518">
        <v>9</v>
      </c>
      <c r="G1518">
        <v>0</v>
      </c>
      <c r="H1518">
        <v>7</v>
      </c>
      <c r="I1518">
        <v>1</v>
      </c>
      <c r="J1518">
        <v>2018</v>
      </c>
      <c r="K1518">
        <v>2</v>
      </c>
      <c r="L1518" t="s">
        <v>15</v>
      </c>
      <c r="M1518">
        <f>SUM(Pharma_Sales_Data[[#This Row],[M01AB]:[R06]])</f>
        <v>67.260000000000005</v>
      </c>
      <c r="N1518" s="2">
        <f>Pharma_Sales_Data[[#This Row],[Total Drug Sales]]*150</f>
        <v>10089</v>
      </c>
      <c r="O1518" s="2">
        <f>Pharma_Sales_Data[[#This Row],[Total Revenue]]*0.3</f>
        <v>3026.7</v>
      </c>
      <c r="P1518" t="str">
        <f>IF(Pharma_Sales_Data[[#This Row],[Total Revenue]]&gt;20000,"High Value", IF(Pharma_Sales_Data[[#This Row],[Total Revenue]]&gt;=10000,"Medium Value","Low Value"))</f>
        <v>Medium Value</v>
      </c>
    </row>
    <row r="1519" spans="1:16" x14ac:dyDescent="0.35">
      <c r="A1519" s="1">
        <v>43158</v>
      </c>
      <c r="B1519">
        <v>3.33</v>
      </c>
      <c r="C1519">
        <v>2.65</v>
      </c>
      <c r="D1519">
        <v>3.4</v>
      </c>
      <c r="E1519">
        <v>26.7</v>
      </c>
      <c r="F1519">
        <v>20</v>
      </c>
      <c r="G1519">
        <v>9</v>
      </c>
      <c r="H1519">
        <v>8</v>
      </c>
      <c r="I1519">
        <v>1</v>
      </c>
      <c r="J1519">
        <v>2018</v>
      </c>
      <c r="K1519">
        <v>2</v>
      </c>
      <c r="L1519" t="s">
        <v>16</v>
      </c>
      <c r="M1519">
        <f>SUM(Pharma_Sales_Data[[#This Row],[M01AB]:[R06]])</f>
        <v>74.08</v>
      </c>
      <c r="N1519" s="2">
        <f>Pharma_Sales_Data[[#This Row],[Total Drug Sales]]*150</f>
        <v>11112</v>
      </c>
      <c r="O1519" s="2">
        <f>Pharma_Sales_Data[[#This Row],[Total Revenue]]*0.3</f>
        <v>3333.6</v>
      </c>
      <c r="P1519" t="str">
        <f>IF(Pharma_Sales_Data[[#This Row],[Total Revenue]]&gt;20000,"High Value", IF(Pharma_Sales_Data[[#This Row],[Total Revenue]]&gt;=10000,"Medium Value","Low Value"))</f>
        <v>Medium Value</v>
      </c>
    </row>
    <row r="1520" spans="1:16" x14ac:dyDescent="0.35">
      <c r="A1520" s="1">
        <v>43159</v>
      </c>
      <c r="B1520">
        <v>1</v>
      </c>
      <c r="C1520">
        <v>2.33</v>
      </c>
      <c r="D1520">
        <v>5.0999999999999996</v>
      </c>
      <c r="E1520">
        <v>44.661999999999999</v>
      </c>
      <c r="F1520">
        <v>21</v>
      </c>
      <c r="G1520">
        <v>2</v>
      </c>
      <c r="H1520">
        <v>0</v>
      </c>
      <c r="I1520">
        <v>1</v>
      </c>
      <c r="J1520">
        <v>2018</v>
      </c>
      <c r="K1520">
        <v>2</v>
      </c>
      <c r="L1520" t="s">
        <v>17</v>
      </c>
      <c r="M1520">
        <f>SUM(Pharma_Sales_Data[[#This Row],[M01AB]:[R06]])</f>
        <v>77.091999999999999</v>
      </c>
      <c r="N1520" s="2">
        <f>Pharma_Sales_Data[[#This Row],[Total Drug Sales]]*150</f>
        <v>11563.8</v>
      </c>
      <c r="O1520" s="2">
        <f>Pharma_Sales_Data[[#This Row],[Total Revenue]]*0.3</f>
        <v>3469.14</v>
      </c>
      <c r="P1520" t="str">
        <f>IF(Pharma_Sales_Data[[#This Row],[Total Revenue]]&gt;20000,"High Value", IF(Pharma_Sales_Data[[#This Row],[Total Revenue]]&gt;=10000,"Medium Value","Low Value"))</f>
        <v>Medium Value</v>
      </c>
    </row>
    <row r="1521" spans="1:16" x14ac:dyDescent="0.35">
      <c r="A1521" s="1">
        <v>43160</v>
      </c>
      <c r="B1521">
        <v>1</v>
      </c>
      <c r="C1521">
        <v>6.0330000000000004</v>
      </c>
      <c r="D1521">
        <v>1.05</v>
      </c>
      <c r="E1521">
        <v>26.4</v>
      </c>
      <c r="F1521">
        <v>26</v>
      </c>
      <c r="G1521">
        <v>1</v>
      </c>
      <c r="H1521">
        <v>12</v>
      </c>
      <c r="I1521">
        <v>1</v>
      </c>
      <c r="J1521">
        <v>2018</v>
      </c>
      <c r="K1521">
        <v>3</v>
      </c>
      <c r="L1521" t="s">
        <v>11</v>
      </c>
      <c r="M1521">
        <f>SUM(Pharma_Sales_Data[[#This Row],[M01AB]:[R06]])</f>
        <v>74.483000000000004</v>
      </c>
      <c r="N1521" s="2">
        <f>Pharma_Sales_Data[[#This Row],[Total Drug Sales]]*150</f>
        <v>11172.45</v>
      </c>
      <c r="O1521" s="2">
        <f>Pharma_Sales_Data[[#This Row],[Total Revenue]]*0.3</f>
        <v>3351.7350000000001</v>
      </c>
      <c r="P1521" t="str">
        <f>IF(Pharma_Sales_Data[[#This Row],[Total Revenue]]&gt;20000,"High Value", IF(Pharma_Sales_Data[[#This Row],[Total Revenue]]&gt;=10000,"Medium Value","Low Value"))</f>
        <v>Medium Value</v>
      </c>
    </row>
    <row r="1522" spans="1:16" x14ac:dyDescent="0.35">
      <c r="A1522" s="1">
        <v>43161</v>
      </c>
      <c r="B1522">
        <v>4</v>
      </c>
      <c r="C1522">
        <v>3</v>
      </c>
      <c r="D1522">
        <v>9.5</v>
      </c>
      <c r="E1522">
        <v>38.4</v>
      </c>
      <c r="F1522">
        <v>24</v>
      </c>
      <c r="G1522">
        <v>3</v>
      </c>
      <c r="H1522">
        <v>17</v>
      </c>
      <c r="I1522">
        <v>5.5</v>
      </c>
      <c r="J1522">
        <v>2018</v>
      </c>
      <c r="K1522">
        <v>3</v>
      </c>
      <c r="L1522" t="s">
        <v>12</v>
      </c>
      <c r="M1522">
        <f>SUM(Pharma_Sales_Data[[#This Row],[M01AB]:[R06]])</f>
        <v>104.4</v>
      </c>
      <c r="N1522" s="2">
        <f>Pharma_Sales_Data[[#This Row],[Total Drug Sales]]*150</f>
        <v>15660</v>
      </c>
      <c r="O1522" s="2">
        <f>Pharma_Sales_Data[[#This Row],[Total Revenue]]*0.3</f>
        <v>4698</v>
      </c>
      <c r="P1522" t="str">
        <f>IF(Pharma_Sales_Data[[#This Row],[Total Revenue]]&gt;20000,"High Value", IF(Pharma_Sales_Data[[#This Row],[Total Revenue]]&gt;=10000,"Medium Value","Low Value"))</f>
        <v>Medium Value</v>
      </c>
    </row>
    <row r="1523" spans="1:16" x14ac:dyDescent="0.35">
      <c r="A1523" s="1">
        <v>43162</v>
      </c>
      <c r="B1523">
        <v>8</v>
      </c>
      <c r="C1523">
        <v>2.363</v>
      </c>
      <c r="D1523">
        <v>8.15</v>
      </c>
      <c r="E1523">
        <v>40.186999999999998</v>
      </c>
      <c r="F1523">
        <v>12</v>
      </c>
      <c r="G1523">
        <v>1</v>
      </c>
      <c r="H1523">
        <v>10</v>
      </c>
      <c r="I1523">
        <v>4</v>
      </c>
      <c r="J1523">
        <v>2018</v>
      </c>
      <c r="K1523">
        <v>3</v>
      </c>
      <c r="L1523" t="s">
        <v>13</v>
      </c>
      <c r="M1523">
        <f>SUM(Pharma_Sales_Data[[#This Row],[M01AB]:[R06]])</f>
        <v>85.699999999999989</v>
      </c>
      <c r="N1523" s="2">
        <f>Pharma_Sales_Data[[#This Row],[Total Drug Sales]]*150</f>
        <v>12854.999999999998</v>
      </c>
      <c r="O1523" s="2">
        <f>Pharma_Sales_Data[[#This Row],[Total Revenue]]*0.3</f>
        <v>3856.4999999999991</v>
      </c>
      <c r="P1523" t="str">
        <f>IF(Pharma_Sales_Data[[#This Row],[Total Revenue]]&gt;20000,"High Value", IF(Pharma_Sales_Data[[#This Row],[Total Revenue]]&gt;=10000,"Medium Value","Low Value"))</f>
        <v>Medium Value</v>
      </c>
    </row>
    <row r="1524" spans="1:16" x14ac:dyDescent="0.35">
      <c r="A1524" s="1">
        <v>43163</v>
      </c>
      <c r="B1524">
        <v>1</v>
      </c>
      <c r="C1524">
        <v>3.7360000000000002</v>
      </c>
      <c r="D1524">
        <v>4</v>
      </c>
      <c r="E1524">
        <v>33.6</v>
      </c>
      <c r="F1524">
        <v>3</v>
      </c>
      <c r="G1524">
        <v>0</v>
      </c>
      <c r="H1524">
        <v>14</v>
      </c>
      <c r="I1524">
        <v>1</v>
      </c>
      <c r="J1524">
        <v>2018</v>
      </c>
      <c r="K1524">
        <v>3</v>
      </c>
      <c r="L1524" t="s">
        <v>14</v>
      </c>
      <c r="M1524">
        <f>SUM(Pharma_Sales_Data[[#This Row],[M01AB]:[R06]])</f>
        <v>60.335999999999999</v>
      </c>
      <c r="N1524" s="2">
        <f>Pharma_Sales_Data[[#This Row],[Total Drug Sales]]*150</f>
        <v>9050.4</v>
      </c>
      <c r="O1524" s="2">
        <f>Pharma_Sales_Data[[#This Row],[Total Revenue]]*0.3</f>
        <v>2715.12</v>
      </c>
      <c r="P1524" t="str">
        <f>IF(Pharma_Sales_Data[[#This Row],[Total Revenue]]&gt;20000,"High Value", IF(Pharma_Sales_Data[[#This Row],[Total Revenue]]&gt;=10000,"Medium Value","Low Value"))</f>
        <v>Low Value</v>
      </c>
    </row>
    <row r="1525" spans="1:16" x14ac:dyDescent="0.35">
      <c r="A1525" s="1">
        <v>43164</v>
      </c>
      <c r="B1525">
        <v>4.33</v>
      </c>
      <c r="C1525">
        <v>5.33</v>
      </c>
      <c r="D1525">
        <v>6.1</v>
      </c>
      <c r="E1525">
        <v>25</v>
      </c>
      <c r="F1525">
        <v>6</v>
      </c>
      <c r="G1525">
        <v>0</v>
      </c>
      <c r="H1525">
        <v>17</v>
      </c>
      <c r="I1525">
        <v>1</v>
      </c>
      <c r="J1525">
        <v>2018</v>
      </c>
      <c r="K1525">
        <v>3</v>
      </c>
      <c r="L1525" t="s">
        <v>15</v>
      </c>
      <c r="M1525">
        <f>SUM(Pharma_Sales_Data[[#This Row],[M01AB]:[R06]])</f>
        <v>64.759999999999991</v>
      </c>
      <c r="N1525" s="2">
        <f>Pharma_Sales_Data[[#This Row],[Total Drug Sales]]*150</f>
        <v>9713.9999999999982</v>
      </c>
      <c r="O1525" s="2">
        <f>Pharma_Sales_Data[[#This Row],[Total Revenue]]*0.3</f>
        <v>2914.1999999999994</v>
      </c>
      <c r="P1525" t="str">
        <f>IF(Pharma_Sales_Data[[#This Row],[Total Revenue]]&gt;20000,"High Value", IF(Pharma_Sales_Data[[#This Row],[Total Revenue]]&gt;=10000,"Medium Value","Low Value"))</f>
        <v>Low Value</v>
      </c>
    </row>
    <row r="1526" spans="1:16" x14ac:dyDescent="0.35">
      <c r="A1526" s="1">
        <v>43165</v>
      </c>
      <c r="B1526">
        <v>9.5</v>
      </c>
      <c r="C1526">
        <v>6.33</v>
      </c>
      <c r="D1526">
        <v>5.85</v>
      </c>
      <c r="E1526">
        <v>22.2</v>
      </c>
      <c r="F1526">
        <v>22</v>
      </c>
      <c r="G1526">
        <v>8</v>
      </c>
      <c r="H1526">
        <v>2</v>
      </c>
      <c r="I1526">
        <v>1</v>
      </c>
      <c r="J1526">
        <v>2018</v>
      </c>
      <c r="K1526">
        <v>3</v>
      </c>
      <c r="L1526" t="s">
        <v>16</v>
      </c>
      <c r="M1526">
        <f>SUM(Pharma_Sales_Data[[#This Row],[M01AB]:[R06]])</f>
        <v>76.88</v>
      </c>
      <c r="N1526" s="2">
        <f>Pharma_Sales_Data[[#This Row],[Total Drug Sales]]*150</f>
        <v>11532</v>
      </c>
      <c r="O1526" s="2">
        <f>Pharma_Sales_Data[[#This Row],[Total Revenue]]*0.3</f>
        <v>3459.6</v>
      </c>
      <c r="P1526" t="str">
        <f>IF(Pharma_Sales_Data[[#This Row],[Total Revenue]]&gt;20000,"High Value", IF(Pharma_Sales_Data[[#This Row],[Total Revenue]]&gt;=10000,"Medium Value","Low Value"))</f>
        <v>Medium Value</v>
      </c>
    </row>
    <row r="1527" spans="1:16" x14ac:dyDescent="0.35">
      <c r="A1527" s="1">
        <v>43166</v>
      </c>
      <c r="B1527">
        <v>4.5</v>
      </c>
      <c r="C1527">
        <v>1.67</v>
      </c>
      <c r="D1527">
        <v>4</v>
      </c>
      <c r="E1527">
        <v>20.2</v>
      </c>
      <c r="F1527">
        <v>31</v>
      </c>
      <c r="G1527">
        <v>5</v>
      </c>
      <c r="H1527">
        <v>11</v>
      </c>
      <c r="I1527">
        <v>1.4</v>
      </c>
      <c r="J1527">
        <v>2018</v>
      </c>
      <c r="K1527">
        <v>3</v>
      </c>
      <c r="L1527" t="s">
        <v>17</v>
      </c>
      <c r="M1527">
        <f>SUM(Pharma_Sales_Data[[#This Row],[M01AB]:[R06]])</f>
        <v>78.77000000000001</v>
      </c>
      <c r="N1527" s="2">
        <f>Pharma_Sales_Data[[#This Row],[Total Drug Sales]]*150</f>
        <v>11815.500000000002</v>
      </c>
      <c r="O1527" s="2">
        <f>Pharma_Sales_Data[[#This Row],[Total Revenue]]*0.3</f>
        <v>3544.6500000000005</v>
      </c>
      <c r="P1527" t="str">
        <f>IF(Pharma_Sales_Data[[#This Row],[Total Revenue]]&gt;20000,"High Value", IF(Pharma_Sales_Data[[#This Row],[Total Revenue]]&gt;=10000,"Medium Value","Low Value"))</f>
        <v>Medium Value</v>
      </c>
    </row>
    <row r="1528" spans="1:16" x14ac:dyDescent="0.35">
      <c r="A1528" s="1">
        <v>43167</v>
      </c>
      <c r="B1528">
        <v>1.33</v>
      </c>
      <c r="C1528">
        <v>2.7690000000000001</v>
      </c>
      <c r="D1528">
        <v>4</v>
      </c>
      <c r="E1528">
        <v>25.8</v>
      </c>
      <c r="F1528">
        <v>10</v>
      </c>
      <c r="G1528">
        <v>0</v>
      </c>
      <c r="H1528">
        <v>0</v>
      </c>
      <c r="I1528">
        <v>4</v>
      </c>
      <c r="J1528">
        <v>2018</v>
      </c>
      <c r="K1528">
        <v>3</v>
      </c>
      <c r="L1528" t="s">
        <v>11</v>
      </c>
      <c r="M1528">
        <f>SUM(Pharma_Sales_Data[[#This Row],[M01AB]:[R06]])</f>
        <v>47.899000000000001</v>
      </c>
      <c r="N1528" s="2">
        <f>Pharma_Sales_Data[[#This Row],[Total Drug Sales]]*150</f>
        <v>7184.85</v>
      </c>
      <c r="O1528" s="2">
        <f>Pharma_Sales_Data[[#This Row],[Total Revenue]]*0.3</f>
        <v>2155.4549999999999</v>
      </c>
      <c r="P1528" t="str">
        <f>IF(Pharma_Sales_Data[[#This Row],[Total Revenue]]&gt;20000,"High Value", IF(Pharma_Sales_Data[[#This Row],[Total Revenue]]&gt;=10000,"Medium Value","Low Value"))</f>
        <v>Low Value</v>
      </c>
    </row>
    <row r="1529" spans="1:16" x14ac:dyDescent="0.35">
      <c r="A1529" s="1">
        <v>43168</v>
      </c>
      <c r="B1529">
        <v>6.33</v>
      </c>
      <c r="C1529">
        <v>2.1800000000000002</v>
      </c>
      <c r="D1529">
        <v>4.2</v>
      </c>
      <c r="E1529">
        <v>41</v>
      </c>
      <c r="F1529">
        <v>11</v>
      </c>
      <c r="G1529">
        <v>1</v>
      </c>
      <c r="H1529">
        <v>10</v>
      </c>
      <c r="I1529">
        <v>0</v>
      </c>
      <c r="J1529">
        <v>2018</v>
      </c>
      <c r="K1529">
        <v>3</v>
      </c>
      <c r="L1529" t="s">
        <v>12</v>
      </c>
      <c r="M1529">
        <f>SUM(Pharma_Sales_Data[[#This Row],[M01AB]:[R06]])</f>
        <v>75.710000000000008</v>
      </c>
      <c r="N1529" s="2">
        <f>Pharma_Sales_Data[[#This Row],[Total Drug Sales]]*150</f>
        <v>11356.500000000002</v>
      </c>
      <c r="O1529" s="2">
        <f>Pharma_Sales_Data[[#This Row],[Total Revenue]]*0.3</f>
        <v>3406.9500000000003</v>
      </c>
      <c r="P1529" t="str">
        <f>IF(Pharma_Sales_Data[[#This Row],[Total Revenue]]&gt;20000,"High Value", IF(Pharma_Sales_Data[[#This Row],[Total Revenue]]&gt;=10000,"Medium Value","Low Value"))</f>
        <v>Medium Value</v>
      </c>
    </row>
    <row r="1530" spans="1:16" x14ac:dyDescent="0.35">
      <c r="A1530" s="1">
        <v>43169</v>
      </c>
      <c r="B1530">
        <v>6</v>
      </c>
      <c r="C1530">
        <v>4.109</v>
      </c>
      <c r="D1530">
        <v>4</v>
      </c>
      <c r="E1530">
        <v>21.7</v>
      </c>
      <c r="F1530">
        <v>11</v>
      </c>
      <c r="G1530">
        <v>3</v>
      </c>
      <c r="H1530">
        <v>17</v>
      </c>
      <c r="I1530">
        <v>6</v>
      </c>
      <c r="J1530">
        <v>2018</v>
      </c>
      <c r="K1530">
        <v>3</v>
      </c>
      <c r="L1530" t="s">
        <v>13</v>
      </c>
      <c r="M1530">
        <f>SUM(Pharma_Sales_Data[[#This Row],[M01AB]:[R06]])</f>
        <v>72.808999999999997</v>
      </c>
      <c r="N1530" s="2">
        <f>Pharma_Sales_Data[[#This Row],[Total Drug Sales]]*150</f>
        <v>10921.35</v>
      </c>
      <c r="O1530" s="2">
        <f>Pharma_Sales_Data[[#This Row],[Total Revenue]]*0.3</f>
        <v>3276.4050000000002</v>
      </c>
      <c r="P1530" t="str">
        <f>IF(Pharma_Sales_Data[[#This Row],[Total Revenue]]&gt;20000,"High Value", IF(Pharma_Sales_Data[[#This Row],[Total Revenue]]&gt;=10000,"Medium Value","Low Value"))</f>
        <v>Medium Value</v>
      </c>
    </row>
    <row r="1531" spans="1:16" x14ac:dyDescent="0.35">
      <c r="A1531" s="1">
        <v>43170</v>
      </c>
      <c r="B1531">
        <v>4.66</v>
      </c>
      <c r="C1531">
        <v>7.54</v>
      </c>
      <c r="D1531">
        <v>5.6</v>
      </c>
      <c r="E1531">
        <v>68</v>
      </c>
      <c r="F1531">
        <v>0</v>
      </c>
      <c r="G1531">
        <v>0</v>
      </c>
      <c r="H1531">
        <v>11</v>
      </c>
      <c r="I1531">
        <v>3</v>
      </c>
      <c r="J1531">
        <v>2018</v>
      </c>
      <c r="K1531">
        <v>3</v>
      </c>
      <c r="L1531" t="s">
        <v>14</v>
      </c>
      <c r="M1531">
        <f>SUM(Pharma_Sales_Data[[#This Row],[M01AB]:[R06]])</f>
        <v>99.8</v>
      </c>
      <c r="N1531" s="2">
        <f>Pharma_Sales_Data[[#This Row],[Total Drug Sales]]*150</f>
        <v>14970</v>
      </c>
      <c r="O1531" s="2">
        <f>Pharma_Sales_Data[[#This Row],[Total Revenue]]*0.3</f>
        <v>4491</v>
      </c>
      <c r="P1531" t="str">
        <f>IF(Pharma_Sales_Data[[#This Row],[Total Revenue]]&gt;20000,"High Value", IF(Pharma_Sales_Data[[#This Row],[Total Revenue]]&gt;=10000,"Medium Value","Low Value"))</f>
        <v>Medium Value</v>
      </c>
    </row>
    <row r="1532" spans="1:16" x14ac:dyDescent="0.35">
      <c r="A1532" s="1">
        <v>43171</v>
      </c>
      <c r="B1532">
        <v>9</v>
      </c>
      <c r="C1532">
        <v>4.3449999999999998</v>
      </c>
      <c r="D1532">
        <v>3</v>
      </c>
      <c r="E1532">
        <v>22.2</v>
      </c>
      <c r="F1532">
        <v>9</v>
      </c>
      <c r="G1532">
        <v>0</v>
      </c>
      <c r="H1532">
        <v>13</v>
      </c>
      <c r="I1532">
        <v>8</v>
      </c>
      <c r="J1532">
        <v>2018</v>
      </c>
      <c r="K1532">
        <v>3</v>
      </c>
      <c r="L1532" t="s">
        <v>15</v>
      </c>
      <c r="M1532">
        <f>SUM(Pharma_Sales_Data[[#This Row],[M01AB]:[R06]])</f>
        <v>68.545000000000002</v>
      </c>
      <c r="N1532" s="2">
        <f>Pharma_Sales_Data[[#This Row],[Total Drug Sales]]*150</f>
        <v>10281.75</v>
      </c>
      <c r="O1532" s="2">
        <f>Pharma_Sales_Data[[#This Row],[Total Revenue]]*0.3</f>
        <v>3084.5250000000001</v>
      </c>
      <c r="P1532" t="str">
        <f>IF(Pharma_Sales_Data[[#This Row],[Total Revenue]]&gt;20000,"High Value", IF(Pharma_Sales_Data[[#This Row],[Total Revenue]]&gt;=10000,"Medium Value","Low Value"))</f>
        <v>Medium Value</v>
      </c>
    </row>
    <row r="1533" spans="1:16" x14ac:dyDescent="0.35">
      <c r="A1533" s="1">
        <v>43172</v>
      </c>
      <c r="B1533">
        <v>2</v>
      </c>
      <c r="C1533">
        <v>5.0659999999999998</v>
      </c>
      <c r="D1533">
        <v>5.2</v>
      </c>
      <c r="E1533">
        <v>15.2</v>
      </c>
      <c r="F1533">
        <v>18</v>
      </c>
      <c r="G1533">
        <v>0</v>
      </c>
      <c r="H1533">
        <v>21</v>
      </c>
      <c r="I1533">
        <v>5</v>
      </c>
      <c r="J1533">
        <v>2018</v>
      </c>
      <c r="K1533">
        <v>3</v>
      </c>
      <c r="L1533" t="s">
        <v>16</v>
      </c>
      <c r="M1533">
        <f>SUM(Pharma_Sales_Data[[#This Row],[M01AB]:[R06]])</f>
        <v>71.466000000000008</v>
      </c>
      <c r="N1533" s="2">
        <f>Pharma_Sales_Data[[#This Row],[Total Drug Sales]]*150</f>
        <v>10719.900000000001</v>
      </c>
      <c r="O1533" s="2">
        <f>Pharma_Sales_Data[[#This Row],[Total Revenue]]*0.3</f>
        <v>3215.9700000000003</v>
      </c>
      <c r="P1533" t="str">
        <f>IF(Pharma_Sales_Data[[#This Row],[Total Revenue]]&gt;20000,"High Value", IF(Pharma_Sales_Data[[#This Row],[Total Revenue]]&gt;=10000,"Medium Value","Low Value"))</f>
        <v>Medium Value</v>
      </c>
    </row>
    <row r="1534" spans="1:16" x14ac:dyDescent="0.35">
      <c r="A1534" s="1">
        <v>43173</v>
      </c>
      <c r="B1534">
        <v>2.34</v>
      </c>
      <c r="C1534">
        <v>2.34</v>
      </c>
      <c r="D1534">
        <v>0</v>
      </c>
      <c r="E1534">
        <v>31</v>
      </c>
      <c r="F1534">
        <v>14</v>
      </c>
      <c r="G1534">
        <v>2</v>
      </c>
      <c r="H1534">
        <v>8</v>
      </c>
      <c r="I1534">
        <v>4</v>
      </c>
      <c r="J1534">
        <v>2018</v>
      </c>
      <c r="K1534">
        <v>3</v>
      </c>
      <c r="L1534" t="s">
        <v>17</v>
      </c>
      <c r="M1534">
        <f>SUM(Pharma_Sales_Data[[#This Row],[M01AB]:[R06]])</f>
        <v>63.68</v>
      </c>
      <c r="N1534" s="2">
        <f>Pharma_Sales_Data[[#This Row],[Total Drug Sales]]*150</f>
        <v>9552</v>
      </c>
      <c r="O1534" s="2">
        <f>Pharma_Sales_Data[[#This Row],[Total Revenue]]*0.3</f>
        <v>2865.6</v>
      </c>
      <c r="P1534" t="str">
        <f>IF(Pharma_Sales_Data[[#This Row],[Total Revenue]]&gt;20000,"High Value", IF(Pharma_Sales_Data[[#This Row],[Total Revenue]]&gt;=10000,"Medium Value","Low Value"))</f>
        <v>Low Value</v>
      </c>
    </row>
    <row r="1535" spans="1:16" x14ac:dyDescent="0.35">
      <c r="A1535" s="1">
        <v>43174</v>
      </c>
      <c r="B1535">
        <v>3.34</v>
      </c>
      <c r="C1535">
        <v>2.1320000000000001</v>
      </c>
      <c r="D1535">
        <v>3</v>
      </c>
      <c r="E1535">
        <v>23.9</v>
      </c>
      <c r="F1535">
        <v>10</v>
      </c>
      <c r="G1535">
        <v>0</v>
      </c>
      <c r="H1535">
        <v>10</v>
      </c>
      <c r="I1535">
        <v>0</v>
      </c>
      <c r="J1535">
        <v>2018</v>
      </c>
      <c r="K1535">
        <v>3</v>
      </c>
      <c r="L1535" t="s">
        <v>11</v>
      </c>
      <c r="M1535">
        <f>SUM(Pharma_Sales_Data[[#This Row],[M01AB]:[R06]])</f>
        <v>52.372</v>
      </c>
      <c r="N1535" s="2">
        <f>Pharma_Sales_Data[[#This Row],[Total Drug Sales]]*150</f>
        <v>7855.8</v>
      </c>
      <c r="O1535" s="2">
        <f>Pharma_Sales_Data[[#This Row],[Total Revenue]]*0.3</f>
        <v>2356.7399999999998</v>
      </c>
      <c r="P1535" t="str">
        <f>IF(Pharma_Sales_Data[[#This Row],[Total Revenue]]&gt;20000,"High Value", IF(Pharma_Sales_Data[[#This Row],[Total Revenue]]&gt;=10000,"Medium Value","Low Value"))</f>
        <v>Low Value</v>
      </c>
    </row>
    <row r="1536" spans="1:16" x14ac:dyDescent="0.35">
      <c r="A1536" s="1">
        <v>43175</v>
      </c>
      <c r="B1536">
        <v>3.33</v>
      </c>
      <c r="C1536">
        <v>3.0659999999999998</v>
      </c>
      <c r="D1536">
        <v>1</v>
      </c>
      <c r="E1536">
        <v>29</v>
      </c>
      <c r="F1536">
        <v>7</v>
      </c>
      <c r="G1536">
        <v>0</v>
      </c>
      <c r="H1536">
        <v>2</v>
      </c>
      <c r="I1536">
        <v>1</v>
      </c>
      <c r="J1536">
        <v>2018</v>
      </c>
      <c r="K1536">
        <v>3</v>
      </c>
      <c r="L1536" t="s">
        <v>12</v>
      </c>
      <c r="M1536">
        <f>SUM(Pharma_Sales_Data[[#This Row],[M01AB]:[R06]])</f>
        <v>46.396000000000001</v>
      </c>
      <c r="N1536" s="2">
        <f>Pharma_Sales_Data[[#This Row],[Total Drug Sales]]*150</f>
        <v>6959.4000000000005</v>
      </c>
      <c r="O1536" s="2">
        <f>Pharma_Sales_Data[[#This Row],[Total Revenue]]*0.3</f>
        <v>2087.8200000000002</v>
      </c>
      <c r="P1536" t="str">
        <f>IF(Pharma_Sales_Data[[#This Row],[Total Revenue]]&gt;20000,"High Value", IF(Pharma_Sales_Data[[#This Row],[Total Revenue]]&gt;=10000,"Medium Value","Low Value"))</f>
        <v>Low Value</v>
      </c>
    </row>
    <row r="1537" spans="1:16" x14ac:dyDescent="0.35">
      <c r="A1537" s="1">
        <v>43176</v>
      </c>
      <c r="B1537">
        <v>3.99</v>
      </c>
      <c r="C1537">
        <v>1.66</v>
      </c>
      <c r="D1537">
        <v>3.15</v>
      </c>
      <c r="E1537">
        <v>65</v>
      </c>
      <c r="F1537">
        <v>11</v>
      </c>
      <c r="G1537">
        <v>0</v>
      </c>
      <c r="H1537">
        <v>5</v>
      </c>
      <c r="I1537">
        <v>4</v>
      </c>
      <c r="J1537">
        <v>2018</v>
      </c>
      <c r="K1537">
        <v>3</v>
      </c>
      <c r="L1537" t="s">
        <v>13</v>
      </c>
      <c r="M1537">
        <f>SUM(Pharma_Sales_Data[[#This Row],[M01AB]:[R06]])</f>
        <v>93.8</v>
      </c>
      <c r="N1537" s="2">
        <f>Pharma_Sales_Data[[#This Row],[Total Drug Sales]]*150</f>
        <v>14070</v>
      </c>
      <c r="O1537" s="2">
        <f>Pharma_Sales_Data[[#This Row],[Total Revenue]]*0.3</f>
        <v>4221</v>
      </c>
      <c r="P1537" t="str">
        <f>IF(Pharma_Sales_Data[[#This Row],[Total Revenue]]&gt;20000,"High Value", IF(Pharma_Sales_Data[[#This Row],[Total Revenue]]&gt;=10000,"Medium Value","Low Value"))</f>
        <v>Medium Value</v>
      </c>
    </row>
    <row r="1538" spans="1:16" x14ac:dyDescent="0.35">
      <c r="A1538" s="1">
        <v>43177</v>
      </c>
      <c r="B1538">
        <v>7.33</v>
      </c>
      <c r="C1538">
        <v>2.9289999999999998</v>
      </c>
      <c r="D1538">
        <v>4.3</v>
      </c>
      <c r="E1538">
        <v>21.5</v>
      </c>
      <c r="F1538">
        <v>8</v>
      </c>
      <c r="G1538">
        <v>0</v>
      </c>
      <c r="H1538">
        <v>2</v>
      </c>
      <c r="I1538">
        <v>2</v>
      </c>
      <c r="J1538">
        <v>2018</v>
      </c>
      <c r="K1538">
        <v>3</v>
      </c>
      <c r="L1538" t="s">
        <v>14</v>
      </c>
      <c r="M1538">
        <f>SUM(Pharma_Sales_Data[[#This Row],[M01AB]:[R06]])</f>
        <v>48.058999999999997</v>
      </c>
      <c r="N1538" s="2">
        <f>Pharma_Sales_Data[[#This Row],[Total Drug Sales]]*150</f>
        <v>7208.8499999999995</v>
      </c>
      <c r="O1538" s="2">
        <f>Pharma_Sales_Data[[#This Row],[Total Revenue]]*0.3</f>
        <v>2162.6549999999997</v>
      </c>
      <c r="P1538" t="str">
        <f>IF(Pharma_Sales_Data[[#This Row],[Total Revenue]]&gt;20000,"High Value", IF(Pharma_Sales_Data[[#This Row],[Total Revenue]]&gt;=10000,"Medium Value","Low Value"))</f>
        <v>Low Value</v>
      </c>
    </row>
    <row r="1539" spans="1:16" x14ac:dyDescent="0.35">
      <c r="A1539" s="1">
        <v>43178</v>
      </c>
      <c r="B1539">
        <v>4.34</v>
      </c>
      <c r="C1539">
        <v>1</v>
      </c>
      <c r="D1539">
        <v>0</v>
      </c>
      <c r="E1539">
        <v>19.600000000000001</v>
      </c>
      <c r="F1539">
        <v>11</v>
      </c>
      <c r="G1539">
        <v>2</v>
      </c>
      <c r="H1539">
        <v>18</v>
      </c>
      <c r="I1539">
        <v>1</v>
      </c>
      <c r="J1539">
        <v>2018</v>
      </c>
      <c r="K1539">
        <v>3</v>
      </c>
      <c r="L1539" t="s">
        <v>15</v>
      </c>
      <c r="M1539">
        <f>SUM(Pharma_Sales_Data[[#This Row],[M01AB]:[R06]])</f>
        <v>56.94</v>
      </c>
      <c r="N1539" s="2">
        <f>Pharma_Sales_Data[[#This Row],[Total Drug Sales]]*150</f>
        <v>8541</v>
      </c>
      <c r="O1539" s="2">
        <f>Pharma_Sales_Data[[#This Row],[Total Revenue]]*0.3</f>
        <v>2562.2999999999997</v>
      </c>
      <c r="P1539" t="str">
        <f>IF(Pharma_Sales_Data[[#This Row],[Total Revenue]]&gt;20000,"High Value", IF(Pharma_Sales_Data[[#This Row],[Total Revenue]]&gt;=10000,"Medium Value","Low Value"))</f>
        <v>Low Value</v>
      </c>
    </row>
    <row r="1540" spans="1:16" x14ac:dyDescent="0.35">
      <c r="A1540" s="1">
        <v>43179</v>
      </c>
      <c r="B1540">
        <v>2.67</v>
      </c>
      <c r="C1540">
        <v>3.67</v>
      </c>
      <c r="D1540">
        <v>9</v>
      </c>
      <c r="E1540">
        <v>48.6</v>
      </c>
      <c r="F1540">
        <v>7</v>
      </c>
      <c r="G1540">
        <v>0</v>
      </c>
      <c r="H1540">
        <v>15</v>
      </c>
      <c r="I1540">
        <v>5</v>
      </c>
      <c r="J1540">
        <v>2018</v>
      </c>
      <c r="K1540">
        <v>3</v>
      </c>
      <c r="L1540" t="s">
        <v>16</v>
      </c>
      <c r="M1540">
        <f>SUM(Pharma_Sales_Data[[#This Row],[M01AB]:[R06]])</f>
        <v>90.94</v>
      </c>
      <c r="N1540" s="2">
        <f>Pharma_Sales_Data[[#This Row],[Total Drug Sales]]*150</f>
        <v>13641</v>
      </c>
      <c r="O1540" s="2">
        <f>Pharma_Sales_Data[[#This Row],[Total Revenue]]*0.3</f>
        <v>4092.2999999999997</v>
      </c>
      <c r="P1540" t="str">
        <f>IF(Pharma_Sales_Data[[#This Row],[Total Revenue]]&gt;20000,"High Value", IF(Pharma_Sales_Data[[#This Row],[Total Revenue]]&gt;=10000,"Medium Value","Low Value"))</f>
        <v>Medium Value</v>
      </c>
    </row>
    <row r="1541" spans="1:16" x14ac:dyDescent="0.35">
      <c r="A1541" s="1">
        <v>43180</v>
      </c>
      <c r="B1541">
        <v>2</v>
      </c>
      <c r="C1541">
        <v>2</v>
      </c>
      <c r="D1541">
        <v>2</v>
      </c>
      <c r="E1541">
        <v>27</v>
      </c>
      <c r="F1541">
        <v>4</v>
      </c>
      <c r="G1541">
        <v>0</v>
      </c>
      <c r="H1541">
        <v>9</v>
      </c>
      <c r="I1541">
        <v>0</v>
      </c>
      <c r="J1541">
        <v>2018</v>
      </c>
      <c r="K1541">
        <v>3</v>
      </c>
      <c r="L1541" t="s">
        <v>17</v>
      </c>
      <c r="M1541">
        <f>SUM(Pharma_Sales_Data[[#This Row],[M01AB]:[R06]])</f>
        <v>46</v>
      </c>
      <c r="N1541" s="2">
        <f>Pharma_Sales_Data[[#This Row],[Total Drug Sales]]*150</f>
        <v>6900</v>
      </c>
      <c r="O1541" s="2">
        <f>Pharma_Sales_Data[[#This Row],[Total Revenue]]*0.3</f>
        <v>2070</v>
      </c>
      <c r="P1541" t="str">
        <f>IF(Pharma_Sales_Data[[#This Row],[Total Revenue]]&gt;20000,"High Value", IF(Pharma_Sales_Data[[#This Row],[Total Revenue]]&gt;=10000,"Medium Value","Low Value"))</f>
        <v>Low Value</v>
      </c>
    </row>
    <row r="1542" spans="1:16" x14ac:dyDescent="0.35">
      <c r="A1542" s="1">
        <v>43181</v>
      </c>
      <c r="B1542">
        <v>3</v>
      </c>
      <c r="C1542">
        <v>3.67</v>
      </c>
      <c r="D1542">
        <v>1.55</v>
      </c>
      <c r="E1542">
        <v>24.6</v>
      </c>
      <c r="F1542">
        <v>4</v>
      </c>
      <c r="G1542">
        <v>0</v>
      </c>
      <c r="H1542">
        <v>0</v>
      </c>
      <c r="I1542">
        <v>1</v>
      </c>
      <c r="J1542">
        <v>2018</v>
      </c>
      <c r="K1542">
        <v>3</v>
      </c>
      <c r="L1542" t="s">
        <v>11</v>
      </c>
      <c r="M1542">
        <f>SUM(Pharma_Sales_Data[[#This Row],[M01AB]:[R06]])</f>
        <v>37.82</v>
      </c>
      <c r="N1542" s="2">
        <f>Pharma_Sales_Data[[#This Row],[Total Drug Sales]]*150</f>
        <v>5673</v>
      </c>
      <c r="O1542" s="2">
        <f>Pharma_Sales_Data[[#This Row],[Total Revenue]]*0.3</f>
        <v>1701.8999999999999</v>
      </c>
      <c r="P1542" t="str">
        <f>IF(Pharma_Sales_Data[[#This Row],[Total Revenue]]&gt;20000,"High Value", IF(Pharma_Sales_Data[[#This Row],[Total Revenue]]&gt;=10000,"Medium Value","Low Value"))</f>
        <v>Low Value</v>
      </c>
    </row>
    <row r="1543" spans="1:16" x14ac:dyDescent="0.35">
      <c r="A1543" s="1">
        <v>43182</v>
      </c>
      <c r="B1543">
        <v>5</v>
      </c>
      <c r="C1543">
        <v>5.3959999999999999</v>
      </c>
      <c r="D1543">
        <v>5.15</v>
      </c>
      <c r="E1543">
        <v>34</v>
      </c>
      <c r="F1543">
        <v>8</v>
      </c>
      <c r="G1543">
        <v>0</v>
      </c>
      <c r="H1543">
        <v>11</v>
      </c>
      <c r="I1543">
        <v>8.5</v>
      </c>
      <c r="J1543">
        <v>2018</v>
      </c>
      <c r="K1543">
        <v>3</v>
      </c>
      <c r="L1543" t="s">
        <v>12</v>
      </c>
      <c r="M1543">
        <f>SUM(Pharma_Sales_Data[[#This Row],[M01AB]:[R06]])</f>
        <v>77.045999999999992</v>
      </c>
      <c r="N1543" s="2">
        <f>Pharma_Sales_Data[[#This Row],[Total Drug Sales]]*150</f>
        <v>11556.9</v>
      </c>
      <c r="O1543" s="2">
        <f>Pharma_Sales_Data[[#This Row],[Total Revenue]]*0.3</f>
        <v>3467.0699999999997</v>
      </c>
      <c r="P1543" t="str">
        <f>IF(Pharma_Sales_Data[[#This Row],[Total Revenue]]&gt;20000,"High Value", IF(Pharma_Sales_Data[[#This Row],[Total Revenue]]&gt;=10000,"Medium Value","Low Value"))</f>
        <v>Medium Value</v>
      </c>
    </row>
    <row r="1544" spans="1:16" x14ac:dyDescent="0.35">
      <c r="A1544" s="1">
        <v>43183</v>
      </c>
      <c r="B1544">
        <v>7</v>
      </c>
      <c r="C1544">
        <v>2.34</v>
      </c>
      <c r="D1544">
        <v>5</v>
      </c>
      <c r="E1544">
        <v>40</v>
      </c>
      <c r="F1544">
        <v>7</v>
      </c>
      <c r="G1544">
        <v>1</v>
      </c>
      <c r="H1544">
        <v>2</v>
      </c>
      <c r="I1544">
        <v>0</v>
      </c>
      <c r="J1544">
        <v>2018</v>
      </c>
      <c r="K1544">
        <v>3</v>
      </c>
      <c r="L1544" t="s">
        <v>13</v>
      </c>
      <c r="M1544">
        <f>SUM(Pharma_Sales_Data[[#This Row],[M01AB]:[R06]])</f>
        <v>64.34</v>
      </c>
      <c r="N1544" s="2">
        <f>Pharma_Sales_Data[[#This Row],[Total Drug Sales]]*150</f>
        <v>9651</v>
      </c>
      <c r="O1544" s="2">
        <f>Pharma_Sales_Data[[#This Row],[Total Revenue]]*0.3</f>
        <v>2895.2999999999997</v>
      </c>
      <c r="P1544" t="str">
        <f>IF(Pharma_Sales_Data[[#This Row],[Total Revenue]]&gt;20000,"High Value", IF(Pharma_Sales_Data[[#This Row],[Total Revenue]]&gt;=10000,"Medium Value","Low Value"))</f>
        <v>Low Value</v>
      </c>
    </row>
    <row r="1545" spans="1:16" x14ac:dyDescent="0.35">
      <c r="A1545" s="1">
        <v>43184</v>
      </c>
      <c r="B1545">
        <v>4</v>
      </c>
      <c r="C1545">
        <v>2.66</v>
      </c>
      <c r="D1545">
        <v>3.2</v>
      </c>
      <c r="E1545">
        <v>47.311999999999998</v>
      </c>
      <c r="F1545">
        <v>9</v>
      </c>
      <c r="G1545">
        <v>0</v>
      </c>
      <c r="H1545">
        <v>3</v>
      </c>
      <c r="I1545">
        <v>2</v>
      </c>
      <c r="J1545">
        <v>2018</v>
      </c>
      <c r="K1545">
        <v>3</v>
      </c>
      <c r="L1545" t="s">
        <v>14</v>
      </c>
      <c r="M1545">
        <f>SUM(Pharma_Sales_Data[[#This Row],[M01AB]:[R06]])</f>
        <v>71.171999999999997</v>
      </c>
      <c r="N1545" s="2">
        <f>Pharma_Sales_Data[[#This Row],[Total Drug Sales]]*150</f>
        <v>10675.8</v>
      </c>
      <c r="O1545" s="2">
        <f>Pharma_Sales_Data[[#This Row],[Total Revenue]]*0.3</f>
        <v>3202.74</v>
      </c>
      <c r="P1545" t="str">
        <f>IF(Pharma_Sales_Data[[#This Row],[Total Revenue]]&gt;20000,"High Value", IF(Pharma_Sales_Data[[#This Row],[Total Revenue]]&gt;=10000,"Medium Value","Low Value"))</f>
        <v>Medium Value</v>
      </c>
    </row>
    <row r="1546" spans="1:16" x14ac:dyDescent="0.35">
      <c r="A1546" s="1">
        <v>43185</v>
      </c>
      <c r="B1546">
        <v>5</v>
      </c>
      <c r="C1546">
        <v>9.66</v>
      </c>
      <c r="D1546">
        <v>0.2</v>
      </c>
      <c r="E1546">
        <v>27.6</v>
      </c>
      <c r="F1546">
        <v>15</v>
      </c>
      <c r="G1546">
        <v>4</v>
      </c>
      <c r="H1546">
        <v>5</v>
      </c>
      <c r="I1546">
        <v>3.3</v>
      </c>
      <c r="J1546">
        <v>2018</v>
      </c>
      <c r="K1546">
        <v>3</v>
      </c>
      <c r="L1546" t="s">
        <v>15</v>
      </c>
      <c r="M1546">
        <f>SUM(Pharma_Sales_Data[[#This Row],[M01AB]:[R06]])</f>
        <v>69.760000000000005</v>
      </c>
      <c r="N1546" s="2">
        <f>Pharma_Sales_Data[[#This Row],[Total Drug Sales]]*150</f>
        <v>10464</v>
      </c>
      <c r="O1546" s="2">
        <f>Pharma_Sales_Data[[#This Row],[Total Revenue]]*0.3</f>
        <v>3139.2</v>
      </c>
      <c r="P1546" t="str">
        <f>IF(Pharma_Sales_Data[[#This Row],[Total Revenue]]&gt;20000,"High Value", IF(Pharma_Sales_Data[[#This Row],[Total Revenue]]&gt;=10000,"Medium Value","Low Value"))</f>
        <v>Medium Value</v>
      </c>
    </row>
    <row r="1547" spans="1:16" x14ac:dyDescent="0.35">
      <c r="A1547" s="1">
        <v>43186</v>
      </c>
      <c r="B1547">
        <v>4.34</v>
      </c>
      <c r="C1547">
        <v>3.33</v>
      </c>
      <c r="D1547">
        <v>5.0999999999999996</v>
      </c>
      <c r="E1547">
        <v>28</v>
      </c>
      <c r="F1547">
        <v>14</v>
      </c>
      <c r="G1547">
        <v>1</v>
      </c>
      <c r="H1547">
        <v>5</v>
      </c>
      <c r="I1547">
        <v>2</v>
      </c>
      <c r="J1547">
        <v>2018</v>
      </c>
      <c r="K1547">
        <v>3</v>
      </c>
      <c r="L1547" t="s">
        <v>16</v>
      </c>
      <c r="M1547">
        <f>SUM(Pharma_Sales_Data[[#This Row],[M01AB]:[R06]])</f>
        <v>62.769999999999996</v>
      </c>
      <c r="N1547" s="2">
        <f>Pharma_Sales_Data[[#This Row],[Total Drug Sales]]*150</f>
        <v>9415.5</v>
      </c>
      <c r="O1547" s="2">
        <f>Pharma_Sales_Data[[#This Row],[Total Revenue]]*0.3</f>
        <v>2824.65</v>
      </c>
      <c r="P1547" t="str">
        <f>IF(Pharma_Sales_Data[[#This Row],[Total Revenue]]&gt;20000,"High Value", IF(Pharma_Sales_Data[[#This Row],[Total Revenue]]&gt;=10000,"Medium Value","Low Value"))</f>
        <v>Low Value</v>
      </c>
    </row>
    <row r="1548" spans="1:16" x14ac:dyDescent="0.35">
      <c r="A1548" s="1">
        <v>43187</v>
      </c>
      <c r="B1548">
        <v>5.5</v>
      </c>
      <c r="C1548">
        <v>1.66</v>
      </c>
      <c r="D1548">
        <v>1</v>
      </c>
      <c r="E1548">
        <v>11.923999999999999</v>
      </c>
      <c r="F1548">
        <v>23</v>
      </c>
      <c r="G1548">
        <v>2</v>
      </c>
      <c r="H1548">
        <v>6</v>
      </c>
      <c r="I1548">
        <v>1.5</v>
      </c>
      <c r="J1548">
        <v>2018</v>
      </c>
      <c r="K1548">
        <v>3</v>
      </c>
      <c r="L1548" t="s">
        <v>17</v>
      </c>
      <c r="M1548">
        <f>SUM(Pharma_Sales_Data[[#This Row],[M01AB]:[R06]])</f>
        <v>52.584000000000003</v>
      </c>
      <c r="N1548" s="2">
        <f>Pharma_Sales_Data[[#This Row],[Total Drug Sales]]*150</f>
        <v>7887.6</v>
      </c>
      <c r="O1548" s="2">
        <f>Pharma_Sales_Data[[#This Row],[Total Revenue]]*0.3</f>
        <v>2366.2800000000002</v>
      </c>
      <c r="P1548" t="str">
        <f>IF(Pharma_Sales_Data[[#This Row],[Total Revenue]]&gt;20000,"High Value", IF(Pharma_Sales_Data[[#This Row],[Total Revenue]]&gt;=10000,"Medium Value","Low Value"))</f>
        <v>Low Value</v>
      </c>
    </row>
    <row r="1549" spans="1:16" x14ac:dyDescent="0.35">
      <c r="A1549" s="1">
        <v>43188</v>
      </c>
      <c r="B1549">
        <v>7</v>
      </c>
      <c r="C1549">
        <v>2.33</v>
      </c>
      <c r="D1549">
        <v>3</v>
      </c>
      <c r="E1549">
        <v>28.2</v>
      </c>
      <c r="F1549">
        <v>5</v>
      </c>
      <c r="G1549">
        <v>0</v>
      </c>
      <c r="H1549">
        <v>7</v>
      </c>
      <c r="I1549">
        <v>3.3</v>
      </c>
      <c r="J1549">
        <v>2018</v>
      </c>
      <c r="K1549">
        <v>3</v>
      </c>
      <c r="L1549" t="s">
        <v>11</v>
      </c>
      <c r="M1549">
        <f>SUM(Pharma_Sales_Data[[#This Row],[M01AB]:[R06]])</f>
        <v>55.83</v>
      </c>
      <c r="N1549" s="2">
        <f>Pharma_Sales_Data[[#This Row],[Total Drug Sales]]*150</f>
        <v>8374.5</v>
      </c>
      <c r="O1549" s="2">
        <f>Pharma_Sales_Data[[#This Row],[Total Revenue]]*0.3</f>
        <v>2512.35</v>
      </c>
      <c r="P1549" t="str">
        <f>IF(Pharma_Sales_Data[[#This Row],[Total Revenue]]&gt;20000,"High Value", IF(Pharma_Sales_Data[[#This Row],[Total Revenue]]&gt;=10000,"Medium Value","Low Value"))</f>
        <v>Low Value</v>
      </c>
    </row>
    <row r="1550" spans="1:16" x14ac:dyDescent="0.35">
      <c r="A1550" s="1">
        <v>43189</v>
      </c>
      <c r="B1550">
        <v>5.33</v>
      </c>
      <c r="C1550">
        <v>4.46</v>
      </c>
      <c r="D1550">
        <v>9</v>
      </c>
      <c r="E1550">
        <v>42</v>
      </c>
      <c r="F1550">
        <v>33</v>
      </c>
      <c r="G1550">
        <v>8</v>
      </c>
      <c r="H1550">
        <v>3</v>
      </c>
      <c r="I1550">
        <v>2</v>
      </c>
      <c r="J1550">
        <v>2018</v>
      </c>
      <c r="K1550">
        <v>3</v>
      </c>
      <c r="L1550" t="s">
        <v>12</v>
      </c>
      <c r="M1550">
        <f>SUM(Pharma_Sales_Data[[#This Row],[M01AB]:[R06]])</f>
        <v>106.78999999999999</v>
      </c>
      <c r="N1550" s="2">
        <f>Pharma_Sales_Data[[#This Row],[Total Drug Sales]]*150</f>
        <v>16018.499999999998</v>
      </c>
      <c r="O1550" s="2">
        <f>Pharma_Sales_Data[[#This Row],[Total Revenue]]*0.3</f>
        <v>4805.5499999999993</v>
      </c>
      <c r="P1550" t="str">
        <f>IF(Pharma_Sales_Data[[#This Row],[Total Revenue]]&gt;20000,"High Value", IF(Pharma_Sales_Data[[#This Row],[Total Revenue]]&gt;=10000,"Medium Value","Low Value"))</f>
        <v>Medium Value</v>
      </c>
    </row>
    <row r="1551" spans="1:16" x14ac:dyDescent="0.35">
      <c r="A1551" s="1">
        <v>43190</v>
      </c>
      <c r="B1551">
        <v>9</v>
      </c>
      <c r="C1551">
        <v>2.99</v>
      </c>
      <c r="D1551">
        <v>2</v>
      </c>
      <c r="E1551">
        <v>50</v>
      </c>
      <c r="F1551">
        <v>8</v>
      </c>
      <c r="G1551">
        <v>0</v>
      </c>
      <c r="H1551">
        <v>3</v>
      </c>
      <c r="I1551">
        <v>4</v>
      </c>
      <c r="J1551">
        <v>2018</v>
      </c>
      <c r="K1551">
        <v>3</v>
      </c>
      <c r="L1551" t="s">
        <v>13</v>
      </c>
      <c r="M1551">
        <f>SUM(Pharma_Sales_Data[[#This Row],[M01AB]:[R06]])</f>
        <v>78.990000000000009</v>
      </c>
      <c r="N1551" s="2">
        <f>Pharma_Sales_Data[[#This Row],[Total Drug Sales]]*150</f>
        <v>11848.500000000002</v>
      </c>
      <c r="O1551" s="2">
        <f>Pharma_Sales_Data[[#This Row],[Total Revenue]]*0.3</f>
        <v>3554.5500000000006</v>
      </c>
      <c r="P1551" t="str">
        <f>IF(Pharma_Sales_Data[[#This Row],[Total Revenue]]&gt;20000,"High Value", IF(Pharma_Sales_Data[[#This Row],[Total Revenue]]&gt;=10000,"Medium Value","Low Value"))</f>
        <v>Medium Value</v>
      </c>
    </row>
    <row r="1552" spans="1:16" x14ac:dyDescent="0.35">
      <c r="A1552" s="1">
        <v>43191</v>
      </c>
      <c r="B1552">
        <v>6.83</v>
      </c>
      <c r="C1552">
        <v>3.34</v>
      </c>
      <c r="D1552">
        <v>0</v>
      </c>
      <c r="E1552">
        <v>37</v>
      </c>
      <c r="F1552">
        <v>19</v>
      </c>
      <c r="G1552">
        <v>1</v>
      </c>
      <c r="H1552">
        <v>22</v>
      </c>
      <c r="I1552">
        <v>5</v>
      </c>
      <c r="J1552">
        <v>2018</v>
      </c>
      <c r="K1552">
        <v>4</v>
      </c>
      <c r="L1552" t="s">
        <v>14</v>
      </c>
      <c r="M1552">
        <f>SUM(Pharma_Sales_Data[[#This Row],[M01AB]:[R06]])</f>
        <v>94.17</v>
      </c>
      <c r="N1552" s="2">
        <f>Pharma_Sales_Data[[#This Row],[Total Drug Sales]]*150</f>
        <v>14125.5</v>
      </c>
      <c r="O1552" s="2">
        <f>Pharma_Sales_Data[[#This Row],[Total Revenue]]*0.3</f>
        <v>4237.6499999999996</v>
      </c>
      <c r="P1552" t="str">
        <f>IF(Pharma_Sales_Data[[#This Row],[Total Revenue]]&gt;20000,"High Value", IF(Pharma_Sales_Data[[#This Row],[Total Revenue]]&gt;=10000,"Medium Value","Low Value"))</f>
        <v>Medium Value</v>
      </c>
    </row>
    <row r="1553" spans="1:16" x14ac:dyDescent="0.35">
      <c r="A1553" s="1">
        <v>43192</v>
      </c>
      <c r="B1553">
        <v>5.66</v>
      </c>
      <c r="C1553">
        <v>4.3959999999999999</v>
      </c>
      <c r="D1553">
        <v>6.3</v>
      </c>
      <c r="E1553">
        <v>30</v>
      </c>
      <c r="F1553">
        <v>31</v>
      </c>
      <c r="G1553">
        <v>0</v>
      </c>
      <c r="H1553">
        <v>10</v>
      </c>
      <c r="I1553">
        <v>10</v>
      </c>
      <c r="J1553">
        <v>2018</v>
      </c>
      <c r="K1553">
        <v>4</v>
      </c>
      <c r="L1553" t="s">
        <v>15</v>
      </c>
      <c r="M1553">
        <f>SUM(Pharma_Sales_Data[[#This Row],[M01AB]:[R06]])</f>
        <v>97.355999999999995</v>
      </c>
      <c r="N1553" s="2">
        <f>Pharma_Sales_Data[[#This Row],[Total Drug Sales]]*150</f>
        <v>14603.4</v>
      </c>
      <c r="O1553" s="2">
        <f>Pharma_Sales_Data[[#This Row],[Total Revenue]]*0.3</f>
        <v>4381.0199999999995</v>
      </c>
      <c r="P1553" t="str">
        <f>IF(Pharma_Sales_Data[[#This Row],[Total Revenue]]&gt;20000,"High Value", IF(Pharma_Sales_Data[[#This Row],[Total Revenue]]&gt;=10000,"Medium Value","Low Value"))</f>
        <v>Medium Value</v>
      </c>
    </row>
    <row r="1554" spans="1:16" x14ac:dyDescent="0.35">
      <c r="A1554" s="1">
        <v>43193</v>
      </c>
      <c r="B1554">
        <v>1</v>
      </c>
      <c r="C1554">
        <v>2.5289999999999999</v>
      </c>
      <c r="D1554">
        <v>2</v>
      </c>
      <c r="E1554">
        <v>38</v>
      </c>
      <c r="F1554">
        <v>10</v>
      </c>
      <c r="G1554">
        <v>6</v>
      </c>
      <c r="H1554">
        <v>5</v>
      </c>
      <c r="I1554">
        <v>3.5</v>
      </c>
      <c r="J1554">
        <v>2018</v>
      </c>
      <c r="K1554">
        <v>4</v>
      </c>
      <c r="L1554" t="s">
        <v>16</v>
      </c>
      <c r="M1554">
        <f>SUM(Pharma_Sales_Data[[#This Row],[M01AB]:[R06]])</f>
        <v>68.028999999999996</v>
      </c>
      <c r="N1554" s="2">
        <f>Pharma_Sales_Data[[#This Row],[Total Drug Sales]]*150</f>
        <v>10204.349999999999</v>
      </c>
      <c r="O1554" s="2">
        <f>Pharma_Sales_Data[[#This Row],[Total Revenue]]*0.3</f>
        <v>3061.3049999999994</v>
      </c>
      <c r="P1554" t="str">
        <f>IF(Pharma_Sales_Data[[#This Row],[Total Revenue]]&gt;20000,"High Value", IF(Pharma_Sales_Data[[#This Row],[Total Revenue]]&gt;=10000,"Medium Value","Low Value"))</f>
        <v>Medium Value</v>
      </c>
    </row>
    <row r="1555" spans="1:16" x14ac:dyDescent="0.35">
      <c r="A1555" s="1">
        <v>43194</v>
      </c>
      <c r="B1555">
        <v>6.01</v>
      </c>
      <c r="C1555">
        <v>5.2</v>
      </c>
      <c r="D1555">
        <v>3</v>
      </c>
      <c r="E1555">
        <v>29</v>
      </c>
      <c r="F1555">
        <v>9</v>
      </c>
      <c r="G1555">
        <v>0</v>
      </c>
      <c r="H1555">
        <v>1</v>
      </c>
      <c r="I1555">
        <v>8</v>
      </c>
      <c r="J1555">
        <v>2018</v>
      </c>
      <c r="K1555">
        <v>4</v>
      </c>
      <c r="L1555" t="s">
        <v>17</v>
      </c>
      <c r="M1555">
        <f>SUM(Pharma_Sales_Data[[#This Row],[M01AB]:[R06]])</f>
        <v>61.21</v>
      </c>
      <c r="N1555" s="2">
        <f>Pharma_Sales_Data[[#This Row],[Total Drug Sales]]*150</f>
        <v>9181.5</v>
      </c>
      <c r="O1555" s="2">
        <f>Pharma_Sales_Data[[#This Row],[Total Revenue]]*0.3</f>
        <v>2754.45</v>
      </c>
      <c r="P1555" t="str">
        <f>IF(Pharma_Sales_Data[[#This Row],[Total Revenue]]&gt;20000,"High Value", IF(Pharma_Sales_Data[[#This Row],[Total Revenue]]&gt;=10000,"Medium Value","Low Value"))</f>
        <v>Low Value</v>
      </c>
    </row>
    <row r="1556" spans="1:16" x14ac:dyDescent="0.35">
      <c r="A1556" s="1">
        <v>43195</v>
      </c>
      <c r="B1556">
        <v>6.33</v>
      </c>
      <c r="C1556">
        <v>3.67</v>
      </c>
      <c r="D1556">
        <v>5.4</v>
      </c>
      <c r="E1556">
        <v>39</v>
      </c>
      <c r="F1556">
        <v>16</v>
      </c>
      <c r="G1556">
        <v>1</v>
      </c>
      <c r="H1556">
        <v>16</v>
      </c>
      <c r="I1556">
        <v>3</v>
      </c>
      <c r="J1556">
        <v>2018</v>
      </c>
      <c r="K1556">
        <v>4</v>
      </c>
      <c r="L1556" t="s">
        <v>11</v>
      </c>
      <c r="M1556">
        <f>SUM(Pharma_Sales_Data[[#This Row],[M01AB]:[R06]])</f>
        <v>90.4</v>
      </c>
      <c r="N1556" s="2">
        <f>Pharma_Sales_Data[[#This Row],[Total Drug Sales]]*150</f>
        <v>13560</v>
      </c>
      <c r="O1556" s="2">
        <f>Pharma_Sales_Data[[#This Row],[Total Revenue]]*0.3</f>
        <v>4068</v>
      </c>
      <c r="P1556" t="str">
        <f>IF(Pharma_Sales_Data[[#This Row],[Total Revenue]]&gt;20000,"High Value", IF(Pharma_Sales_Data[[#This Row],[Total Revenue]]&gt;=10000,"Medium Value","Low Value"))</f>
        <v>Medium Value</v>
      </c>
    </row>
    <row r="1557" spans="1:16" x14ac:dyDescent="0.35">
      <c r="A1557" s="1">
        <v>43196</v>
      </c>
      <c r="B1557">
        <v>3.67</v>
      </c>
      <c r="C1557">
        <v>3</v>
      </c>
      <c r="D1557">
        <v>4.2</v>
      </c>
      <c r="E1557">
        <v>33.524999999999999</v>
      </c>
      <c r="F1557">
        <v>13</v>
      </c>
      <c r="G1557">
        <v>0</v>
      </c>
      <c r="H1557">
        <v>23</v>
      </c>
      <c r="I1557">
        <v>5</v>
      </c>
      <c r="J1557">
        <v>2018</v>
      </c>
      <c r="K1557">
        <v>4</v>
      </c>
      <c r="L1557" t="s">
        <v>12</v>
      </c>
      <c r="M1557">
        <f>SUM(Pharma_Sales_Data[[#This Row],[M01AB]:[R06]])</f>
        <v>85.394999999999996</v>
      </c>
      <c r="N1557" s="2">
        <f>Pharma_Sales_Data[[#This Row],[Total Drug Sales]]*150</f>
        <v>12809.25</v>
      </c>
      <c r="O1557" s="2">
        <f>Pharma_Sales_Data[[#This Row],[Total Revenue]]*0.3</f>
        <v>3842.7749999999996</v>
      </c>
      <c r="P1557" t="str">
        <f>IF(Pharma_Sales_Data[[#This Row],[Total Revenue]]&gt;20000,"High Value", IF(Pharma_Sales_Data[[#This Row],[Total Revenue]]&gt;=10000,"Medium Value","Low Value"))</f>
        <v>Medium Value</v>
      </c>
    </row>
    <row r="1558" spans="1:16" x14ac:dyDescent="0.35">
      <c r="A1558" s="1">
        <v>43197</v>
      </c>
      <c r="B1558">
        <v>16.18</v>
      </c>
      <c r="C1558">
        <v>4.5060000000000002</v>
      </c>
      <c r="D1558">
        <v>2</v>
      </c>
      <c r="E1558">
        <v>40</v>
      </c>
      <c r="F1558">
        <v>4</v>
      </c>
      <c r="G1558">
        <v>0</v>
      </c>
      <c r="H1558">
        <v>5</v>
      </c>
      <c r="I1558">
        <v>7</v>
      </c>
      <c r="J1558">
        <v>2018</v>
      </c>
      <c r="K1558">
        <v>4</v>
      </c>
      <c r="L1558" t="s">
        <v>13</v>
      </c>
      <c r="M1558">
        <f>SUM(Pharma_Sales_Data[[#This Row],[M01AB]:[R06]])</f>
        <v>78.686000000000007</v>
      </c>
      <c r="N1558" s="2">
        <f>Pharma_Sales_Data[[#This Row],[Total Drug Sales]]*150</f>
        <v>11802.900000000001</v>
      </c>
      <c r="O1558" s="2">
        <f>Pharma_Sales_Data[[#This Row],[Total Revenue]]*0.3</f>
        <v>3540.8700000000003</v>
      </c>
      <c r="P1558" t="str">
        <f>IF(Pharma_Sales_Data[[#This Row],[Total Revenue]]&gt;20000,"High Value", IF(Pharma_Sales_Data[[#This Row],[Total Revenue]]&gt;=10000,"Medium Value","Low Value"))</f>
        <v>Medium Value</v>
      </c>
    </row>
    <row r="1559" spans="1:16" x14ac:dyDescent="0.35">
      <c r="A1559" s="1">
        <v>43198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2018</v>
      </c>
      <c r="K1559">
        <v>4</v>
      </c>
      <c r="L1559" t="s">
        <v>14</v>
      </c>
      <c r="M1559">
        <f>SUM(Pharma_Sales_Data[[#This Row],[M01AB]:[R06]])</f>
        <v>0</v>
      </c>
      <c r="N1559" s="2">
        <f>Pharma_Sales_Data[[#This Row],[Total Drug Sales]]*150</f>
        <v>0</v>
      </c>
      <c r="O1559" s="2">
        <f>Pharma_Sales_Data[[#This Row],[Total Revenue]]*0.3</f>
        <v>0</v>
      </c>
      <c r="P1559" t="str">
        <f>IF(Pharma_Sales_Data[[#This Row],[Total Revenue]]&gt;20000,"High Value", IF(Pharma_Sales_Data[[#This Row],[Total Revenue]]&gt;=10000,"Medium Value","Low Value"))</f>
        <v>Low Value</v>
      </c>
    </row>
    <row r="1560" spans="1:16" x14ac:dyDescent="0.35">
      <c r="A1560" s="1">
        <v>43199</v>
      </c>
      <c r="B1560">
        <v>5</v>
      </c>
      <c r="C1560">
        <v>3</v>
      </c>
      <c r="D1560">
        <v>6</v>
      </c>
      <c r="E1560">
        <v>25</v>
      </c>
      <c r="F1560">
        <v>6</v>
      </c>
      <c r="G1560">
        <v>0</v>
      </c>
      <c r="H1560">
        <v>10</v>
      </c>
      <c r="I1560">
        <v>6</v>
      </c>
      <c r="J1560">
        <v>2018</v>
      </c>
      <c r="K1560">
        <v>4</v>
      </c>
      <c r="L1560" t="s">
        <v>15</v>
      </c>
      <c r="M1560">
        <f>SUM(Pharma_Sales_Data[[#This Row],[M01AB]:[R06]])</f>
        <v>61</v>
      </c>
      <c r="N1560" s="2">
        <f>Pharma_Sales_Data[[#This Row],[Total Drug Sales]]*150</f>
        <v>9150</v>
      </c>
      <c r="O1560" s="2">
        <f>Pharma_Sales_Data[[#This Row],[Total Revenue]]*0.3</f>
        <v>2745</v>
      </c>
      <c r="P1560" t="str">
        <f>IF(Pharma_Sales_Data[[#This Row],[Total Revenue]]&gt;20000,"High Value", IF(Pharma_Sales_Data[[#This Row],[Total Revenue]]&gt;=10000,"Medium Value","Low Value"))</f>
        <v>Low Value</v>
      </c>
    </row>
    <row r="1561" spans="1:16" x14ac:dyDescent="0.35">
      <c r="A1561" s="1">
        <v>43200</v>
      </c>
      <c r="B1561">
        <v>2</v>
      </c>
      <c r="C1561">
        <v>3.0670000000000002</v>
      </c>
      <c r="D1561">
        <v>2</v>
      </c>
      <c r="E1561">
        <v>38.299999999999997</v>
      </c>
      <c r="F1561">
        <v>18</v>
      </c>
      <c r="G1561">
        <v>3</v>
      </c>
      <c r="H1561">
        <v>7</v>
      </c>
      <c r="I1561">
        <v>10</v>
      </c>
      <c r="J1561">
        <v>2018</v>
      </c>
      <c r="K1561">
        <v>4</v>
      </c>
      <c r="L1561" t="s">
        <v>16</v>
      </c>
      <c r="M1561">
        <f>SUM(Pharma_Sales_Data[[#This Row],[M01AB]:[R06]])</f>
        <v>83.36699999999999</v>
      </c>
      <c r="N1561" s="2">
        <f>Pharma_Sales_Data[[#This Row],[Total Drug Sales]]*150</f>
        <v>12505.05</v>
      </c>
      <c r="O1561" s="2">
        <f>Pharma_Sales_Data[[#This Row],[Total Revenue]]*0.3</f>
        <v>3751.5149999999994</v>
      </c>
      <c r="P1561" t="str">
        <f>IF(Pharma_Sales_Data[[#This Row],[Total Revenue]]&gt;20000,"High Value", IF(Pharma_Sales_Data[[#This Row],[Total Revenue]]&gt;=10000,"Medium Value","Low Value"))</f>
        <v>Medium Value</v>
      </c>
    </row>
    <row r="1562" spans="1:16" x14ac:dyDescent="0.35">
      <c r="A1562" s="1">
        <v>43201</v>
      </c>
      <c r="B1562">
        <v>6.67</v>
      </c>
      <c r="C1562">
        <v>3.01</v>
      </c>
      <c r="D1562">
        <v>2</v>
      </c>
      <c r="E1562">
        <v>28</v>
      </c>
      <c r="F1562">
        <v>12</v>
      </c>
      <c r="G1562">
        <v>0</v>
      </c>
      <c r="H1562">
        <v>3</v>
      </c>
      <c r="I1562">
        <v>11</v>
      </c>
      <c r="J1562">
        <v>2018</v>
      </c>
      <c r="K1562">
        <v>4</v>
      </c>
      <c r="L1562" t="s">
        <v>17</v>
      </c>
      <c r="M1562">
        <f>SUM(Pharma_Sales_Data[[#This Row],[M01AB]:[R06]])</f>
        <v>65.680000000000007</v>
      </c>
      <c r="N1562" s="2">
        <f>Pharma_Sales_Data[[#This Row],[Total Drug Sales]]*150</f>
        <v>9852.0000000000018</v>
      </c>
      <c r="O1562" s="2">
        <f>Pharma_Sales_Data[[#This Row],[Total Revenue]]*0.3</f>
        <v>2955.6000000000004</v>
      </c>
      <c r="P1562" t="str">
        <f>IF(Pharma_Sales_Data[[#This Row],[Total Revenue]]&gt;20000,"High Value", IF(Pharma_Sales_Data[[#This Row],[Total Revenue]]&gt;=10000,"Medium Value","Low Value"))</f>
        <v>Low Value</v>
      </c>
    </row>
    <row r="1563" spans="1:16" x14ac:dyDescent="0.35">
      <c r="A1563" s="1">
        <v>43202</v>
      </c>
      <c r="B1563">
        <v>5</v>
      </c>
      <c r="C1563">
        <v>4.7590000000000003</v>
      </c>
      <c r="D1563">
        <v>3.5</v>
      </c>
      <c r="E1563">
        <v>17.399999999999999</v>
      </c>
      <c r="F1563">
        <v>9</v>
      </c>
      <c r="G1563">
        <v>0</v>
      </c>
      <c r="H1563">
        <v>6</v>
      </c>
      <c r="I1563">
        <v>4.5</v>
      </c>
      <c r="J1563">
        <v>2018</v>
      </c>
      <c r="K1563">
        <v>4</v>
      </c>
      <c r="L1563" t="s">
        <v>11</v>
      </c>
      <c r="M1563">
        <f>SUM(Pharma_Sales_Data[[#This Row],[M01AB]:[R06]])</f>
        <v>50.158999999999999</v>
      </c>
      <c r="N1563" s="2">
        <f>Pharma_Sales_Data[[#This Row],[Total Drug Sales]]*150</f>
        <v>7523.8499999999995</v>
      </c>
      <c r="O1563" s="2">
        <f>Pharma_Sales_Data[[#This Row],[Total Revenue]]*0.3</f>
        <v>2257.1549999999997</v>
      </c>
      <c r="P1563" t="str">
        <f>IF(Pharma_Sales_Data[[#This Row],[Total Revenue]]&gt;20000,"High Value", IF(Pharma_Sales_Data[[#This Row],[Total Revenue]]&gt;=10000,"Medium Value","Low Value"))</f>
        <v>Low Value</v>
      </c>
    </row>
    <row r="1564" spans="1:16" x14ac:dyDescent="0.35">
      <c r="A1564" s="1">
        <v>43203</v>
      </c>
      <c r="B1564">
        <v>4.5</v>
      </c>
      <c r="C1564">
        <v>2.0329999999999999</v>
      </c>
      <c r="D1564">
        <v>5</v>
      </c>
      <c r="E1564">
        <v>23</v>
      </c>
      <c r="F1564">
        <v>12</v>
      </c>
      <c r="G1564">
        <v>0</v>
      </c>
      <c r="H1564">
        <v>23</v>
      </c>
      <c r="I1564">
        <v>4</v>
      </c>
      <c r="J1564">
        <v>2018</v>
      </c>
      <c r="K1564">
        <v>4</v>
      </c>
      <c r="L1564" t="s">
        <v>12</v>
      </c>
      <c r="M1564">
        <f>SUM(Pharma_Sales_Data[[#This Row],[M01AB]:[R06]])</f>
        <v>73.533000000000001</v>
      </c>
      <c r="N1564" s="2">
        <f>Pharma_Sales_Data[[#This Row],[Total Drug Sales]]*150</f>
        <v>11029.95</v>
      </c>
      <c r="O1564" s="2">
        <f>Pharma_Sales_Data[[#This Row],[Total Revenue]]*0.3</f>
        <v>3308.9850000000001</v>
      </c>
      <c r="P1564" t="str">
        <f>IF(Pharma_Sales_Data[[#This Row],[Total Revenue]]&gt;20000,"High Value", IF(Pharma_Sales_Data[[#This Row],[Total Revenue]]&gt;=10000,"Medium Value","Low Value"))</f>
        <v>Medium Value</v>
      </c>
    </row>
    <row r="1565" spans="1:16" x14ac:dyDescent="0.35">
      <c r="A1565" s="1">
        <v>43204</v>
      </c>
      <c r="B1565">
        <v>8</v>
      </c>
      <c r="C1565">
        <v>3.68</v>
      </c>
      <c r="D1565">
        <v>2</v>
      </c>
      <c r="E1565">
        <v>24</v>
      </c>
      <c r="F1565">
        <v>2</v>
      </c>
      <c r="G1565">
        <v>0</v>
      </c>
      <c r="H1565">
        <v>3</v>
      </c>
      <c r="I1565">
        <v>12</v>
      </c>
      <c r="J1565">
        <v>2018</v>
      </c>
      <c r="K1565">
        <v>4</v>
      </c>
      <c r="L1565" t="s">
        <v>13</v>
      </c>
      <c r="M1565">
        <f>SUM(Pharma_Sales_Data[[#This Row],[M01AB]:[R06]])</f>
        <v>54.68</v>
      </c>
      <c r="N1565" s="2">
        <f>Pharma_Sales_Data[[#This Row],[Total Drug Sales]]*150</f>
        <v>8202</v>
      </c>
      <c r="O1565" s="2">
        <f>Pharma_Sales_Data[[#This Row],[Total Revenue]]*0.3</f>
        <v>2460.6</v>
      </c>
      <c r="P1565" t="str">
        <f>IF(Pharma_Sales_Data[[#This Row],[Total Revenue]]&gt;20000,"High Value", IF(Pharma_Sales_Data[[#This Row],[Total Revenue]]&gt;=10000,"Medium Value","Low Value"))</f>
        <v>Low Value</v>
      </c>
    </row>
    <row r="1566" spans="1:16" x14ac:dyDescent="0.35">
      <c r="A1566" s="1">
        <v>43205</v>
      </c>
      <c r="B1566">
        <v>7.66</v>
      </c>
      <c r="C1566">
        <v>2.7589999999999999</v>
      </c>
      <c r="D1566">
        <v>3</v>
      </c>
      <c r="E1566">
        <v>20</v>
      </c>
      <c r="F1566">
        <v>5</v>
      </c>
      <c r="G1566">
        <v>0</v>
      </c>
      <c r="H1566">
        <v>0</v>
      </c>
      <c r="I1566">
        <v>6</v>
      </c>
      <c r="J1566">
        <v>2018</v>
      </c>
      <c r="K1566">
        <v>4</v>
      </c>
      <c r="L1566" t="s">
        <v>14</v>
      </c>
      <c r="M1566">
        <f>SUM(Pharma_Sales_Data[[#This Row],[M01AB]:[R06]])</f>
        <v>44.418999999999997</v>
      </c>
      <c r="N1566" s="2">
        <f>Pharma_Sales_Data[[#This Row],[Total Drug Sales]]*150</f>
        <v>6662.8499999999995</v>
      </c>
      <c r="O1566" s="2">
        <f>Pharma_Sales_Data[[#This Row],[Total Revenue]]*0.3</f>
        <v>1998.8549999999998</v>
      </c>
      <c r="P1566" t="str">
        <f>IF(Pharma_Sales_Data[[#This Row],[Total Revenue]]&gt;20000,"High Value", IF(Pharma_Sales_Data[[#This Row],[Total Revenue]]&gt;=10000,"Medium Value","Low Value"))</f>
        <v>Low Value</v>
      </c>
    </row>
    <row r="1567" spans="1:16" x14ac:dyDescent="0.35">
      <c r="A1567" s="1">
        <v>43206</v>
      </c>
      <c r="B1567">
        <v>2</v>
      </c>
      <c r="C1567">
        <v>6.02</v>
      </c>
      <c r="D1567">
        <v>0.25</v>
      </c>
      <c r="E1567">
        <v>40.5</v>
      </c>
      <c r="F1567">
        <v>9</v>
      </c>
      <c r="G1567">
        <v>0</v>
      </c>
      <c r="H1567">
        <v>4</v>
      </c>
      <c r="I1567">
        <v>3</v>
      </c>
      <c r="J1567">
        <v>2018</v>
      </c>
      <c r="K1567">
        <v>4</v>
      </c>
      <c r="L1567" t="s">
        <v>15</v>
      </c>
      <c r="M1567">
        <f>SUM(Pharma_Sales_Data[[#This Row],[M01AB]:[R06]])</f>
        <v>64.77</v>
      </c>
      <c r="N1567" s="2">
        <f>Pharma_Sales_Data[[#This Row],[Total Drug Sales]]*150</f>
        <v>9715.5</v>
      </c>
      <c r="O1567" s="2">
        <f>Pharma_Sales_Data[[#This Row],[Total Revenue]]*0.3</f>
        <v>2914.65</v>
      </c>
      <c r="P1567" t="str">
        <f>IF(Pharma_Sales_Data[[#This Row],[Total Revenue]]&gt;20000,"High Value", IF(Pharma_Sales_Data[[#This Row],[Total Revenue]]&gt;=10000,"Medium Value","Low Value"))</f>
        <v>Low Value</v>
      </c>
    </row>
    <row r="1568" spans="1:16" x14ac:dyDescent="0.35">
      <c r="A1568" s="1">
        <v>43207</v>
      </c>
      <c r="B1568">
        <v>3.34</v>
      </c>
      <c r="C1568">
        <v>1.4059999999999999</v>
      </c>
      <c r="D1568">
        <v>0.15</v>
      </c>
      <c r="E1568">
        <v>16</v>
      </c>
      <c r="F1568">
        <v>10</v>
      </c>
      <c r="G1568">
        <v>0</v>
      </c>
      <c r="H1568">
        <v>6</v>
      </c>
      <c r="I1568">
        <v>6</v>
      </c>
      <c r="J1568">
        <v>2018</v>
      </c>
      <c r="K1568">
        <v>4</v>
      </c>
      <c r="L1568" t="s">
        <v>16</v>
      </c>
      <c r="M1568">
        <f>SUM(Pharma_Sales_Data[[#This Row],[M01AB]:[R06]])</f>
        <v>42.896000000000001</v>
      </c>
      <c r="N1568" s="2">
        <f>Pharma_Sales_Data[[#This Row],[Total Drug Sales]]*150</f>
        <v>6434.4000000000005</v>
      </c>
      <c r="O1568" s="2">
        <f>Pharma_Sales_Data[[#This Row],[Total Revenue]]*0.3</f>
        <v>1930.3200000000002</v>
      </c>
      <c r="P1568" t="str">
        <f>IF(Pharma_Sales_Data[[#This Row],[Total Revenue]]&gt;20000,"High Value", IF(Pharma_Sales_Data[[#This Row],[Total Revenue]]&gt;=10000,"Medium Value","Low Value"))</f>
        <v>Low Value</v>
      </c>
    </row>
    <row r="1569" spans="1:16" x14ac:dyDescent="0.35">
      <c r="A1569" s="1">
        <v>43208</v>
      </c>
      <c r="B1569">
        <v>5</v>
      </c>
      <c r="C1569">
        <v>0.54</v>
      </c>
      <c r="D1569">
        <v>3.25</v>
      </c>
      <c r="E1569">
        <v>25.25</v>
      </c>
      <c r="F1569">
        <v>5</v>
      </c>
      <c r="G1569">
        <v>0</v>
      </c>
      <c r="H1569">
        <v>7</v>
      </c>
      <c r="I1569">
        <v>1</v>
      </c>
      <c r="J1569">
        <v>2018</v>
      </c>
      <c r="K1569">
        <v>4</v>
      </c>
      <c r="L1569" t="s">
        <v>17</v>
      </c>
      <c r="M1569">
        <f>SUM(Pharma_Sales_Data[[#This Row],[M01AB]:[R06]])</f>
        <v>47.04</v>
      </c>
      <c r="N1569" s="2">
        <f>Pharma_Sales_Data[[#This Row],[Total Drug Sales]]*150</f>
        <v>7056</v>
      </c>
      <c r="O1569" s="2">
        <f>Pharma_Sales_Data[[#This Row],[Total Revenue]]*0.3</f>
        <v>2116.7999999999997</v>
      </c>
      <c r="P1569" t="str">
        <f>IF(Pharma_Sales_Data[[#This Row],[Total Revenue]]&gt;20000,"High Value", IF(Pharma_Sales_Data[[#This Row],[Total Revenue]]&gt;=10000,"Medium Value","Low Value"))</f>
        <v>Low Value</v>
      </c>
    </row>
    <row r="1570" spans="1:16" x14ac:dyDescent="0.35">
      <c r="A1570" s="1">
        <v>43209</v>
      </c>
      <c r="B1570">
        <v>5</v>
      </c>
      <c r="C1570">
        <v>5.67</v>
      </c>
      <c r="D1570">
        <v>1</v>
      </c>
      <c r="E1570">
        <v>31.375</v>
      </c>
      <c r="F1570">
        <v>3</v>
      </c>
      <c r="G1570">
        <v>0</v>
      </c>
      <c r="H1570">
        <v>1</v>
      </c>
      <c r="I1570">
        <v>7</v>
      </c>
      <c r="J1570">
        <v>2018</v>
      </c>
      <c r="K1570">
        <v>4</v>
      </c>
      <c r="L1570" t="s">
        <v>11</v>
      </c>
      <c r="M1570">
        <f>SUM(Pharma_Sales_Data[[#This Row],[M01AB]:[R06]])</f>
        <v>54.045000000000002</v>
      </c>
      <c r="N1570" s="2">
        <f>Pharma_Sales_Data[[#This Row],[Total Drug Sales]]*150</f>
        <v>8106.75</v>
      </c>
      <c r="O1570" s="2">
        <f>Pharma_Sales_Data[[#This Row],[Total Revenue]]*0.3</f>
        <v>2432.0250000000001</v>
      </c>
      <c r="P1570" t="str">
        <f>IF(Pharma_Sales_Data[[#This Row],[Total Revenue]]&gt;20000,"High Value", IF(Pharma_Sales_Data[[#This Row],[Total Revenue]]&gt;=10000,"Medium Value","Low Value"))</f>
        <v>Low Value</v>
      </c>
    </row>
    <row r="1571" spans="1:16" x14ac:dyDescent="0.35">
      <c r="A1571" s="1">
        <v>43210</v>
      </c>
      <c r="B1571">
        <v>5</v>
      </c>
      <c r="C1571">
        <v>4.5060000000000002</v>
      </c>
      <c r="D1571">
        <v>0</v>
      </c>
      <c r="E1571">
        <v>15</v>
      </c>
      <c r="F1571">
        <v>10</v>
      </c>
      <c r="G1571">
        <v>0</v>
      </c>
      <c r="H1571">
        <v>6</v>
      </c>
      <c r="I1571">
        <v>9</v>
      </c>
      <c r="J1571">
        <v>2018</v>
      </c>
      <c r="K1571">
        <v>4</v>
      </c>
      <c r="L1571" t="s">
        <v>12</v>
      </c>
      <c r="M1571">
        <f>SUM(Pharma_Sales_Data[[#This Row],[M01AB]:[R06]])</f>
        <v>49.506</v>
      </c>
      <c r="N1571" s="2">
        <f>Pharma_Sales_Data[[#This Row],[Total Drug Sales]]*150</f>
        <v>7425.9</v>
      </c>
      <c r="O1571" s="2">
        <f>Pharma_Sales_Data[[#This Row],[Total Revenue]]*0.3</f>
        <v>2227.77</v>
      </c>
      <c r="P1571" t="str">
        <f>IF(Pharma_Sales_Data[[#This Row],[Total Revenue]]&gt;20000,"High Value", IF(Pharma_Sales_Data[[#This Row],[Total Revenue]]&gt;=10000,"Medium Value","Low Value"))</f>
        <v>Low Value</v>
      </c>
    </row>
    <row r="1572" spans="1:16" x14ac:dyDescent="0.35">
      <c r="A1572" s="1">
        <v>43211</v>
      </c>
      <c r="B1572">
        <v>3.5</v>
      </c>
      <c r="C1572">
        <v>3.4390000000000001</v>
      </c>
      <c r="D1572">
        <v>2</v>
      </c>
      <c r="E1572">
        <v>40.4</v>
      </c>
      <c r="F1572">
        <v>7</v>
      </c>
      <c r="G1572">
        <v>0</v>
      </c>
      <c r="H1572">
        <v>4</v>
      </c>
      <c r="I1572">
        <v>6.2</v>
      </c>
      <c r="J1572">
        <v>2018</v>
      </c>
      <c r="K1572">
        <v>4</v>
      </c>
      <c r="L1572" t="s">
        <v>13</v>
      </c>
      <c r="M1572">
        <f>SUM(Pharma_Sales_Data[[#This Row],[M01AB]:[R06]])</f>
        <v>66.539000000000001</v>
      </c>
      <c r="N1572" s="2">
        <f>Pharma_Sales_Data[[#This Row],[Total Drug Sales]]*150</f>
        <v>9980.85</v>
      </c>
      <c r="O1572" s="2">
        <f>Pharma_Sales_Data[[#This Row],[Total Revenue]]*0.3</f>
        <v>2994.2550000000001</v>
      </c>
      <c r="P1572" t="str">
        <f>IF(Pharma_Sales_Data[[#This Row],[Total Revenue]]&gt;20000,"High Value", IF(Pharma_Sales_Data[[#This Row],[Total Revenue]]&gt;=10000,"Medium Value","Low Value"))</f>
        <v>Low Value</v>
      </c>
    </row>
    <row r="1573" spans="1:16" x14ac:dyDescent="0.35">
      <c r="A1573" s="1">
        <v>43212</v>
      </c>
      <c r="B1573">
        <v>6</v>
      </c>
      <c r="C1573">
        <v>5.09</v>
      </c>
      <c r="D1573">
        <v>3.5</v>
      </c>
      <c r="E1573">
        <v>42.5</v>
      </c>
      <c r="F1573">
        <v>7</v>
      </c>
      <c r="G1573">
        <v>0</v>
      </c>
      <c r="H1573">
        <v>0</v>
      </c>
      <c r="I1573">
        <v>6.5</v>
      </c>
      <c r="J1573">
        <v>2018</v>
      </c>
      <c r="K1573">
        <v>4</v>
      </c>
      <c r="L1573" t="s">
        <v>14</v>
      </c>
      <c r="M1573">
        <f>SUM(Pharma_Sales_Data[[#This Row],[M01AB]:[R06]])</f>
        <v>70.59</v>
      </c>
      <c r="N1573" s="2">
        <f>Pharma_Sales_Data[[#This Row],[Total Drug Sales]]*150</f>
        <v>10588.5</v>
      </c>
      <c r="O1573" s="2">
        <f>Pharma_Sales_Data[[#This Row],[Total Revenue]]*0.3</f>
        <v>3176.5499999999997</v>
      </c>
      <c r="P1573" t="str">
        <f>IF(Pharma_Sales_Data[[#This Row],[Total Revenue]]&gt;20000,"High Value", IF(Pharma_Sales_Data[[#This Row],[Total Revenue]]&gt;=10000,"Medium Value","Low Value"))</f>
        <v>Medium Value</v>
      </c>
    </row>
    <row r="1574" spans="1:16" x14ac:dyDescent="0.35">
      <c r="A1574" s="1">
        <v>43213</v>
      </c>
      <c r="B1574">
        <v>7</v>
      </c>
      <c r="C1574">
        <v>0.69299999999999995</v>
      </c>
      <c r="D1574">
        <v>1</v>
      </c>
      <c r="E1574">
        <v>15.561999999999999</v>
      </c>
      <c r="F1574">
        <v>7</v>
      </c>
      <c r="G1574">
        <v>0</v>
      </c>
      <c r="H1574">
        <v>2</v>
      </c>
      <c r="I1574">
        <v>9</v>
      </c>
      <c r="J1574">
        <v>2018</v>
      </c>
      <c r="K1574">
        <v>4</v>
      </c>
      <c r="L1574" t="s">
        <v>15</v>
      </c>
      <c r="M1574">
        <f>SUM(Pharma_Sales_Data[[#This Row],[M01AB]:[R06]])</f>
        <v>42.254999999999995</v>
      </c>
      <c r="N1574" s="2">
        <f>Pharma_Sales_Data[[#This Row],[Total Drug Sales]]*150</f>
        <v>6338.2499999999991</v>
      </c>
      <c r="O1574" s="2">
        <f>Pharma_Sales_Data[[#This Row],[Total Revenue]]*0.3</f>
        <v>1901.4749999999997</v>
      </c>
      <c r="P1574" t="str">
        <f>IF(Pharma_Sales_Data[[#This Row],[Total Revenue]]&gt;20000,"High Value", IF(Pharma_Sales_Data[[#This Row],[Total Revenue]]&gt;=10000,"Medium Value","Low Value"))</f>
        <v>Low Value</v>
      </c>
    </row>
    <row r="1575" spans="1:16" x14ac:dyDescent="0.35">
      <c r="A1575" s="1">
        <v>43214</v>
      </c>
      <c r="B1575">
        <v>6</v>
      </c>
      <c r="C1575">
        <v>4.4619999999999997</v>
      </c>
      <c r="D1575">
        <v>6</v>
      </c>
      <c r="E1575">
        <v>20</v>
      </c>
      <c r="F1575">
        <v>9</v>
      </c>
      <c r="G1575">
        <v>0</v>
      </c>
      <c r="H1575">
        <v>1</v>
      </c>
      <c r="I1575">
        <v>12</v>
      </c>
      <c r="J1575">
        <v>2018</v>
      </c>
      <c r="K1575">
        <v>4</v>
      </c>
      <c r="L1575" t="s">
        <v>16</v>
      </c>
      <c r="M1575">
        <f>SUM(Pharma_Sales_Data[[#This Row],[M01AB]:[R06]])</f>
        <v>58.462000000000003</v>
      </c>
      <c r="N1575" s="2">
        <f>Pharma_Sales_Data[[#This Row],[Total Drug Sales]]*150</f>
        <v>8769.3000000000011</v>
      </c>
      <c r="O1575" s="2">
        <f>Pharma_Sales_Data[[#This Row],[Total Revenue]]*0.3</f>
        <v>2630.7900000000004</v>
      </c>
      <c r="P1575" t="str">
        <f>IF(Pharma_Sales_Data[[#This Row],[Total Revenue]]&gt;20000,"High Value", IF(Pharma_Sales_Data[[#This Row],[Total Revenue]]&gt;=10000,"Medium Value","Low Value"))</f>
        <v>Low Value</v>
      </c>
    </row>
    <row r="1576" spans="1:16" x14ac:dyDescent="0.35">
      <c r="A1576" s="1">
        <v>43215</v>
      </c>
      <c r="B1576">
        <v>9</v>
      </c>
      <c r="C1576">
        <v>7.66</v>
      </c>
      <c r="D1576">
        <v>5</v>
      </c>
      <c r="E1576">
        <v>18.100000000000001</v>
      </c>
      <c r="F1576">
        <v>8</v>
      </c>
      <c r="G1576">
        <v>2</v>
      </c>
      <c r="H1576">
        <v>30</v>
      </c>
      <c r="I1576">
        <v>9</v>
      </c>
      <c r="J1576">
        <v>2018</v>
      </c>
      <c r="K1576">
        <v>4</v>
      </c>
      <c r="L1576" t="s">
        <v>17</v>
      </c>
      <c r="M1576">
        <f>SUM(Pharma_Sales_Data[[#This Row],[M01AB]:[R06]])</f>
        <v>88.76</v>
      </c>
      <c r="N1576" s="2">
        <f>Pharma_Sales_Data[[#This Row],[Total Drug Sales]]*150</f>
        <v>13314</v>
      </c>
      <c r="O1576" s="2">
        <f>Pharma_Sales_Data[[#This Row],[Total Revenue]]*0.3</f>
        <v>3994.2</v>
      </c>
      <c r="P1576" t="str">
        <f>IF(Pharma_Sales_Data[[#This Row],[Total Revenue]]&gt;20000,"High Value", IF(Pharma_Sales_Data[[#This Row],[Total Revenue]]&gt;=10000,"Medium Value","Low Value"))</f>
        <v>Medium Value</v>
      </c>
    </row>
    <row r="1577" spans="1:16" x14ac:dyDescent="0.35">
      <c r="A1577" s="1">
        <v>43216</v>
      </c>
      <c r="B1577">
        <v>5.33</v>
      </c>
      <c r="C1577">
        <v>1.099</v>
      </c>
      <c r="D1577">
        <v>2</v>
      </c>
      <c r="E1577">
        <v>18</v>
      </c>
      <c r="F1577">
        <v>8</v>
      </c>
      <c r="G1577">
        <v>0</v>
      </c>
      <c r="H1577">
        <v>7</v>
      </c>
      <c r="I1577">
        <v>5</v>
      </c>
      <c r="J1577">
        <v>2018</v>
      </c>
      <c r="K1577">
        <v>4</v>
      </c>
      <c r="L1577" t="s">
        <v>11</v>
      </c>
      <c r="M1577">
        <f>SUM(Pharma_Sales_Data[[#This Row],[M01AB]:[R06]])</f>
        <v>46.429000000000002</v>
      </c>
      <c r="N1577" s="2">
        <f>Pharma_Sales_Data[[#This Row],[Total Drug Sales]]*150</f>
        <v>6964.35</v>
      </c>
      <c r="O1577" s="2">
        <f>Pharma_Sales_Data[[#This Row],[Total Revenue]]*0.3</f>
        <v>2089.3049999999998</v>
      </c>
      <c r="P1577" t="str">
        <f>IF(Pharma_Sales_Data[[#This Row],[Total Revenue]]&gt;20000,"High Value", IF(Pharma_Sales_Data[[#This Row],[Total Revenue]]&gt;=10000,"Medium Value","Low Value"))</f>
        <v>Low Value</v>
      </c>
    </row>
    <row r="1578" spans="1:16" x14ac:dyDescent="0.35">
      <c r="A1578" s="1">
        <v>43217</v>
      </c>
      <c r="B1578">
        <v>6.68</v>
      </c>
      <c r="C1578">
        <v>3.5289999999999999</v>
      </c>
      <c r="D1578">
        <v>3</v>
      </c>
      <c r="E1578">
        <v>43</v>
      </c>
      <c r="F1578">
        <v>12</v>
      </c>
      <c r="G1578">
        <v>0</v>
      </c>
      <c r="H1578">
        <v>6</v>
      </c>
      <c r="I1578">
        <v>4</v>
      </c>
      <c r="J1578">
        <v>2018</v>
      </c>
      <c r="K1578">
        <v>4</v>
      </c>
      <c r="L1578" t="s">
        <v>12</v>
      </c>
      <c r="M1578">
        <f>SUM(Pharma_Sales_Data[[#This Row],[M01AB]:[R06]])</f>
        <v>78.209000000000003</v>
      </c>
      <c r="N1578" s="2">
        <f>Pharma_Sales_Data[[#This Row],[Total Drug Sales]]*150</f>
        <v>11731.35</v>
      </c>
      <c r="O1578" s="2">
        <f>Pharma_Sales_Data[[#This Row],[Total Revenue]]*0.3</f>
        <v>3519.4050000000002</v>
      </c>
      <c r="P1578" t="str">
        <f>IF(Pharma_Sales_Data[[#This Row],[Total Revenue]]&gt;20000,"High Value", IF(Pharma_Sales_Data[[#This Row],[Total Revenue]]&gt;=10000,"Medium Value","Low Value"))</f>
        <v>Medium Value</v>
      </c>
    </row>
    <row r="1579" spans="1:16" x14ac:dyDescent="0.35">
      <c r="A1579" s="1">
        <v>43218</v>
      </c>
      <c r="B1579">
        <v>9.33</v>
      </c>
      <c r="C1579">
        <v>2</v>
      </c>
      <c r="D1579">
        <v>2.0499999999999998</v>
      </c>
      <c r="E1579">
        <v>27.25</v>
      </c>
      <c r="F1579">
        <v>11</v>
      </c>
      <c r="G1579">
        <v>1</v>
      </c>
      <c r="H1579">
        <v>6</v>
      </c>
      <c r="I1579">
        <v>7</v>
      </c>
      <c r="J1579">
        <v>2018</v>
      </c>
      <c r="K1579">
        <v>4</v>
      </c>
      <c r="L1579" t="s">
        <v>13</v>
      </c>
      <c r="M1579">
        <f>SUM(Pharma_Sales_Data[[#This Row],[M01AB]:[R06]])</f>
        <v>65.63</v>
      </c>
      <c r="N1579" s="2">
        <f>Pharma_Sales_Data[[#This Row],[Total Drug Sales]]*150</f>
        <v>9844.5</v>
      </c>
      <c r="O1579" s="2">
        <f>Pharma_Sales_Data[[#This Row],[Total Revenue]]*0.3</f>
        <v>2953.35</v>
      </c>
      <c r="P1579" t="str">
        <f>IF(Pharma_Sales_Data[[#This Row],[Total Revenue]]&gt;20000,"High Value", IF(Pharma_Sales_Data[[#This Row],[Total Revenue]]&gt;=10000,"Medium Value","Low Value"))</f>
        <v>Low Value</v>
      </c>
    </row>
    <row r="1580" spans="1:16" x14ac:dyDescent="0.35">
      <c r="A1580" s="1">
        <v>43219</v>
      </c>
      <c r="B1580">
        <v>7.33</v>
      </c>
      <c r="C1580">
        <v>6</v>
      </c>
      <c r="D1580">
        <v>6</v>
      </c>
      <c r="E1580">
        <v>14</v>
      </c>
      <c r="F1580">
        <v>5</v>
      </c>
      <c r="G1580">
        <v>0</v>
      </c>
      <c r="H1580">
        <v>14</v>
      </c>
      <c r="I1580">
        <v>10.4</v>
      </c>
      <c r="J1580">
        <v>2018</v>
      </c>
      <c r="K1580">
        <v>4</v>
      </c>
      <c r="L1580" t="s">
        <v>14</v>
      </c>
      <c r="M1580">
        <f>SUM(Pharma_Sales_Data[[#This Row],[M01AB]:[R06]])</f>
        <v>62.73</v>
      </c>
      <c r="N1580" s="2">
        <f>Pharma_Sales_Data[[#This Row],[Total Drug Sales]]*150</f>
        <v>9409.5</v>
      </c>
      <c r="O1580" s="2">
        <f>Pharma_Sales_Data[[#This Row],[Total Revenue]]*0.3</f>
        <v>2822.85</v>
      </c>
      <c r="P1580" t="str">
        <f>IF(Pharma_Sales_Data[[#This Row],[Total Revenue]]&gt;20000,"High Value", IF(Pharma_Sales_Data[[#This Row],[Total Revenue]]&gt;=10000,"Medium Value","Low Value"))</f>
        <v>Low Value</v>
      </c>
    </row>
    <row r="1581" spans="1:16" x14ac:dyDescent="0.35">
      <c r="A1581" s="1">
        <v>43220</v>
      </c>
      <c r="B1581">
        <v>5</v>
      </c>
      <c r="C1581">
        <v>6.66</v>
      </c>
      <c r="D1581">
        <v>3</v>
      </c>
      <c r="E1581">
        <v>14.125</v>
      </c>
      <c r="F1581">
        <v>12</v>
      </c>
      <c r="G1581">
        <v>0</v>
      </c>
      <c r="H1581">
        <v>1</v>
      </c>
      <c r="I1581">
        <v>7</v>
      </c>
      <c r="J1581">
        <v>2018</v>
      </c>
      <c r="K1581">
        <v>4</v>
      </c>
      <c r="L1581" t="s">
        <v>15</v>
      </c>
      <c r="M1581">
        <f>SUM(Pharma_Sales_Data[[#This Row],[M01AB]:[R06]])</f>
        <v>48.784999999999997</v>
      </c>
      <c r="N1581" s="2">
        <f>Pharma_Sales_Data[[#This Row],[Total Drug Sales]]*150</f>
        <v>7317.7499999999991</v>
      </c>
      <c r="O1581" s="2">
        <f>Pharma_Sales_Data[[#This Row],[Total Revenue]]*0.3</f>
        <v>2195.3249999999998</v>
      </c>
      <c r="P1581" t="str">
        <f>IF(Pharma_Sales_Data[[#This Row],[Total Revenue]]&gt;20000,"High Value", IF(Pharma_Sales_Data[[#This Row],[Total Revenue]]&gt;=10000,"Medium Value","Low Value"))</f>
        <v>Low Value</v>
      </c>
    </row>
    <row r="1582" spans="1:16" x14ac:dyDescent="0.35">
      <c r="A1582" s="1">
        <v>43221</v>
      </c>
      <c r="B1582">
        <v>2.34</v>
      </c>
      <c r="C1582">
        <v>0</v>
      </c>
      <c r="D1582">
        <v>1</v>
      </c>
      <c r="E1582">
        <v>6.2</v>
      </c>
      <c r="F1582">
        <v>0</v>
      </c>
      <c r="G1582">
        <v>0</v>
      </c>
      <c r="H1582">
        <v>1</v>
      </c>
      <c r="I1582">
        <v>8</v>
      </c>
      <c r="J1582">
        <v>2018</v>
      </c>
      <c r="K1582">
        <v>5</v>
      </c>
      <c r="L1582" t="s">
        <v>16</v>
      </c>
      <c r="M1582">
        <f>SUM(Pharma_Sales_Data[[#This Row],[M01AB]:[R06]])</f>
        <v>18.54</v>
      </c>
      <c r="N1582" s="2">
        <f>Pharma_Sales_Data[[#This Row],[Total Drug Sales]]*150</f>
        <v>2781</v>
      </c>
      <c r="O1582" s="2">
        <f>Pharma_Sales_Data[[#This Row],[Total Revenue]]*0.3</f>
        <v>834.3</v>
      </c>
      <c r="P1582" t="str">
        <f>IF(Pharma_Sales_Data[[#This Row],[Total Revenue]]&gt;20000,"High Value", IF(Pharma_Sales_Data[[#This Row],[Total Revenue]]&gt;=10000,"Medium Value","Low Value"))</f>
        <v>Low Value</v>
      </c>
    </row>
    <row r="1583" spans="1:16" x14ac:dyDescent="0.35">
      <c r="A1583" s="1">
        <v>43222</v>
      </c>
      <c r="B1583">
        <v>6</v>
      </c>
      <c r="C1583">
        <v>3.5259999999999998</v>
      </c>
      <c r="D1583">
        <v>2</v>
      </c>
      <c r="E1583">
        <v>38.200000000000003</v>
      </c>
      <c r="F1583">
        <v>7</v>
      </c>
      <c r="G1583">
        <v>0</v>
      </c>
      <c r="H1583">
        <v>3</v>
      </c>
      <c r="I1583">
        <v>9</v>
      </c>
      <c r="J1583">
        <v>2018</v>
      </c>
      <c r="K1583">
        <v>5</v>
      </c>
      <c r="L1583" t="s">
        <v>17</v>
      </c>
      <c r="M1583">
        <f>SUM(Pharma_Sales_Data[[#This Row],[M01AB]:[R06]])</f>
        <v>68.725999999999999</v>
      </c>
      <c r="N1583" s="2">
        <f>Pharma_Sales_Data[[#This Row],[Total Drug Sales]]*150</f>
        <v>10308.9</v>
      </c>
      <c r="O1583" s="2">
        <f>Pharma_Sales_Data[[#This Row],[Total Revenue]]*0.3</f>
        <v>3092.6699999999996</v>
      </c>
      <c r="P1583" t="str">
        <f>IF(Pharma_Sales_Data[[#This Row],[Total Revenue]]&gt;20000,"High Value", IF(Pharma_Sales_Data[[#This Row],[Total Revenue]]&gt;=10000,"Medium Value","Low Value"))</f>
        <v>Medium Value</v>
      </c>
    </row>
    <row r="1584" spans="1:16" x14ac:dyDescent="0.35">
      <c r="A1584" s="1">
        <v>43223</v>
      </c>
      <c r="B1584">
        <v>2.33</v>
      </c>
      <c r="C1584">
        <v>1.7789999999999999</v>
      </c>
      <c r="D1584">
        <v>2</v>
      </c>
      <c r="E1584">
        <v>27.262</v>
      </c>
      <c r="F1584">
        <v>10</v>
      </c>
      <c r="G1584">
        <v>0</v>
      </c>
      <c r="H1584">
        <v>16</v>
      </c>
      <c r="I1584">
        <v>10</v>
      </c>
      <c r="J1584">
        <v>2018</v>
      </c>
      <c r="K1584">
        <v>5</v>
      </c>
      <c r="L1584" t="s">
        <v>11</v>
      </c>
      <c r="M1584">
        <f>SUM(Pharma_Sales_Data[[#This Row],[M01AB]:[R06]])</f>
        <v>69.371000000000009</v>
      </c>
      <c r="N1584" s="2">
        <f>Pharma_Sales_Data[[#This Row],[Total Drug Sales]]*150</f>
        <v>10405.650000000001</v>
      </c>
      <c r="O1584" s="2">
        <f>Pharma_Sales_Data[[#This Row],[Total Revenue]]*0.3</f>
        <v>3121.6950000000002</v>
      </c>
      <c r="P1584" t="str">
        <f>IF(Pharma_Sales_Data[[#This Row],[Total Revenue]]&gt;20000,"High Value", IF(Pharma_Sales_Data[[#This Row],[Total Revenue]]&gt;=10000,"Medium Value","Low Value"))</f>
        <v>Medium Value</v>
      </c>
    </row>
    <row r="1585" spans="1:16" x14ac:dyDescent="0.35">
      <c r="A1585" s="1">
        <v>43224</v>
      </c>
      <c r="B1585">
        <v>1</v>
      </c>
      <c r="C1585">
        <v>2.93</v>
      </c>
      <c r="D1585">
        <v>5</v>
      </c>
      <c r="E1585">
        <v>8.75</v>
      </c>
      <c r="F1585">
        <v>6</v>
      </c>
      <c r="G1585">
        <v>0</v>
      </c>
      <c r="H1585">
        <v>2</v>
      </c>
      <c r="I1585">
        <v>10.5</v>
      </c>
      <c r="J1585">
        <v>2018</v>
      </c>
      <c r="K1585">
        <v>5</v>
      </c>
      <c r="L1585" t="s">
        <v>12</v>
      </c>
      <c r="M1585">
        <f>SUM(Pharma_Sales_Data[[#This Row],[M01AB]:[R06]])</f>
        <v>36.18</v>
      </c>
      <c r="N1585" s="2">
        <f>Pharma_Sales_Data[[#This Row],[Total Drug Sales]]*150</f>
        <v>5427</v>
      </c>
      <c r="O1585" s="2">
        <f>Pharma_Sales_Data[[#This Row],[Total Revenue]]*0.3</f>
        <v>1628.1</v>
      </c>
      <c r="P1585" t="str">
        <f>IF(Pharma_Sales_Data[[#This Row],[Total Revenue]]&gt;20000,"High Value", IF(Pharma_Sales_Data[[#This Row],[Total Revenue]]&gt;=10000,"Medium Value","Low Value"))</f>
        <v>Low Value</v>
      </c>
    </row>
    <row r="1586" spans="1:16" x14ac:dyDescent="0.35">
      <c r="A1586" s="1">
        <v>43225</v>
      </c>
      <c r="B1586">
        <v>9</v>
      </c>
      <c r="C1586">
        <v>3.34</v>
      </c>
      <c r="D1586">
        <v>5</v>
      </c>
      <c r="E1586">
        <v>24</v>
      </c>
      <c r="F1586">
        <v>9</v>
      </c>
      <c r="G1586">
        <v>0</v>
      </c>
      <c r="H1586">
        <v>0</v>
      </c>
      <c r="I1586">
        <v>7</v>
      </c>
      <c r="J1586">
        <v>2018</v>
      </c>
      <c r="K1586">
        <v>5</v>
      </c>
      <c r="L1586" t="s">
        <v>13</v>
      </c>
      <c r="M1586">
        <f>SUM(Pharma_Sales_Data[[#This Row],[M01AB]:[R06]])</f>
        <v>57.34</v>
      </c>
      <c r="N1586" s="2">
        <f>Pharma_Sales_Data[[#This Row],[Total Drug Sales]]*150</f>
        <v>8601</v>
      </c>
      <c r="O1586" s="2">
        <f>Pharma_Sales_Data[[#This Row],[Total Revenue]]*0.3</f>
        <v>2580.2999999999997</v>
      </c>
      <c r="P1586" t="str">
        <f>IF(Pharma_Sales_Data[[#This Row],[Total Revenue]]&gt;20000,"High Value", IF(Pharma_Sales_Data[[#This Row],[Total Revenue]]&gt;=10000,"Medium Value","Low Value"))</f>
        <v>Low Value</v>
      </c>
    </row>
    <row r="1587" spans="1:16" x14ac:dyDescent="0.35">
      <c r="A1587" s="1">
        <v>43226</v>
      </c>
      <c r="B1587">
        <v>3.34</v>
      </c>
      <c r="C1587">
        <v>10.66</v>
      </c>
      <c r="D1587">
        <v>0.25</v>
      </c>
      <c r="E1587">
        <v>18.2</v>
      </c>
      <c r="F1587">
        <v>9</v>
      </c>
      <c r="G1587">
        <v>0</v>
      </c>
      <c r="H1587">
        <v>3</v>
      </c>
      <c r="I1587">
        <v>13.5</v>
      </c>
      <c r="J1587">
        <v>2018</v>
      </c>
      <c r="K1587">
        <v>5</v>
      </c>
      <c r="L1587" t="s">
        <v>14</v>
      </c>
      <c r="M1587">
        <f>SUM(Pharma_Sales_Data[[#This Row],[M01AB]:[R06]])</f>
        <v>57.95</v>
      </c>
      <c r="N1587" s="2">
        <f>Pharma_Sales_Data[[#This Row],[Total Drug Sales]]*150</f>
        <v>8692.5</v>
      </c>
      <c r="O1587" s="2">
        <f>Pharma_Sales_Data[[#This Row],[Total Revenue]]*0.3</f>
        <v>2607.75</v>
      </c>
      <c r="P1587" t="str">
        <f>IF(Pharma_Sales_Data[[#This Row],[Total Revenue]]&gt;20000,"High Value", IF(Pharma_Sales_Data[[#This Row],[Total Revenue]]&gt;=10000,"Medium Value","Low Value"))</f>
        <v>Low Value</v>
      </c>
    </row>
    <row r="1588" spans="1:16" x14ac:dyDescent="0.35">
      <c r="A1588" s="1">
        <v>43227</v>
      </c>
      <c r="B1588">
        <v>9.66</v>
      </c>
      <c r="C1588">
        <v>3.3000000000000002E-2</v>
      </c>
      <c r="D1588">
        <v>0</v>
      </c>
      <c r="E1588">
        <v>22</v>
      </c>
      <c r="F1588">
        <v>13</v>
      </c>
      <c r="G1588">
        <v>0</v>
      </c>
      <c r="H1588">
        <v>7</v>
      </c>
      <c r="I1588">
        <v>3</v>
      </c>
      <c r="J1588">
        <v>2018</v>
      </c>
      <c r="K1588">
        <v>5</v>
      </c>
      <c r="L1588" t="s">
        <v>15</v>
      </c>
      <c r="M1588">
        <f>SUM(Pharma_Sales_Data[[#This Row],[M01AB]:[R06]])</f>
        <v>54.692999999999998</v>
      </c>
      <c r="N1588" s="2">
        <f>Pharma_Sales_Data[[#This Row],[Total Drug Sales]]*150</f>
        <v>8203.9499999999989</v>
      </c>
      <c r="O1588" s="2">
        <f>Pharma_Sales_Data[[#This Row],[Total Revenue]]*0.3</f>
        <v>2461.1849999999995</v>
      </c>
      <c r="P1588" t="str">
        <f>IF(Pharma_Sales_Data[[#This Row],[Total Revenue]]&gt;20000,"High Value", IF(Pharma_Sales_Data[[#This Row],[Total Revenue]]&gt;=10000,"Medium Value","Low Value"))</f>
        <v>Low Value</v>
      </c>
    </row>
    <row r="1589" spans="1:16" x14ac:dyDescent="0.35">
      <c r="A1589" s="1">
        <v>43228</v>
      </c>
      <c r="B1589">
        <v>10.5</v>
      </c>
      <c r="C1589">
        <v>5.84</v>
      </c>
      <c r="D1589">
        <v>1</v>
      </c>
      <c r="E1589">
        <v>15</v>
      </c>
      <c r="F1589">
        <v>14</v>
      </c>
      <c r="G1589">
        <v>2</v>
      </c>
      <c r="H1589">
        <v>1</v>
      </c>
      <c r="I1589">
        <v>9</v>
      </c>
      <c r="J1589">
        <v>2018</v>
      </c>
      <c r="K1589">
        <v>5</v>
      </c>
      <c r="L1589" t="s">
        <v>16</v>
      </c>
      <c r="M1589">
        <f>SUM(Pharma_Sales_Data[[#This Row],[M01AB]:[R06]])</f>
        <v>58.34</v>
      </c>
      <c r="N1589" s="2">
        <f>Pharma_Sales_Data[[#This Row],[Total Drug Sales]]*150</f>
        <v>8751</v>
      </c>
      <c r="O1589" s="2">
        <f>Pharma_Sales_Data[[#This Row],[Total Revenue]]*0.3</f>
        <v>2625.2999999999997</v>
      </c>
      <c r="P1589" t="str">
        <f>IF(Pharma_Sales_Data[[#This Row],[Total Revenue]]&gt;20000,"High Value", IF(Pharma_Sales_Data[[#This Row],[Total Revenue]]&gt;=10000,"Medium Value","Low Value"))</f>
        <v>Low Value</v>
      </c>
    </row>
    <row r="1590" spans="1:16" x14ac:dyDescent="0.35">
      <c r="A1590" s="1">
        <v>43229</v>
      </c>
      <c r="B1590">
        <v>9.34</v>
      </c>
      <c r="C1590">
        <v>2.33</v>
      </c>
      <c r="D1590">
        <v>7</v>
      </c>
      <c r="E1590">
        <v>24.4</v>
      </c>
      <c r="F1590">
        <v>8</v>
      </c>
      <c r="G1590">
        <v>2</v>
      </c>
      <c r="H1590">
        <v>2</v>
      </c>
      <c r="I1590">
        <v>5</v>
      </c>
      <c r="J1590">
        <v>2018</v>
      </c>
      <c r="K1590">
        <v>5</v>
      </c>
      <c r="L1590" t="s">
        <v>17</v>
      </c>
      <c r="M1590">
        <f>SUM(Pharma_Sales_Data[[#This Row],[M01AB]:[R06]])</f>
        <v>60.07</v>
      </c>
      <c r="N1590" s="2">
        <f>Pharma_Sales_Data[[#This Row],[Total Drug Sales]]*150</f>
        <v>9010.5</v>
      </c>
      <c r="O1590" s="2">
        <f>Pharma_Sales_Data[[#This Row],[Total Revenue]]*0.3</f>
        <v>2703.15</v>
      </c>
      <c r="P1590" t="str">
        <f>IF(Pharma_Sales_Data[[#This Row],[Total Revenue]]&gt;20000,"High Value", IF(Pharma_Sales_Data[[#This Row],[Total Revenue]]&gt;=10000,"Medium Value","Low Value"))</f>
        <v>Low Value</v>
      </c>
    </row>
    <row r="1591" spans="1:16" x14ac:dyDescent="0.35">
      <c r="A1591" s="1">
        <v>43230</v>
      </c>
      <c r="B1591">
        <v>8.5</v>
      </c>
      <c r="C1591">
        <v>5.32</v>
      </c>
      <c r="D1591">
        <v>6</v>
      </c>
      <c r="E1591">
        <v>39</v>
      </c>
      <c r="F1591">
        <v>12</v>
      </c>
      <c r="G1591">
        <v>0</v>
      </c>
      <c r="H1591">
        <v>1</v>
      </c>
      <c r="I1591">
        <v>6</v>
      </c>
      <c r="J1591">
        <v>2018</v>
      </c>
      <c r="K1591">
        <v>5</v>
      </c>
      <c r="L1591" t="s">
        <v>11</v>
      </c>
      <c r="M1591">
        <f>SUM(Pharma_Sales_Data[[#This Row],[M01AB]:[R06]])</f>
        <v>77.819999999999993</v>
      </c>
      <c r="N1591" s="2">
        <f>Pharma_Sales_Data[[#This Row],[Total Drug Sales]]*150</f>
        <v>11672.999999999998</v>
      </c>
      <c r="O1591" s="2">
        <f>Pharma_Sales_Data[[#This Row],[Total Revenue]]*0.3</f>
        <v>3501.8999999999992</v>
      </c>
      <c r="P1591" t="str">
        <f>IF(Pharma_Sales_Data[[#This Row],[Total Revenue]]&gt;20000,"High Value", IF(Pharma_Sales_Data[[#This Row],[Total Revenue]]&gt;=10000,"Medium Value","Low Value"))</f>
        <v>Medium Value</v>
      </c>
    </row>
    <row r="1592" spans="1:16" x14ac:dyDescent="0.35">
      <c r="A1592" s="1">
        <v>43231</v>
      </c>
      <c r="B1592">
        <v>9.33</v>
      </c>
      <c r="C1592">
        <v>1.34</v>
      </c>
      <c r="D1592">
        <v>3</v>
      </c>
      <c r="E1592">
        <v>19</v>
      </c>
      <c r="F1592">
        <v>6</v>
      </c>
      <c r="G1592">
        <v>0</v>
      </c>
      <c r="H1592">
        <v>2</v>
      </c>
      <c r="I1592">
        <v>10</v>
      </c>
      <c r="J1592">
        <v>2018</v>
      </c>
      <c r="K1592">
        <v>5</v>
      </c>
      <c r="L1592" t="s">
        <v>12</v>
      </c>
      <c r="M1592">
        <f>SUM(Pharma_Sales_Data[[#This Row],[M01AB]:[R06]])</f>
        <v>50.67</v>
      </c>
      <c r="N1592" s="2">
        <f>Pharma_Sales_Data[[#This Row],[Total Drug Sales]]*150</f>
        <v>7600.5</v>
      </c>
      <c r="O1592" s="2">
        <f>Pharma_Sales_Data[[#This Row],[Total Revenue]]*0.3</f>
        <v>2280.15</v>
      </c>
      <c r="P1592" t="str">
        <f>IF(Pharma_Sales_Data[[#This Row],[Total Revenue]]&gt;20000,"High Value", IF(Pharma_Sales_Data[[#This Row],[Total Revenue]]&gt;=10000,"Medium Value","Low Value"))</f>
        <v>Low Value</v>
      </c>
    </row>
    <row r="1593" spans="1:16" x14ac:dyDescent="0.35">
      <c r="A1593" s="1">
        <v>43232</v>
      </c>
      <c r="B1593">
        <v>1.33</v>
      </c>
      <c r="C1593">
        <v>3.66</v>
      </c>
      <c r="D1593">
        <v>5.15</v>
      </c>
      <c r="E1593">
        <v>27</v>
      </c>
      <c r="F1593">
        <v>10</v>
      </c>
      <c r="G1593">
        <v>0</v>
      </c>
      <c r="H1593">
        <v>11</v>
      </c>
      <c r="I1593">
        <v>8</v>
      </c>
      <c r="J1593">
        <v>2018</v>
      </c>
      <c r="K1593">
        <v>5</v>
      </c>
      <c r="L1593" t="s">
        <v>13</v>
      </c>
      <c r="M1593">
        <f>SUM(Pharma_Sales_Data[[#This Row],[M01AB]:[R06]])</f>
        <v>66.14</v>
      </c>
      <c r="N1593" s="2">
        <f>Pharma_Sales_Data[[#This Row],[Total Drug Sales]]*150</f>
        <v>9921</v>
      </c>
      <c r="O1593" s="2">
        <f>Pharma_Sales_Data[[#This Row],[Total Revenue]]*0.3</f>
        <v>2976.2999999999997</v>
      </c>
      <c r="P1593" t="str">
        <f>IF(Pharma_Sales_Data[[#This Row],[Total Revenue]]&gt;20000,"High Value", IF(Pharma_Sales_Data[[#This Row],[Total Revenue]]&gt;=10000,"Medium Value","Low Value"))</f>
        <v>Low Value</v>
      </c>
    </row>
    <row r="1594" spans="1:16" x14ac:dyDescent="0.35">
      <c r="A1594" s="1">
        <v>43233</v>
      </c>
      <c r="B1594">
        <v>5.16</v>
      </c>
      <c r="C1594">
        <v>5.7590000000000003</v>
      </c>
      <c r="D1594">
        <v>3</v>
      </c>
      <c r="E1594">
        <v>14.4</v>
      </c>
      <c r="F1594">
        <v>3</v>
      </c>
      <c r="G1594">
        <v>0</v>
      </c>
      <c r="H1594">
        <v>7</v>
      </c>
      <c r="I1594">
        <v>10</v>
      </c>
      <c r="J1594">
        <v>2018</v>
      </c>
      <c r="K1594">
        <v>5</v>
      </c>
      <c r="L1594" t="s">
        <v>14</v>
      </c>
      <c r="M1594">
        <f>SUM(Pharma_Sales_Data[[#This Row],[M01AB]:[R06]])</f>
        <v>48.319000000000003</v>
      </c>
      <c r="N1594" s="2">
        <f>Pharma_Sales_Data[[#This Row],[Total Drug Sales]]*150</f>
        <v>7247.85</v>
      </c>
      <c r="O1594" s="2">
        <f>Pharma_Sales_Data[[#This Row],[Total Revenue]]*0.3</f>
        <v>2174.355</v>
      </c>
      <c r="P1594" t="str">
        <f>IF(Pharma_Sales_Data[[#This Row],[Total Revenue]]&gt;20000,"High Value", IF(Pharma_Sales_Data[[#This Row],[Total Revenue]]&gt;=10000,"Medium Value","Low Value"))</f>
        <v>Low Value</v>
      </c>
    </row>
    <row r="1595" spans="1:16" x14ac:dyDescent="0.35">
      <c r="A1595" s="1">
        <v>43234</v>
      </c>
      <c r="B1595">
        <v>6</v>
      </c>
      <c r="C1595">
        <v>6.5389999999999997</v>
      </c>
      <c r="D1595">
        <v>1</v>
      </c>
      <c r="E1595">
        <v>20</v>
      </c>
      <c r="F1595">
        <v>4</v>
      </c>
      <c r="G1595">
        <v>1</v>
      </c>
      <c r="H1595">
        <v>37</v>
      </c>
      <c r="I1595">
        <v>3</v>
      </c>
      <c r="J1595">
        <v>2018</v>
      </c>
      <c r="K1595">
        <v>5</v>
      </c>
      <c r="L1595" t="s">
        <v>15</v>
      </c>
      <c r="M1595">
        <f>SUM(Pharma_Sales_Data[[#This Row],[M01AB]:[R06]])</f>
        <v>78.539000000000001</v>
      </c>
      <c r="N1595" s="2">
        <f>Pharma_Sales_Data[[#This Row],[Total Drug Sales]]*150</f>
        <v>11780.85</v>
      </c>
      <c r="O1595" s="2">
        <f>Pharma_Sales_Data[[#This Row],[Total Revenue]]*0.3</f>
        <v>3534.2550000000001</v>
      </c>
      <c r="P1595" t="str">
        <f>IF(Pharma_Sales_Data[[#This Row],[Total Revenue]]&gt;20000,"High Value", IF(Pharma_Sales_Data[[#This Row],[Total Revenue]]&gt;=10000,"Medium Value","Low Value"))</f>
        <v>Medium Value</v>
      </c>
    </row>
    <row r="1596" spans="1:16" x14ac:dyDescent="0.35">
      <c r="A1596" s="1">
        <v>43235</v>
      </c>
      <c r="B1596">
        <v>4</v>
      </c>
      <c r="C1596">
        <v>0.67</v>
      </c>
      <c r="D1596">
        <v>2</v>
      </c>
      <c r="E1596">
        <v>14</v>
      </c>
      <c r="F1596">
        <v>11</v>
      </c>
      <c r="G1596">
        <v>0</v>
      </c>
      <c r="H1596">
        <v>5</v>
      </c>
      <c r="I1596">
        <v>7</v>
      </c>
      <c r="J1596">
        <v>2018</v>
      </c>
      <c r="K1596">
        <v>5</v>
      </c>
      <c r="L1596" t="s">
        <v>16</v>
      </c>
      <c r="M1596">
        <f>SUM(Pharma_Sales_Data[[#This Row],[M01AB]:[R06]])</f>
        <v>43.67</v>
      </c>
      <c r="N1596" s="2">
        <f>Pharma_Sales_Data[[#This Row],[Total Drug Sales]]*150</f>
        <v>6550.5</v>
      </c>
      <c r="O1596" s="2">
        <f>Pharma_Sales_Data[[#This Row],[Total Revenue]]*0.3</f>
        <v>1965.1499999999999</v>
      </c>
      <c r="P1596" t="str">
        <f>IF(Pharma_Sales_Data[[#This Row],[Total Revenue]]&gt;20000,"High Value", IF(Pharma_Sales_Data[[#This Row],[Total Revenue]]&gt;=10000,"Medium Value","Low Value"))</f>
        <v>Low Value</v>
      </c>
    </row>
    <row r="1597" spans="1:16" x14ac:dyDescent="0.35">
      <c r="A1597" s="1">
        <v>43236</v>
      </c>
      <c r="B1597">
        <v>4.01</v>
      </c>
      <c r="C1597">
        <v>2.33</v>
      </c>
      <c r="D1597">
        <v>2.5</v>
      </c>
      <c r="E1597">
        <v>13.4</v>
      </c>
      <c r="F1597">
        <v>9</v>
      </c>
      <c r="G1597">
        <v>0</v>
      </c>
      <c r="H1597">
        <v>2</v>
      </c>
      <c r="I1597">
        <v>8</v>
      </c>
      <c r="J1597">
        <v>2018</v>
      </c>
      <c r="K1597">
        <v>5</v>
      </c>
      <c r="L1597" t="s">
        <v>17</v>
      </c>
      <c r="M1597">
        <f>SUM(Pharma_Sales_Data[[#This Row],[M01AB]:[R06]])</f>
        <v>41.24</v>
      </c>
      <c r="N1597" s="2">
        <f>Pharma_Sales_Data[[#This Row],[Total Drug Sales]]*150</f>
        <v>6186</v>
      </c>
      <c r="O1597" s="2">
        <f>Pharma_Sales_Data[[#This Row],[Total Revenue]]*0.3</f>
        <v>1855.8</v>
      </c>
      <c r="P1597" t="str">
        <f>IF(Pharma_Sales_Data[[#This Row],[Total Revenue]]&gt;20000,"High Value", IF(Pharma_Sales_Data[[#This Row],[Total Revenue]]&gt;=10000,"Medium Value","Low Value"))</f>
        <v>Low Value</v>
      </c>
    </row>
    <row r="1598" spans="1:16" x14ac:dyDescent="0.35">
      <c r="A1598" s="1">
        <v>43237</v>
      </c>
      <c r="B1598">
        <v>2</v>
      </c>
      <c r="C1598">
        <v>2.78</v>
      </c>
      <c r="D1598">
        <v>3.5</v>
      </c>
      <c r="E1598">
        <v>16</v>
      </c>
      <c r="F1598">
        <v>11</v>
      </c>
      <c r="G1598">
        <v>0</v>
      </c>
      <c r="H1598">
        <v>1</v>
      </c>
      <c r="I1598">
        <v>4</v>
      </c>
      <c r="J1598">
        <v>2018</v>
      </c>
      <c r="K1598">
        <v>5</v>
      </c>
      <c r="L1598" t="s">
        <v>11</v>
      </c>
      <c r="M1598">
        <f>SUM(Pharma_Sales_Data[[#This Row],[M01AB]:[R06]])</f>
        <v>40.28</v>
      </c>
      <c r="N1598" s="2">
        <f>Pharma_Sales_Data[[#This Row],[Total Drug Sales]]*150</f>
        <v>6042</v>
      </c>
      <c r="O1598" s="2">
        <f>Pharma_Sales_Data[[#This Row],[Total Revenue]]*0.3</f>
        <v>1812.6</v>
      </c>
      <c r="P1598" t="str">
        <f>IF(Pharma_Sales_Data[[#This Row],[Total Revenue]]&gt;20000,"High Value", IF(Pharma_Sales_Data[[#This Row],[Total Revenue]]&gt;=10000,"Medium Value","Low Value"))</f>
        <v>Low Value</v>
      </c>
    </row>
    <row r="1599" spans="1:16" x14ac:dyDescent="0.35">
      <c r="A1599" s="1">
        <v>43238</v>
      </c>
      <c r="B1599">
        <v>2.34</v>
      </c>
      <c r="C1599">
        <v>1.3959999999999999</v>
      </c>
      <c r="D1599">
        <v>6</v>
      </c>
      <c r="E1599">
        <v>30</v>
      </c>
      <c r="F1599">
        <v>11</v>
      </c>
      <c r="G1599">
        <v>0</v>
      </c>
      <c r="H1599">
        <v>2</v>
      </c>
      <c r="I1599">
        <v>2.4</v>
      </c>
      <c r="J1599">
        <v>2018</v>
      </c>
      <c r="K1599">
        <v>5</v>
      </c>
      <c r="L1599" t="s">
        <v>12</v>
      </c>
      <c r="M1599">
        <f>SUM(Pharma_Sales_Data[[#This Row],[M01AB]:[R06]])</f>
        <v>55.136000000000003</v>
      </c>
      <c r="N1599" s="2">
        <f>Pharma_Sales_Data[[#This Row],[Total Drug Sales]]*150</f>
        <v>8270.4</v>
      </c>
      <c r="O1599" s="2">
        <f>Pharma_Sales_Data[[#This Row],[Total Revenue]]*0.3</f>
        <v>2481.12</v>
      </c>
      <c r="P1599" t="str">
        <f>IF(Pharma_Sales_Data[[#This Row],[Total Revenue]]&gt;20000,"High Value", IF(Pharma_Sales_Data[[#This Row],[Total Revenue]]&gt;=10000,"Medium Value","Low Value"))</f>
        <v>Low Value</v>
      </c>
    </row>
    <row r="1600" spans="1:16" x14ac:dyDescent="0.35">
      <c r="A1600" s="1">
        <v>43239</v>
      </c>
      <c r="B1600">
        <v>2.34</v>
      </c>
      <c r="C1600">
        <v>2.5609999999999999</v>
      </c>
      <c r="D1600">
        <v>1</v>
      </c>
      <c r="E1600">
        <v>18.399999999999999</v>
      </c>
      <c r="F1600">
        <v>7</v>
      </c>
      <c r="G1600">
        <v>5</v>
      </c>
      <c r="H1600">
        <v>0</v>
      </c>
      <c r="I1600">
        <v>5</v>
      </c>
      <c r="J1600">
        <v>2018</v>
      </c>
      <c r="K1600">
        <v>5</v>
      </c>
      <c r="L1600" t="s">
        <v>13</v>
      </c>
      <c r="M1600">
        <f>SUM(Pharma_Sales_Data[[#This Row],[M01AB]:[R06]])</f>
        <v>41.301000000000002</v>
      </c>
      <c r="N1600" s="2">
        <f>Pharma_Sales_Data[[#This Row],[Total Drug Sales]]*150</f>
        <v>6195.1500000000005</v>
      </c>
      <c r="O1600" s="2">
        <f>Pharma_Sales_Data[[#This Row],[Total Revenue]]*0.3</f>
        <v>1858.5450000000001</v>
      </c>
      <c r="P1600" t="str">
        <f>IF(Pharma_Sales_Data[[#This Row],[Total Revenue]]&gt;20000,"High Value", IF(Pharma_Sales_Data[[#This Row],[Total Revenue]]&gt;=10000,"Medium Value","Low Value"))</f>
        <v>Low Value</v>
      </c>
    </row>
    <row r="1601" spans="1:16" x14ac:dyDescent="0.35">
      <c r="A1601" s="1">
        <v>43240</v>
      </c>
      <c r="B1601">
        <v>7</v>
      </c>
      <c r="C1601">
        <v>8.01</v>
      </c>
      <c r="D1601">
        <v>1</v>
      </c>
      <c r="E1601">
        <v>45</v>
      </c>
      <c r="F1601">
        <v>6</v>
      </c>
      <c r="G1601">
        <v>1</v>
      </c>
      <c r="H1601">
        <v>0</v>
      </c>
      <c r="I1601">
        <v>10</v>
      </c>
      <c r="J1601">
        <v>2018</v>
      </c>
      <c r="K1601">
        <v>5</v>
      </c>
      <c r="L1601" t="s">
        <v>14</v>
      </c>
      <c r="M1601">
        <f>SUM(Pharma_Sales_Data[[#This Row],[M01AB]:[R06]])</f>
        <v>78.009999999999991</v>
      </c>
      <c r="N1601" s="2">
        <f>Pharma_Sales_Data[[#This Row],[Total Drug Sales]]*150</f>
        <v>11701.499999999998</v>
      </c>
      <c r="O1601" s="2">
        <f>Pharma_Sales_Data[[#This Row],[Total Revenue]]*0.3</f>
        <v>3510.4499999999994</v>
      </c>
      <c r="P1601" t="str">
        <f>IF(Pharma_Sales_Data[[#This Row],[Total Revenue]]&gt;20000,"High Value", IF(Pharma_Sales_Data[[#This Row],[Total Revenue]]&gt;=10000,"Medium Value","Low Value"))</f>
        <v>Medium Value</v>
      </c>
    </row>
    <row r="1602" spans="1:16" x14ac:dyDescent="0.35">
      <c r="A1602" s="1">
        <v>43241</v>
      </c>
      <c r="B1602">
        <v>12</v>
      </c>
      <c r="C1602">
        <v>2.7589999999999999</v>
      </c>
      <c r="D1602">
        <v>2.15</v>
      </c>
      <c r="E1602">
        <v>14.6</v>
      </c>
      <c r="F1602">
        <v>18</v>
      </c>
      <c r="G1602">
        <v>0</v>
      </c>
      <c r="H1602">
        <v>11</v>
      </c>
      <c r="I1602">
        <v>5</v>
      </c>
      <c r="J1602">
        <v>2018</v>
      </c>
      <c r="K1602">
        <v>5</v>
      </c>
      <c r="L1602" t="s">
        <v>15</v>
      </c>
      <c r="M1602">
        <f>SUM(Pharma_Sales_Data[[#This Row],[M01AB]:[R06]])</f>
        <v>65.509</v>
      </c>
      <c r="N1602" s="2">
        <f>Pharma_Sales_Data[[#This Row],[Total Drug Sales]]*150</f>
        <v>9826.35</v>
      </c>
      <c r="O1602" s="2">
        <f>Pharma_Sales_Data[[#This Row],[Total Revenue]]*0.3</f>
        <v>2947.9050000000002</v>
      </c>
      <c r="P1602" t="str">
        <f>IF(Pharma_Sales_Data[[#This Row],[Total Revenue]]&gt;20000,"High Value", IF(Pharma_Sales_Data[[#This Row],[Total Revenue]]&gt;=10000,"Medium Value","Low Value"))</f>
        <v>Low Value</v>
      </c>
    </row>
    <row r="1603" spans="1:16" x14ac:dyDescent="0.35">
      <c r="A1603" s="1">
        <v>43242</v>
      </c>
      <c r="B1603">
        <v>3.67</v>
      </c>
      <c r="C1603">
        <v>2.33</v>
      </c>
      <c r="D1603">
        <v>3</v>
      </c>
      <c r="E1603">
        <v>8.0619999999999994</v>
      </c>
      <c r="F1603">
        <v>7</v>
      </c>
      <c r="G1603">
        <v>0</v>
      </c>
      <c r="H1603">
        <v>6</v>
      </c>
      <c r="I1603">
        <v>6</v>
      </c>
      <c r="J1603">
        <v>2018</v>
      </c>
      <c r="K1603">
        <v>5</v>
      </c>
      <c r="L1603" t="s">
        <v>16</v>
      </c>
      <c r="M1603">
        <f>SUM(Pharma_Sales_Data[[#This Row],[M01AB]:[R06]])</f>
        <v>36.061999999999998</v>
      </c>
      <c r="N1603" s="2">
        <f>Pharma_Sales_Data[[#This Row],[Total Drug Sales]]*150</f>
        <v>5409.2999999999993</v>
      </c>
      <c r="O1603" s="2">
        <f>Pharma_Sales_Data[[#This Row],[Total Revenue]]*0.3</f>
        <v>1622.7899999999997</v>
      </c>
      <c r="P1603" t="str">
        <f>IF(Pharma_Sales_Data[[#This Row],[Total Revenue]]&gt;20000,"High Value", IF(Pharma_Sales_Data[[#This Row],[Total Revenue]]&gt;=10000,"Medium Value","Low Value"))</f>
        <v>Low Value</v>
      </c>
    </row>
    <row r="1604" spans="1:16" x14ac:dyDescent="0.35">
      <c r="A1604" s="1">
        <v>43243</v>
      </c>
      <c r="B1604">
        <v>1.5</v>
      </c>
      <c r="C1604">
        <v>3.66</v>
      </c>
      <c r="D1604">
        <v>0</v>
      </c>
      <c r="E1604">
        <v>11</v>
      </c>
      <c r="F1604">
        <v>7</v>
      </c>
      <c r="G1604">
        <v>0</v>
      </c>
      <c r="H1604">
        <v>0</v>
      </c>
      <c r="I1604">
        <v>7</v>
      </c>
      <c r="J1604">
        <v>2018</v>
      </c>
      <c r="K1604">
        <v>5</v>
      </c>
      <c r="L1604" t="s">
        <v>17</v>
      </c>
      <c r="M1604">
        <f>SUM(Pharma_Sales_Data[[#This Row],[M01AB]:[R06]])</f>
        <v>30.16</v>
      </c>
      <c r="N1604" s="2">
        <f>Pharma_Sales_Data[[#This Row],[Total Drug Sales]]*150</f>
        <v>4524</v>
      </c>
      <c r="O1604" s="2">
        <f>Pharma_Sales_Data[[#This Row],[Total Revenue]]*0.3</f>
        <v>1357.2</v>
      </c>
      <c r="P1604" t="str">
        <f>IF(Pharma_Sales_Data[[#This Row],[Total Revenue]]&gt;20000,"High Value", IF(Pharma_Sales_Data[[#This Row],[Total Revenue]]&gt;=10000,"Medium Value","Low Value"))</f>
        <v>Low Value</v>
      </c>
    </row>
    <row r="1605" spans="1:16" x14ac:dyDescent="0.35">
      <c r="A1605" s="1">
        <v>43244</v>
      </c>
      <c r="B1605">
        <v>2</v>
      </c>
      <c r="C1605">
        <v>1.99</v>
      </c>
      <c r="D1605">
        <v>5</v>
      </c>
      <c r="E1605">
        <v>20.2</v>
      </c>
      <c r="F1605">
        <v>6</v>
      </c>
      <c r="G1605">
        <v>1</v>
      </c>
      <c r="H1605">
        <v>10</v>
      </c>
      <c r="I1605">
        <v>1</v>
      </c>
      <c r="J1605">
        <v>2018</v>
      </c>
      <c r="K1605">
        <v>5</v>
      </c>
      <c r="L1605" t="s">
        <v>11</v>
      </c>
      <c r="M1605">
        <f>SUM(Pharma_Sales_Data[[#This Row],[M01AB]:[R06]])</f>
        <v>47.19</v>
      </c>
      <c r="N1605" s="2">
        <f>Pharma_Sales_Data[[#This Row],[Total Drug Sales]]*150</f>
        <v>7078.5</v>
      </c>
      <c r="O1605" s="2">
        <f>Pharma_Sales_Data[[#This Row],[Total Revenue]]*0.3</f>
        <v>2123.5499999999997</v>
      </c>
      <c r="P1605" t="str">
        <f>IF(Pharma_Sales_Data[[#This Row],[Total Revenue]]&gt;20000,"High Value", IF(Pharma_Sales_Data[[#This Row],[Total Revenue]]&gt;=10000,"Medium Value","Low Value"))</f>
        <v>Low Value</v>
      </c>
    </row>
    <row r="1606" spans="1:16" x14ac:dyDescent="0.35">
      <c r="A1606" s="1">
        <v>43245</v>
      </c>
      <c r="B1606">
        <v>2.33</v>
      </c>
      <c r="C1606">
        <v>2.33</v>
      </c>
      <c r="D1606">
        <v>2</v>
      </c>
      <c r="E1606">
        <v>16.399999999999999</v>
      </c>
      <c r="F1606">
        <v>9</v>
      </c>
      <c r="G1606">
        <v>0</v>
      </c>
      <c r="H1606">
        <v>1</v>
      </c>
      <c r="I1606">
        <v>2</v>
      </c>
      <c r="J1606">
        <v>2018</v>
      </c>
      <c r="K1606">
        <v>5</v>
      </c>
      <c r="L1606" t="s">
        <v>12</v>
      </c>
      <c r="M1606">
        <f>SUM(Pharma_Sales_Data[[#This Row],[M01AB]:[R06]])</f>
        <v>35.06</v>
      </c>
      <c r="N1606" s="2">
        <f>Pharma_Sales_Data[[#This Row],[Total Drug Sales]]*150</f>
        <v>5259</v>
      </c>
      <c r="O1606" s="2">
        <f>Pharma_Sales_Data[[#This Row],[Total Revenue]]*0.3</f>
        <v>1577.7</v>
      </c>
      <c r="P1606" t="str">
        <f>IF(Pharma_Sales_Data[[#This Row],[Total Revenue]]&gt;20000,"High Value", IF(Pharma_Sales_Data[[#This Row],[Total Revenue]]&gt;=10000,"Medium Value","Low Value"))</f>
        <v>Low Value</v>
      </c>
    </row>
    <row r="1607" spans="1:16" x14ac:dyDescent="0.35">
      <c r="A1607" s="1">
        <v>43246</v>
      </c>
      <c r="B1607">
        <v>3.33</v>
      </c>
      <c r="C1607">
        <v>2.7589999999999999</v>
      </c>
      <c r="D1607">
        <v>7</v>
      </c>
      <c r="E1607">
        <v>16.262</v>
      </c>
      <c r="F1607">
        <v>7</v>
      </c>
      <c r="G1607">
        <v>0</v>
      </c>
      <c r="H1607">
        <v>3</v>
      </c>
      <c r="I1607">
        <v>5</v>
      </c>
      <c r="J1607">
        <v>2018</v>
      </c>
      <c r="K1607">
        <v>5</v>
      </c>
      <c r="L1607" t="s">
        <v>13</v>
      </c>
      <c r="M1607">
        <f>SUM(Pharma_Sales_Data[[#This Row],[M01AB]:[R06]])</f>
        <v>44.350999999999999</v>
      </c>
      <c r="N1607" s="2">
        <f>Pharma_Sales_Data[[#This Row],[Total Drug Sales]]*150</f>
        <v>6652.65</v>
      </c>
      <c r="O1607" s="2">
        <f>Pharma_Sales_Data[[#This Row],[Total Revenue]]*0.3</f>
        <v>1995.7949999999998</v>
      </c>
      <c r="P1607" t="str">
        <f>IF(Pharma_Sales_Data[[#This Row],[Total Revenue]]&gt;20000,"High Value", IF(Pharma_Sales_Data[[#This Row],[Total Revenue]]&gt;=10000,"Medium Value","Low Value"))</f>
        <v>Low Value</v>
      </c>
    </row>
    <row r="1608" spans="1:16" x14ac:dyDescent="0.35">
      <c r="A1608" s="1">
        <v>43247</v>
      </c>
      <c r="B1608">
        <v>6.33</v>
      </c>
      <c r="C1608">
        <v>4.5179999999999998</v>
      </c>
      <c r="D1608">
        <v>5</v>
      </c>
      <c r="E1608">
        <v>49.262</v>
      </c>
      <c r="F1608">
        <v>6</v>
      </c>
      <c r="G1608">
        <v>1</v>
      </c>
      <c r="H1608">
        <v>0</v>
      </c>
      <c r="I1608">
        <v>11</v>
      </c>
      <c r="J1608">
        <v>2018</v>
      </c>
      <c r="K1608">
        <v>5</v>
      </c>
      <c r="L1608" t="s">
        <v>14</v>
      </c>
      <c r="M1608">
        <f>SUM(Pharma_Sales_Data[[#This Row],[M01AB]:[R06]])</f>
        <v>83.11</v>
      </c>
      <c r="N1608" s="2">
        <f>Pharma_Sales_Data[[#This Row],[Total Drug Sales]]*150</f>
        <v>12466.5</v>
      </c>
      <c r="O1608" s="2">
        <f>Pharma_Sales_Data[[#This Row],[Total Revenue]]*0.3</f>
        <v>3739.95</v>
      </c>
      <c r="P1608" t="str">
        <f>IF(Pharma_Sales_Data[[#This Row],[Total Revenue]]&gt;20000,"High Value", IF(Pharma_Sales_Data[[#This Row],[Total Revenue]]&gt;=10000,"Medium Value","Low Value"))</f>
        <v>Medium Value</v>
      </c>
    </row>
    <row r="1609" spans="1:16" x14ac:dyDescent="0.35">
      <c r="A1609" s="1">
        <v>43248</v>
      </c>
      <c r="B1609">
        <v>7</v>
      </c>
      <c r="C1609">
        <v>3.01</v>
      </c>
      <c r="D1609">
        <v>1.2</v>
      </c>
      <c r="E1609">
        <v>19.600000000000001</v>
      </c>
      <c r="F1609">
        <v>7</v>
      </c>
      <c r="G1609">
        <v>0</v>
      </c>
      <c r="H1609">
        <v>7</v>
      </c>
      <c r="I1609">
        <v>6</v>
      </c>
      <c r="J1609">
        <v>2018</v>
      </c>
      <c r="K1609">
        <v>5</v>
      </c>
      <c r="L1609" t="s">
        <v>15</v>
      </c>
      <c r="M1609">
        <f>SUM(Pharma_Sales_Data[[#This Row],[M01AB]:[R06]])</f>
        <v>50.81</v>
      </c>
      <c r="N1609" s="2">
        <f>Pharma_Sales_Data[[#This Row],[Total Drug Sales]]*150</f>
        <v>7621.5</v>
      </c>
      <c r="O1609" s="2">
        <f>Pharma_Sales_Data[[#This Row],[Total Revenue]]*0.3</f>
        <v>2286.4499999999998</v>
      </c>
      <c r="P1609" t="str">
        <f>IF(Pharma_Sales_Data[[#This Row],[Total Revenue]]&gt;20000,"High Value", IF(Pharma_Sales_Data[[#This Row],[Total Revenue]]&gt;=10000,"Medium Value","Low Value"))</f>
        <v>Low Value</v>
      </c>
    </row>
    <row r="1610" spans="1:16" x14ac:dyDescent="0.35">
      <c r="A1610" s="1">
        <v>43249</v>
      </c>
      <c r="B1610">
        <v>9</v>
      </c>
      <c r="C1610">
        <v>4.0330000000000004</v>
      </c>
      <c r="D1610">
        <v>3.3</v>
      </c>
      <c r="E1610">
        <v>21.25</v>
      </c>
      <c r="F1610">
        <v>7</v>
      </c>
      <c r="G1610">
        <v>0</v>
      </c>
      <c r="H1610">
        <v>4</v>
      </c>
      <c r="I1610">
        <v>6</v>
      </c>
      <c r="J1610">
        <v>2018</v>
      </c>
      <c r="K1610">
        <v>5</v>
      </c>
      <c r="L1610" t="s">
        <v>16</v>
      </c>
      <c r="M1610">
        <f>SUM(Pharma_Sales_Data[[#This Row],[M01AB]:[R06]])</f>
        <v>54.582999999999998</v>
      </c>
      <c r="N1610" s="2">
        <f>Pharma_Sales_Data[[#This Row],[Total Drug Sales]]*150</f>
        <v>8187.45</v>
      </c>
      <c r="O1610" s="2">
        <f>Pharma_Sales_Data[[#This Row],[Total Revenue]]*0.3</f>
        <v>2456.2349999999997</v>
      </c>
      <c r="P1610" t="str">
        <f>IF(Pharma_Sales_Data[[#This Row],[Total Revenue]]&gt;20000,"High Value", IF(Pharma_Sales_Data[[#This Row],[Total Revenue]]&gt;=10000,"Medium Value","Low Value"))</f>
        <v>Low Value</v>
      </c>
    </row>
    <row r="1611" spans="1:16" x14ac:dyDescent="0.35">
      <c r="A1611" s="1">
        <v>43250</v>
      </c>
      <c r="B1611">
        <v>4.34</v>
      </c>
      <c r="C1611">
        <v>1.67</v>
      </c>
      <c r="D1611">
        <v>2</v>
      </c>
      <c r="E1611">
        <v>16.399999999999999</v>
      </c>
      <c r="F1611">
        <v>9</v>
      </c>
      <c r="G1611">
        <v>0</v>
      </c>
      <c r="H1611">
        <v>14</v>
      </c>
      <c r="I1611">
        <v>10</v>
      </c>
      <c r="J1611">
        <v>2018</v>
      </c>
      <c r="K1611">
        <v>5</v>
      </c>
      <c r="L1611" t="s">
        <v>17</v>
      </c>
      <c r="M1611">
        <f>SUM(Pharma_Sales_Data[[#This Row],[M01AB]:[R06]])</f>
        <v>57.41</v>
      </c>
      <c r="N1611" s="2">
        <f>Pharma_Sales_Data[[#This Row],[Total Drug Sales]]*150</f>
        <v>8611.5</v>
      </c>
      <c r="O1611" s="2">
        <f>Pharma_Sales_Data[[#This Row],[Total Revenue]]*0.3</f>
        <v>2583.4499999999998</v>
      </c>
      <c r="P1611" t="str">
        <f>IF(Pharma_Sales_Data[[#This Row],[Total Revenue]]&gt;20000,"High Value", IF(Pharma_Sales_Data[[#This Row],[Total Revenue]]&gt;=10000,"Medium Value","Low Value"))</f>
        <v>Low Value</v>
      </c>
    </row>
    <row r="1612" spans="1:16" x14ac:dyDescent="0.35">
      <c r="A1612" s="1">
        <v>43251</v>
      </c>
      <c r="B1612">
        <v>3.5</v>
      </c>
      <c r="C1612">
        <v>3.66</v>
      </c>
      <c r="D1612">
        <v>1.35</v>
      </c>
      <c r="E1612">
        <v>11.4</v>
      </c>
      <c r="F1612">
        <v>10</v>
      </c>
      <c r="G1612">
        <v>0</v>
      </c>
      <c r="H1612">
        <v>8</v>
      </c>
      <c r="I1612">
        <v>5.64</v>
      </c>
      <c r="J1612">
        <v>2018</v>
      </c>
      <c r="K1612">
        <v>5</v>
      </c>
      <c r="L1612" t="s">
        <v>11</v>
      </c>
      <c r="M1612">
        <f>SUM(Pharma_Sales_Data[[#This Row],[M01AB]:[R06]])</f>
        <v>43.55</v>
      </c>
      <c r="N1612" s="2">
        <f>Pharma_Sales_Data[[#This Row],[Total Drug Sales]]*150</f>
        <v>6532.5</v>
      </c>
      <c r="O1612" s="2">
        <f>Pharma_Sales_Data[[#This Row],[Total Revenue]]*0.3</f>
        <v>1959.75</v>
      </c>
      <c r="P1612" t="str">
        <f>IF(Pharma_Sales_Data[[#This Row],[Total Revenue]]&gt;20000,"High Value", IF(Pharma_Sales_Data[[#This Row],[Total Revenue]]&gt;=10000,"Medium Value","Low Value"))</f>
        <v>Low Value</v>
      </c>
    </row>
    <row r="1613" spans="1:16" x14ac:dyDescent="0.35">
      <c r="A1613" s="1">
        <v>43252</v>
      </c>
      <c r="B1613">
        <v>12.33</v>
      </c>
      <c r="C1613">
        <v>2.1800000000000002</v>
      </c>
      <c r="D1613">
        <v>4</v>
      </c>
      <c r="E1613">
        <v>29</v>
      </c>
      <c r="F1613">
        <v>9</v>
      </c>
      <c r="G1613">
        <v>0</v>
      </c>
      <c r="H1613">
        <v>5</v>
      </c>
      <c r="I1613">
        <v>3</v>
      </c>
      <c r="J1613">
        <v>2018</v>
      </c>
      <c r="K1613">
        <v>6</v>
      </c>
      <c r="L1613" t="s">
        <v>12</v>
      </c>
      <c r="M1613">
        <f>SUM(Pharma_Sales_Data[[#This Row],[M01AB]:[R06]])</f>
        <v>64.509999999999991</v>
      </c>
      <c r="N1613" s="2">
        <f>Pharma_Sales_Data[[#This Row],[Total Drug Sales]]*150</f>
        <v>9676.4999999999982</v>
      </c>
      <c r="O1613" s="2">
        <f>Pharma_Sales_Data[[#This Row],[Total Revenue]]*0.3</f>
        <v>2902.9499999999994</v>
      </c>
      <c r="P1613" t="str">
        <f>IF(Pharma_Sales_Data[[#This Row],[Total Revenue]]&gt;20000,"High Value", IF(Pharma_Sales_Data[[#This Row],[Total Revenue]]&gt;=10000,"Medium Value","Low Value"))</f>
        <v>Low Value</v>
      </c>
    </row>
    <row r="1614" spans="1:16" x14ac:dyDescent="0.35">
      <c r="A1614" s="1">
        <v>43253</v>
      </c>
      <c r="B1614">
        <v>8</v>
      </c>
      <c r="C1614">
        <v>3.0859999999999999</v>
      </c>
      <c r="D1614">
        <v>4</v>
      </c>
      <c r="E1614">
        <v>23</v>
      </c>
      <c r="F1614">
        <v>9</v>
      </c>
      <c r="G1614">
        <v>3</v>
      </c>
      <c r="H1614">
        <v>7</v>
      </c>
      <c r="I1614">
        <v>9</v>
      </c>
      <c r="J1614">
        <v>2018</v>
      </c>
      <c r="K1614">
        <v>6</v>
      </c>
      <c r="L1614" t="s">
        <v>13</v>
      </c>
      <c r="M1614">
        <f>SUM(Pharma_Sales_Data[[#This Row],[M01AB]:[R06]])</f>
        <v>66.085999999999999</v>
      </c>
      <c r="N1614" s="2">
        <f>Pharma_Sales_Data[[#This Row],[Total Drug Sales]]*150</f>
        <v>9912.9</v>
      </c>
      <c r="O1614" s="2">
        <f>Pharma_Sales_Data[[#This Row],[Total Revenue]]*0.3</f>
        <v>2973.87</v>
      </c>
      <c r="P1614" t="str">
        <f>IF(Pharma_Sales_Data[[#This Row],[Total Revenue]]&gt;20000,"High Value", IF(Pharma_Sales_Data[[#This Row],[Total Revenue]]&gt;=10000,"Medium Value","Low Value"))</f>
        <v>Low Value</v>
      </c>
    </row>
    <row r="1615" spans="1:16" x14ac:dyDescent="0.35">
      <c r="A1615" s="1">
        <v>43254</v>
      </c>
      <c r="B1615">
        <v>5</v>
      </c>
      <c r="C1615">
        <v>2.746</v>
      </c>
      <c r="D1615">
        <v>1</v>
      </c>
      <c r="E1615">
        <v>22.4</v>
      </c>
      <c r="F1615">
        <v>8</v>
      </c>
      <c r="G1615">
        <v>1</v>
      </c>
      <c r="H1615">
        <v>0</v>
      </c>
      <c r="I1615">
        <v>2</v>
      </c>
      <c r="J1615">
        <v>2018</v>
      </c>
      <c r="K1615">
        <v>6</v>
      </c>
      <c r="L1615" t="s">
        <v>14</v>
      </c>
      <c r="M1615">
        <f>SUM(Pharma_Sales_Data[[#This Row],[M01AB]:[R06]])</f>
        <v>42.146000000000001</v>
      </c>
      <c r="N1615" s="2">
        <f>Pharma_Sales_Data[[#This Row],[Total Drug Sales]]*150</f>
        <v>6321.9000000000005</v>
      </c>
      <c r="O1615" s="2">
        <f>Pharma_Sales_Data[[#This Row],[Total Revenue]]*0.3</f>
        <v>1896.5700000000002</v>
      </c>
      <c r="P1615" t="str">
        <f>IF(Pharma_Sales_Data[[#This Row],[Total Revenue]]&gt;20000,"High Value", IF(Pharma_Sales_Data[[#This Row],[Total Revenue]]&gt;=10000,"Medium Value","Low Value"))</f>
        <v>Low Value</v>
      </c>
    </row>
    <row r="1616" spans="1:16" x14ac:dyDescent="0.35">
      <c r="A1616" s="1">
        <v>43255</v>
      </c>
      <c r="B1616">
        <v>3.33</v>
      </c>
      <c r="C1616">
        <v>3</v>
      </c>
      <c r="D1616">
        <v>6</v>
      </c>
      <c r="E1616">
        <v>19</v>
      </c>
      <c r="F1616">
        <v>3</v>
      </c>
      <c r="G1616">
        <v>0</v>
      </c>
      <c r="H1616">
        <v>6</v>
      </c>
      <c r="I1616">
        <v>6</v>
      </c>
      <c r="J1616">
        <v>2018</v>
      </c>
      <c r="K1616">
        <v>6</v>
      </c>
      <c r="L1616" t="s">
        <v>15</v>
      </c>
      <c r="M1616">
        <f>SUM(Pharma_Sales_Data[[#This Row],[M01AB]:[R06]])</f>
        <v>46.33</v>
      </c>
      <c r="N1616" s="2">
        <f>Pharma_Sales_Data[[#This Row],[Total Drug Sales]]*150</f>
        <v>6949.5</v>
      </c>
      <c r="O1616" s="2">
        <f>Pharma_Sales_Data[[#This Row],[Total Revenue]]*0.3</f>
        <v>2084.85</v>
      </c>
      <c r="P1616" t="str">
        <f>IF(Pharma_Sales_Data[[#This Row],[Total Revenue]]&gt;20000,"High Value", IF(Pharma_Sales_Data[[#This Row],[Total Revenue]]&gt;=10000,"Medium Value","Low Value"))</f>
        <v>Low Value</v>
      </c>
    </row>
    <row r="1617" spans="1:16" x14ac:dyDescent="0.35">
      <c r="A1617" s="1">
        <v>43256</v>
      </c>
      <c r="B1617">
        <v>4.33</v>
      </c>
      <c r="C1617">
        <v>3.67</v>
      </c>
      <c r="D1617">
        <v>1.05</v>
      </c>
      <c r="E1617">
        <v>20</v>
      </c>
      <c r="F1617">
        <v>7</v>
      </c>
      <c r="G1617">
        <v>2</v>
      </c>
      <c r="H1617">
        <v>0</v>
      </c>
      <c r="I1617">
        <v>7</v>
      </c>
      <c r="J1617">
        <v>2018</v>
      </c>
      <c r="K1617">
        <v>6</v>
      </c>
      <c r="L1617" t="s">
        <v>16</v>
      </c>
      <c r="M1617">
        <f>SUM(Pharma_Sales_Data[[#This Row],[M01AB]:[R06]])</f>
        <v>45.05</v>
      </c>
      <c r="N1617" s="2">
        <f>Pharma_Sales_Data[[#This Row],[Total Drug Sales]]*150</f>
        <v>6757.5</v>
      </c>
      <c r="O1617" s="2">
        <f>Pharma_Sales_Data[[#This Row],[Total Revenue]]*0.3</f>
        <v>2027.25</v>
      </c>
      <c r="P1617" t="str">
        <f>IF(Pharma_Sales_Data[[#This Row],[Total Revenue]]&gt;20000,"High Value", IF(Pharma_Sales_Data[[#This Row],[Total Revenue]]&gt;=10000,"Medium Value","Low Value"))</f>
        <v>Low Value</v>
      </c>
    </row>
    <row r="1618" spans="1:16" x14ac:dyDescent="0.35">
      <c r="A1618" s="1">
        <v>43257</v>
      </c>
      <c r="B1618">
        <v>6</v>
      </c>
      <c r="C1618">
        <v>2.34</v>
      </c>
      <c r="D1618">
        <v>0.15</v>
      </c>
      <c r="E1618">
        <v>17.25</v>
      </c>
      <c r="F1618">
        <v>16</v>
      </c>
      <c r="G1618">
        <v>3</v>
      </c>
      <c r="H1618">
        <v>0</v>
      </c>
      <c r="I1618">
        <v>2</v>
      </c>
      <c r="J1618">
        <v>2018</v>
      </c>
      <c r="K1618">
        <v>6</v>
      </c>
      <c r="L1618" t="s">
        <v>17</v>
      </c>
      <c r="M1618">
        <f>SUM(Pharma_Sales_Data[[#This Row],[M01AB]:[R06]])</f>
        <v>46.74</v>
      </c>
      <c r="N1618" s="2">
        <f>Pharma_Sales_Data[[#This Row],[Total Drug Sales]]*150</f>
        <v>7011</v>
      </c>
      <c r="O1618" s="2">
        <f>Pharma_Sales_Data[[#This Row],[Total Revenue]]*0.3</f>
        <v>2103.2999999999997</v>
      </c>
      <c r="P1618" t="str">
        <f>IF(Pharma_Sales_Data[[#This Row],[Total Revenue]]&gt;20000,"High Value", IF(Pharma_Sales_Data[[#This Row],[Total Revenue]]&gt;=10000,"Medium Value","Low Value"))</f>
        <v>Low Value</v>
      </c>
    </row>
    <row r="1619" spans="1:16" x14ac:dyDescent="0.35">
      <c r="A1619" s="1">
        <v>43258</v>
      </c>
      <c r="B1619">
        <v>2</v>
      </c>
      <c r="C1619">
        <v>4.5279999999999996</v>
      </c>
      <c r="D1619">
        <v>0.25</v>
      </c>
      <c r="E1619">
        <v>19</v>
      </c>
      <c r="F1619">
        <v>11</v>
      </c>
      <c r="G1619">
        <v>1</v>
      </c>
      <c r="H1619">
        <v>10</v>
      </c>
      <c r="I1619">
        <v>2</v>
      </c>
      <c r="J1619">
        <v>2018</v>
      </c>
      <c r="K1619">
        <v>6</v>
      </c>
      <c r="L1619" t="s">
        <v>11</v>
      </c>
      <c r="M1619">
        <f>SUM(Pharma_Sales_Data[[#This Row],[M01AB]:[R06]])</f>
        <v>49.777999999999999</v>
      </c>
      <c r="N1619" s="2">
        <f>Pharma_Sales_Data[[#This Row],[Total Drug Sales]]*150</f>
        <v>7466.7</v>
      </c>
      <c r="O1619" s="2">
        <f>Pharma_Sales_Data[[#This Row],[Total Revenue]]*0.3</f>
        <v>2240.0099999999998</v>
      </c>
      <c r="P1619" t="str">
        <f>IF(Pharma_Sales_Data[[#This Row],[Total Revenue]]&gt;20000,"High Value", IF(Pharma_Sales_Data[[#This Row],[Total Revenue]]&gt;=10000,"Medium Value","Low Value"))</f>
        <v>Low Value</v>
      </c>
    </row>
    <row r="1620" spans="1:16" x14ac:dyDescent="0.35">
      <c r="A1620" s="1">
        <v>43259</v>
      </c>
      <c r="B1620">
        <v>4</v>
      </c>
      <c r="C1620">
        <v>1.33</v>
      </c>
      <c r="D1620">
        <v>2</v>
      </c>
      <c r="E1620">
        <v>9</v>
      </c>
      <c r="F1620">
        <v>6</v>
      </c>
      <c r="G1620">
        <v>0</v>
      </c>
      <c r="H1620">
        <v>2</v>
      </c>
      <c r="I1620">
        <v>4.4000000000000004</v>
      </c>
      <c r="J1620">
        <v>2018</v>
      </c>
      <c r="K1620">
        <v>6</v>
      </c>
      <c r="L1620" t="s">
        <v>12</v>
      </c>
      <c r="M1620">
        <f>SUM(Pharma_Sales_Data[[#This Row],[M01AB]:[R06]])</f>
        <v>28.729999999999997</v>
      </c>
      <c r="N1620" s="2">
        <f>Pharma_Sales_Data[[#This Row],[Total Drug Sales]]*150</f>
        <v>4309.4999999999991</v>
      </c>
      <c r="O1620" s="2">
        <f>Pharma_Sales_Data[[#This Row],[Total Revenue]]*0.3</f>
        <v>1292.8499999999997</v>
      </c>
      <c r="P1620" t="str">
        <f>IF(Pharma_Sales_Data[[#This Row],[Total Revenue]]&gt;20000,"High Value", IF(Pharma_Sales_Data[[#This Row],[Total Revenue]]&gt;=10000,"Medium Value","Low Value"))</f>
        <v>Low Value</v>
      </c>
    </row>
    <row r="1621" spans="1:16" x14ac:dyDescent="0.35">
      <c r="A1621" s="1">
        <v>43260</v>
      </c>
      <c r="B1621">
        <v>8</v>
      </c>
      <c r="C1621">
        <v>6.4619999999999997</v>
      </c>
      <c r="D1621">
        <v>3</v>
      </c>
      <c r="E1621">
        <v>21</v>
      </c>
      <c r="F1621">
        <v>11</v>
      </c>
      <c r="G1621">
        <v>0</v>
      </c>
      <c r="H1621">
        <v>5</v>
      </c>
      <c r="I1621">
        <v>0</v>
      </c>
      <c r="J1621">
        <v>2018</v>
      </c>
      <c r="K1621">
        <v>6</v>
      </c>
      <c r="L1621" t="s">
        <v>13</v>
      </c>
      <c r="M1621">
        <f>SUM(Pharma_Sales_Data[[#This Row],[M01AB]:[R06]])</f>
        <v>54.462000000000003</v>
      </c>
      <c r="N1621" s="2">
        <f>Pharma_Sales_Data[[#This Row],[Total Drug Sales]]*150</f>
        <v>8169.3</v>
      </c>
      <c r="O1621" s="2">
        <f>Pharma_Sales_Data[[#This Row],[Total Revenue]]*0.3</f>
        <v>2450.79</v>
      </c>
      <c r="P1621" t="str">
        <f>IF(Pharma_Sales_Data[[#This Row],[Total Revenue]]&gt;20000,"High Value", IF(Pharma_Sales_Data[[#This Row],[Total Revenue]]&gt;=10000,"Medium Value","Low Value"))</f>
        <v>Low Value</v>
      </c>
    </row>
    <row r="1622" spans="1:16" x14ac:dyDescent="0.35">
      <c r="A1622" s="1">
        <v>43261</v>
      </c>
      <c r="B1622">
        <v>2.66</v>
      </c>
      <c r="C1622">
        <v>4.6929999999999996</v>
      </c>
      <c r="D1622">
        <v>5</v>
      </c>
      <c r="E1622">
        <v>33.200000000000003</v>
      </c>
      <c r="F1622">
        <v>7</v>
      </c>
      <c r="G1622">
        <v>0</v>
      </c>
      <c r="H1622">
        <v>0</v>
      </c>
      <c r="I1622">
        <v>3</v>
      </c>
      <c r="J1622">
        <v>2018</v>
      </c>
      <c r="K1622">
        <v>6</v>
      </c>
      <c r="L1622" t="s">
        <v>14</v>
      </c>
      <c r="M1622">
        <f>SUM(Pharma_Sales_Data[[#This Row],[M01AB]:[R06]])</f>
        <v>55.553000000000004</v>
      </c>
      <c r="N1622" s="2">
        <f>Pharma_Sales_Data[[#This Row],[Total Drug Sales]]*150</f>
        <v>8332.9500000000007</v>
      </c>
      <c r="O1622" s="2">
        <f>Pharma_Sales_Data[[#This Row],[Total Revenue]]*0.3</f>
        <v>2499.8850000000002</v>
      </c>
      <c r="P1622" t="str">
        <f>IF(Pharma_Sales_Data[[#This Row],[Total Revenue]]&gt;20000,"High Value", IF(Pharma_Sales_Data[[#This Row],[Total Revenue]]&gt;=10000,"Medium Value","Low Value"))</f>
        <v>Low Value</v>
      </c>
    </row>
    <row r="1623" spans="1:16" x14ac:dyDescent="0.35">
      <c r="A1623" s="1">
        <v>43262</v>
      </c>
      <c r="B1623">
        <v>8</v>
      </c>
      <c r="C1623">
        <v>8.33</v>
      </c>
      <c r="D1623">
        <v>3.1</v>
      </c>
      <c r="E1623">
        <v>17</v>
      </c>
      <c r="F1623">
        <v>17</v>
      </c>
      <c r="G1623">
        <v>0</v>
      </c>
      <c r="H1623">
        <v>0</v>
      </c>
      <c r="I1623">
        <v>6</v>
      </c>
      <c r="J1623">
        <v>2018</v>
      </c>
      <c r="K1623">
        <v>6</v>
      </c>
      <c r="L1623" t="s">
        <v>15</v>
      </c>
      <c r="M1623">
        <f>SUM(Pharma_Sales_Data[[#This Row],[M01AB]:[R06]])</f>
        <v>59.43</v>
      </c>
      <c r="N1623" s="2">
        <f>Pharma_Sales_Data[[#This Row],[Total Drug Sales]]*150</f>
        <v>8914.5</v>
      </c>
      <c r="O1623" s="2">
        <f>Pharma_Sales_Data[[#This Row],[Total Revenue]]*0.3</f>
        <v>2674.35</v>
      </c>
      <c r="P1623" t="str">
        <f>IF(Pharma_Sales_Data[[#This Row],[Total Revenue]]&gt;20000,"High Value", IF(Pharma_Sales_Data[[#This Row],[Total Revenue]]&gt;=10000,"Medium Value","Low Value"))</f>
        <v>Low Value</v>
      </c>
    </row>
    <row r="1624" spans="1:16" x14ac:dyDescent="0.35">
      <c r="A1624" s="1">
        <v>43263</v>
      </c>
      <c r="B1624">
        <v>2.34</v>
      </c>
      <c r="C1624">
        <v>4.5</v>
      </c>
      <c r="D1624">
        <v>4</v>
      </c>
      <c r="E1624">
        <v>18.186</v>
      </c>
      <c r="F1624">
        <v>3</v>
      </c>
      <c r="G1624">
        <v>0</v>
      </c>
      <c r="H1624">
        <v>1</v>
      </c>
      <c r="I1624">
        <v>7.4</v>
      </c>
      <c r="J1624">
        <v>2018</v>
      </c>
      <c r="K1624">
        <v>6</v>
      </c>
      <c r="L1624" t="s">
        <v>16</v>
      </c>
      <c r="M1624">
        <f>SUM(Pharma_Sales_Data[[#This Row],[M01AB]:[R06]])</f>
        <v>40.425999999999995</v>
      </c>
      <c r="N1624" s="2">
        <f>Pharma_Sales_Data[[#This Row],[Total Drug Sales]]*150</f>
        <v>6063.9</v>
      </c>
      <c r="O1624" s="2">
        <f>Pharma_Sales_Data[[#This Row],[Total Revenue]]*0.3</f>
        <v>1819.1699999999998</v>
      </c>
      <c r="P1624" t="str">
        <f>IF(Pharma_Sales_Data[[#This Row],[Total Revenue]]&gt;20000,"High Value", IF(Pharma_Sales_Data[[#This Row],[Total Revenue]]&gt;=10000,"Medium Value","Low Value"))</f>
        <v>Low Value</v>
      </c>
    </row>
    <row r="1625" spans="1:16" x14ac:dyDescent="0.35">
      <c r="A1625" s="1">
        <v>43264</v>
      </c>
      <c r="B1625">
        <v>12</v>
      </c>
      <c r="C1625">
        <v>4.33</v>
      </c>
      <c r="D1625">
        <v>1.2</v>
      </c>
      <c r="E1625">
        <v>22.25</v>
      </c>
      <c r="F1625">
        <v>1</v>
      </c>
      <c r="G1625">
        <v>0</v>
      </c>
      <c r="H1625">
        <v>0</v>
      </c>
      <c r="I1625">
        <v>2</v>
      </c>
      <c r="J1625">
        <v>2018</v>
      </c>
      <c r="K1625">
        <v>6</v>
      </c>
      <c r="L1625" t="s">
        <v>17</v>
      </c>
      <c r="M1625">
        <f>SUM(Pharma_Sales_Data[[#This Row],[M01AB]:[R06]])</f>
        <v>42.78</v>
      </c>
      <c r="N1625" s="2">
        <f>Pharma_Sales_Data[[#This Row],[Total Drug Sales]]*150</f>
        <v>6417</v>
      </c>
      <c r="O1625" s="2">
        <f>Pharma_Sales_Data[[#This Row],[Total Revenue]]*0.3</f>
        <v>1925.1</v>
      </c>
      <c r="P1625" t="str">
        <f>IF(Pharma_Sales_Data[[#This Row],[Total Revenue]]&gt;20000,"High Value", IF(Pharma_Sales_Data[[#This Row],[Total Revenue]]&gt;=10000,"Medium Value","Low Value"))</f>
        <v>Low Value</v>
      </c>
    </row>
    <row r="1626" spans="1:16" x14ac:dyDescent="0.35">
      <c r="A1626" s="1">
        <v>43265</v>
      </c>
      <c r="B1626">
        <v>0</v>
      </c>
      <c r="C1626">
        <v>1</v>
      </c>
      <c r="D1626">
        <v>1</v>
      </c>
      <c r="E1626">
        <v>22</v>
      </c>
      <c r="F1626">
        <v>11</v>
      </c>
      <c r="G1626">
        <v>0</v>
      </c>
      <c r="H1626">
        <v>0</v>
      </c>
      <c r="I1626">
        <v>2</v>
      </c>
      <c r="J1626">
        <v>2018</v>
      </c>
      <c r="K1626">
        <v>6</v>
      </c>
      <c r="L1626" t="s">
        <v>11</v>
      </c>
      <c r="M1626">
        <f>SUM(Pharma_Sales_Data[[#This Row],[M01AB]:[R06]])</f>
        <v>37</v>
      </c>
      <c r="N1626" s="2">
        <f>Pharma_Sales_Data[[#This Row],[Total Drug Sales]]*150</f>
        <v>5550</v>
      </c>
      <c r="O1626" s="2">
        <f>Pharma_Sales_Data[[#This Row],[Total Revenue]]*0.3</f>
        <v>1665</v>
      </c>
      <c r="P1626" t="str">
        <f>IF(Pharma_Sales_Data[[#This Row],[Total Revenue]]&gt;20000,"High Value", IF(Pharma_Sales_Data[[#This Row],[Total Revenue]]&gt;=10000,"Medium Value","Low Value"))</f>
        <v>Low Value</v>
      </c>
    </row>
    <row r="1627" spans="1:16" x14ac:dyDescent="0.35">
      <c r="A1627" s="1">
        <v>43266</v>
      </c>
      <c r="B1627">
        <v>1</v>
      </c>
      <c r="C1627">
        <v>6.6000000000000003E-2</v>
      </c>
      <c r="D1627">
        <v>0.3</v>
      </c>
      <c r="E1627">
        <v>11.132999999999999</v>
      </c>
      <c r="F1627">
        <v>10</v>
      </c>
      <c r="G1627">
        <v>0</v>
      </c>
      <c r="H1627">
        <v>8</v>
      </c>
      <c r="I1627">
        <v>2</v>
      </c>
      <c r="J1627">
        <v>2018</v>
      </c>
      <c r="K1627">
        <v>6</v>
      </c>
      <c r="L1627" t="s">
        <v>12</v>
      </c>
      <c r="M1627">
        <f>SUM(Pharma_Sales_Data[[#This Row],[M01AB]:[R06]])</f>
        <v>32.498999999999995</v>
      </c>
      <c r="N1627" s="2">
        <f>Pharma_Sales_Data[[#This Row],[Total Drug Sales]]*150</f>
        <v>4874.8499999999995</v>
      </c>
      <c r="O1627" s="2">
        <f>Pharma_Sales_Data[[#This Row],[Total Revenue]]*0.3</f>
        <v>1462.4549999999997</v>
      </c>
      <c r="P1627" t="str">
        <f>IF(Pharma_Sales_Data[[#This Row],[Total Revenue]]&gt;20000,"High Value", IF(Pharma_Sales_Data[[#This Row],[Total Revenue]]&gt;=10000,"Medium Value","Low Value"))</f>
        <v>Low Value</v>
      </c>
    </row>
    <row r="1628" spans="1:16" x14ac:dyDescent="0.35">
      <c r="A1628" s="1">
        <v>43267</v>
      </c>
      <c r="B1628">
        <v>3.34</v>
      </c>
      <c r="C1628">
        <v>6.383</v>
      </c>
      <c r="D1628">
        <v>5</v>
      </c>
      <c r="E1628">
        <v>10</v>
      </c>
      <c r="F1628">
        <v>5</v>
      </c>
      <c r="G1628">
        <v>0</v>
      </c>
      <c r="H1628">
        <v>2</v>
      </c>
      <c r="I1628">
        <v>7</v>
      </c>
      <c r="J1628">
        <v>2018</v>
      </c>
      <c r="K1628">
        <v>6</v>
      </c>
      <c r="L1628" t="s">
        <v>13</v>
      </c>
      <c r="M1628">
        <f>SUM(Pharma_Sales_Data[[#This Row],[M01AB]:[R06]])</f>
        <v>38.722999999999999</v>
      </c>
      <c r="N1628" s="2">
        <f>Pharma_Sales_Data[[#This Row],[Total Drug Sales]]*150</f>
        <v>5808.45</v>
      </c>
      <c r="O1628" s="2">
        <f>Pharma_Sales_Data[[#This Row],[Total Revenue]]*0.3</f>
        <v>1742.5349999999999</v>
      </c>
      <c r="P1628" t="str">
        <f>IF(Pharma_Sales_Data[[#This Row],[Total Revenue]]&gt;20000,"High Value", IF(Pharma_Sales_Data[[#This Row],[Total Revenue]]&gt;=10000,"Medium Value","Low Value"))</f>
        <v>Low Value</v>
      </c>
    </row>
    <row r="1629" spans="1:16" x14ac:dyDescent="0.35">
      <c r="A1629" s="1">
        <v>43268</v>
      </c>
      <c r="B1629">
        <v>4.84</v>
      </c>
      <c r="C1629">
        <v>6.5860000000000003</v>
      </c>
      <c r="D1629">
        <v>6</v>
      </c>
      <c r="E1629">
        <v>24</v>
      </c>
      <c r="F1629">
        <v>10</v>
      </c>
      <c r="G1629">
        <v>0</v>
      </c>
      <c r="H1629">
        <v>5</v>
      </c>
      <c r="I1629">
        <v>4</v>
      </c>
      <c r="J1629">
        <v>2018</v>
      </c>
      <c r="K1629">
        <v>6</v>
      </c>
      <c r="L1629" t="s">
        <v>14</v>
      </c>
      <c r="M1629">
        <f>SUM(Pharma_Sales_Data[[#This Row],[M01AB]:[R06]])</f>
        <v>60.426000000000002</v>
      </c>
      <c r="N1629" s="2">
        <f>Pharma_Sales_Data[[#This Row],[Total Drug Sales]]*150</f>
        <v>9063.9</v>
      </c>
      <c r="O1629" s="2">
        <f>Pharma_Sales_Data[[#This Row],[Total Revenue]]*0.3</f>
        <v>2719.1699999999996</v>
      </c>
      <c r="P1629" t="str">
        <f>IF(Pharma_Sales_Data[[#This Row],[Total Revenue]]&gt;20000,"High Value", IF(Pharma_Sales_Data[[#This Row],[Total Revenue]]&gt;=10000,"Medium Value","Low Value"))</f>
        <v>Low Value</v>
      </c>
    </row>
    <row r="1630" spans="1:16" x14ac:dyDescent="0.35">
      <c r="A1630" s="1">
        <v>43269</v>
      </c>
      <c r="B1630">
        <v>4.5</v>
      </c>
      <c r="C1630">
        <v>1.33</v>
      </c>
      <c r="D1630">
        <v>2.1</v>
      </c>
      <c r="E1630">
        <v>14</v>
      </c>
      <c r="F1630">
        <v>4</v>
      </c>
      <c r="G1630">
        <v>0</v>
      </c>
      <c r="H1630">
        <v>1</v>
      </c>
      <c r="I1630">
        <v>6</v>
      </c>
      <c r="J1630">
        <v>2018</v>
      </c>
      <c r="K1630">
        <v>6</v>
      </c>
      <c r="L1630" t="s">
        <v>15</v>
      </c>
      <c r="M1630">
        <f>SUM(Pharma_Sales_Data[[#This Row],[M01AB]:[R06]])</f>
        <v>32.93</v>
      </c>
      <c r="N1630" s="2">
        <f>Pharma_Sales_Data[[#This Row],[Total Drug Sales]]*150</f>
        <v>4939.5</v>
      </c>
      <c r="O1630" s="2">
        <f>Pharma_Sales_Data[[#This Row],[Total Revenue]]*0.3</f>
        <v>1481.85</v>
      </c>
      <c r="P1630" t="str">
        <f>IF(Pharma_Sales_Data[[#This Row],[Total Revenue]]&gt;20000,"High Value", IF(Pharma_Sales_Data[[#This Row],[Total Revenue]]&gt;=10000,"Medium Value","Low Value"))</f>
        <v>Low Value</v>
      </c>
    </row>
    <row r="1631" spans="1:16" x14ac:dyDescent="0.35">
      <c r="A1631" s="1">
        <v>43270</v>
      </c>
      <c r="B1631">
        <v>4</v>
      </c>
      <c r="C1631">
        <v>3.34</v>
      </c>
      <c r="D1631">
        <v>4</v>
      </c>
      <c r="E1631">
        <v>23</v>
      </c>
      <c r="F1631">
        <v>8</v>
      </c>
      <c r="G1631">
        <v>0</v>
      </c>
      <c r="H1631">
        <v>5</v>
      </c>
      <c r="I1631">
        <v>3</v>
      </c>
      <c r="J1631">
        <v>2018</v>
      </c>
      <c r="K1631">
        <v>6</v>
      </c>
      <c r="L1631" t="s">
        <v>16</v>
      </c>
      <c r="M1631">
        <f>SUM(Pharma_Sales_Data[[#This Row],[M01AB]:[R06]])</f>
        <v>50.34</v>
      </c>
      <c r="N1631" s="2">
        <f>Pharma_Sales_Data[[#This Row],[Total Drug Sales]]*150</f>
        <v>7551.0000000000009</v>
      </c>
      <c r="O1631" s="2">
        <f>Pharma_Sales_Data[[#This Row],[Total Revenue]]*0.3</f>
        <v>2265.3000000000002</v>
      </c>
      <c r="P1631" t="str">
        <f>IF(Pharma_Sales_Data[[#This Row],[Total Revenue]]&gt;20000,"High Value", IF(Pharma_Sales_Data[[#This Row],[Total Revenue]]&gt;=10000,"Medium Value","Low Value"))</f>
        <v>Low Value</v>
      </c>
    </row>
    <row r="1632" spans="1:16" x14ac:dyDescent="0.35">
      <c r="A1632" s="1">
        <v>43271</v>
      </c>
      <c r="B1632">
        <v>3.66</v>
      </c>
      <c r="C1632">
        <v>4.5279999999999996</v>
      </c>
      <c r="D1632">
        <v>2.5</v>
      </c>
      <c r="E1632">
        <v>15.061999999999999</v>
      </c>
      <c r="F1632">
        <v>8</v>
      </c>
      <c r="G1632">
        <v>3</v>
      </c>
      <c r="H1632">
        <v>11</v>
      </c>
      <c r="I1632">
        <v>2.6</v>
      </c>
      <c r="J1632">
        <v>2018</v>
      </c>
      <c r="K1632">
        <v>6</v>
      </c>
      <c r="L1632" t="s">
        <v>17</v>
      </c>
      <c r="M1632">
        <f>SUM(Pharma_Sales_Data[[#This Row],[M01AB]:[R06]])</f>
        <v>50.35</v>
      </c>
      <c r="N1632" s="2">
        <f>Pharma_Sales_Data[[#This Row],[Total Drug Sales]]*150</f>
        <v>7552.5</v>
      </c>
      <c r="O1632" s="2">
        <f>Pharma_Sales_Data[[#This Row],[Total Revenue]]*0.3</f>
        <v>2265.75</v>
      </c>
      <c r="P1632" t="str">
        <f>IF(Pharma_Sales_Data[[#This Row],[Total Revenue]]&gt;20000,"High Value", IF(Pharma_Sales_Data[[#This Row],[Total Revenue]]&gt;=10000,"Medium Value","Low Value"))</f>
        <v>Low Value</v>
      </c>
    </row>
    <row r="1633" spans="1:16" x14ac:dyDescent="0.35">
      <c r="A1633" s="1">
        <v>43272</v>
      </c>
      <c r="B1633">
        <v>3.35</v>
      </c>
      <c r="C1633">
        <v>2.9129999999999998</v>
      </c>
      <c r="D1633">
        <v>4</v>
      </c>
      <c r="E1633">
        <v>36</v>
      </c>
      <c r="F1633">
        <v>5</v>
      </c>
      <c r="G1633">
        <v>0</v>
      </c>
      <c r="H1633">
        <v>5</v>
      </c>
      <c r="I1633">
        <v>10.5</v>
      </c>
      <c r="J1633">
        <v>2018</v>
      </c>
      <c r="K1633">
        <v>6</v>
      </c>
      <c r="L1633" t="s">
        <v>11</v>
      </c>
      <c r="M1633">
        <f>SUM(Pharma_Sales_Data[[#This Row],[M01AB]:[R06]])</f>
        <v>66.763000000000005</v>
      </c>
      <c r="N1633" s="2">
        <f>Pharma_Sales_Data[[#This Row],[Total Drug Sales]]*150</f>
        <v>10014.450000000001</v>
      </c>
      <c r="O1633" s="2">
        <f>Pharma_Sales_Data[[#This Row],[Total Revenue]]*0.3</f>
        <v>3004.335</v>
      </c>
      <c r="P1633" t="str">
        <f>IF(Pharma_Sales_Data[[#This Row],[Total Revenue]]&gt;20000,"High Value", IF(Pharma_Sales_Data[[#This Row],[Total Revenue]]&gt;=10000,"Medium Value","Low Value"))</f>
        <v>Medium Value</v>
      </c>
    </row>
    <row r="1634" spans="1:16" x14ac:dyDescent="0.35">
      <c r="A1634" s="1">
        <v>43273</v>
      </c>
      <c r="B1634">
        <v>5</v>
      </c>
      <c r="C1634">
        <v>5.0990000000000002</v>
      </c>
      <c r="D1634">
        <v>4.1500000000000004</v>
      </c>
      <c r="E1634">
        <v>12</v>
      </c>
      <c r="F1634">
        <v>3</v>
      </c>
      <c r="G1634">
        <v>0</v>
      </c>
      <c r="H1634">
        <v>6</v>
      </c>
      <c r="I1634">
        <v>5.5</v>
      </c>
      <c r="J1634">
        <v>2018</v>
      </c>
      <c r="K1634">
        <v>6</v>
      </c>
      <c r="L1634" t="s">
        <v>12</v>
      </c>
      <c r="M1634">
        <f>SUM(Pharma_Sales_Data[[#This Row],[M01AB]:[R06]])</f>
        <v>40.749000000000002</v>
      </c>
      <c r="N1634" s="2">
        <f>Pharma_Sales_Data[[#This Row],[Total Drug Sales]]*150</f>
        <v>6112.35</v>
      </c>
      <c r="O1634" s="2">
        <f>Pharma_Sales_Data[[#This Row],[Total Revenue]]*0.3</f>
        <v>1833.7050000000002</v>
      </c>
      <c r="P1634" t="str">
        <f>IF(Pharma_Sales_Data[[#This Row],[Total Revenue]]&gt;20000,"High Value", IF(Pharma_Sales_Data[[#This Row],[Total Revenue]]&gt;=10000,"Medium Value","Low Value"))</f>
        <v>Low Value</v>
      </c>
    </row>
    <row r="1635" spans="1:16" x14ac:dyDescent="0.35">
      <c r="A1635" s="1">
        <v>43274</v>
      </c>
      <c r="B1635">
        <v>5.33</v>
      </c>
      <c r="C1635">
        <v>7.343</v>
      </c>
      <c r="D1635">
        <v>2</v>
      </c>
      <c r="E1635">
        <v>14</v>
      </c>
      <c r="F1635">
        <v>7</v>
      </c>
      <c r="G1635">
        <v>0</v>
      </c>
      <c r="H1635">
        <v>1</v>
      </c>
      <c r="I1635">
        <v>2</v>
      </c>
      <c r="J1635">
        <v>2018</v>
      </c>
      <c r="K1635">
        <v>6</v>
      </c>
      <c r="L1635" t="s">
        <v>13</v>
      </c>
      <c r="M1635">
        <f>SUM(Pharma_Sales_Data[[#This Row],[M01AB]:[R06]])</f>
        <v>38.673000000000002</v>
      </c>
      <c r="N1635" s="2">
        <f>Pharma_Sales_Data[[#This Row],[Total Drug Sales]]*150</f>
        <v>5800.9500000000007</v>
      </c>
      <c r="O1635" s="2">
        <f>Pharma_Sales_Data[[#This Row],[Total Revenue]]*0.3</f>
        <v>1740.2850000000001</v>
      </c>
      <c r="P1635" t="str">
        <f>IF(Pharma_Sales_Data[[#This Row],[Total Revenue]]&gt;20000,"High Value", IF(Pharma_Sales_Data[[#This Row],[Total Revenue]]&gt;=10000,"Medium Value","Low Value"))</f>
        <v>Low Value</v>
      </c>
    </row>
    <row r="1636" spans="1:16" x14ac:dyDescent="0.35">
      <c r="A1636" s="1">
        <v>43275</v>
      </c>
      <c r="B1636">
        <v>1.67</v>
      </c>
      <c r="C1636">
        <v>4.7460000000000004</v>
      </c>
      <c r="D1636">
        <v>2</v>
      </c>
      <c r="E1636">
        <v>29</v>
      </c>
      <c r="F1636">
        <v>10</v>
      </c>
      <c r="G1636">
        <v>0</v>
      </c>
      <c r="H1636">
        <v>0</v>
      </c>
      <c r="I1636">
        <v>3</v>
      </c>
      <c r="J1636">
        <v>2018</v>
      </c>
      <c r="K1636">
        <v>6</v>
      </c>
      <c r="L1636" t="s">
        <v>14</v>
      </c>
      <c r="M1636">
        <f>SUM(Pharma_Sales_Data[[#This Row],[M01AB]:[R06]])</f>
        <v>50.415999999999997</v>
      </c>
      <c r="N1636" s="2">
        <f>Pharma_Sales_Data[[#This Row],[Total Drug Sales]]*150</f>
        <v>7562.4</v>
      </c>
      <c r="O1636" s="2">
        <f>Pharma_Sales_Data[[#This Row],[Total Revenue]]*0.3</f>
        <v>2268.7199999999998</v>
      </c>
      <c r="P1636" t="str">
        <f>IF(Pharma_Sales_Data[[#This Row],[Total Revenue]]&gt;20000,"High Value", IF(Pharma_Sales_Data[[#This Row],[Total Revenue]]&gt;=10000,"Medium Value","Low Value"))</f>
        <v>Low Value</v>
      </c>
    </row>
    <row r="1637" spans="1:16" x14ac:dyDescent="0.35">
      <c r="A1637" s="1">
        <v>43276</v>
      </c>
      <c r="B1637">
        <v>3.33</v>
      </c>
      <c r="C1637">
        <v>3.0990000000000002</v>
      </c>
      <c r="D1637">
        <v>0</v>
      </c>
      <c r="E1637">
        <v>31.062000000000001</v>
      </c>
      <c r="F1637">
        <v>12</v>
      </c>
      <c r="G1637">
        <v>3</v>
      </c>
      <c r="H1637">
        <v>5</v>
      </c>
      <c r="I1637">
        <v>2</v>
      </c>
      <c r="J1637">
        <v>2018</v>
      </c>
      <c r="K1637">
        <v>6</v>
      </c>
      <c r="L1637" t="s">
        <v>15</v>
      </c>
      <c r="M1637">
        <f>SUM(Pharma_Sales_Data[[#This Row],[M01AB]:[R06]])</f>
        <v>59.491</v>
      </c>
      <c r="N1637" s="2">
        <f>Pharma_Sales_Data[[#This Row],[Total Drug Sales]]*150</f>
        <v>8923.65</v>
      </c>
      <c r="O1637" s="2">
        <f>Pharma_Sales_Data[[#This Row],[Total Revenue]]*0.3</f>
        <v>2677.0949999999998</v>
      </c>
      <c r="P1637" t="str">
        <f>IF(Pharma_Sales_Data[[#This Row],[Total Revenue]]&gt;20000,"High Value", IF(Pharma_Sales_Data[[#This Row],[Total Revenue]]&gt;=10000,"Medium Value","Low Value"))</f>
        <v>Low Value</v>
      </c>
    </row>
    <row r="1638" spans="1:16" x14ac:dyDescent="0.35">
      <c r="A1638" s="1">
        <v>43277</v>
      </c>
      <c r="B1638">
        <v>10.33</v>
      </c>
      <c r="C1638">
        <v>5.67</v>
      </c>
      <c r="D1638">
        <v>3</v>
      </c>
      <c r="E1638">
        <v>15</v>
      </c>
      <c r="F1638">
        <v>6</v>
      </c>
      <c r="G1638">
        <v>0</v>
      </c>
      <c r="H1638">
        <v>9</v>
      </c>
      <c r="I1638">
        <v>4.4000000000000004</v>
      </c>
      <c r="J1638">
        <v>2018</v>
      </c>
      <c r="K1638">
        <v>6</v>
      </c>
      <c r="L1638" t="s">
        <v>16</v>
      </c>
      <c r="M1638">
        <f>SUM(Pharma_Sales_Data[[#This Row],[M01AB]:[R06]])</f>
        <v>53.4</v>
      </c>
      <c r="N1638" s="2">
        <f>Pharma_Sales_Data[[#This Row],[Total Drug Sales]]*150</f>
        <v>8010</v>
      </c>
      <c r="O1638" s="2">
        <f>Pharma_Sales_Data[[#This Row],[Total Revenue]]*0.3</f>
        <v>2403</v>
      </c>
      <c r="P1638" t="str">
        <f>IF(Pharma_Sales_Data[[#This Row],[Total Revenue]]&gt;20000,"High Value", IF(Pharma_Sales_Data[[#This Row],[Total Revenue]]&gt;=10000,"Medium Value","Low Value"))</f>
        <v>Low Value</v>
      </c>
    </row>
    <row r="1639" spans="1:16" x14ac:dyDescent="0.35">
      <c r="A1639" s="1">
        <v>43278</v>
      </c>
      <c r="B1639">
        <v>2</v>
      </c>
      <c r="C1639">
        <v>2.3959999999999999</v>
      </c>
      <c r="D1639">
        <v>3</v>
      </c>
      <c r="E1639">
        <v>11</v>
      </c>
      <c r="F1639">
        <v>10</v>
      </c>
      <c r="G1639">
        <v>0</v>
      </c>
      <c r="H1639">
        <v>2</v>
      </c>
      <c r="I1639">
        <v>3</v>
      </c>
      <c r="J1639">
        <v>2018</v>
      </c>
      <c r="K1639">
        <v>6</v>
      </c>
      <c r="L1639" t="s">
        <v>17</v>
      </c>
      <c r="M1639">
        <f>SUM(Pharma_Sales_Data[[#This Row],[M01AB]:[R06]])</f>
        <v>33.396000000000001</v>
      </c>
      <c r="N1639" s="2">
        <f>Pharma_Sales_Data[[#This Row],[Total Drug Sales]]*150</f>
        <v>5009.4000000000005</v>
      </c>
      <c r="O1639" s="2">
        <f>Pharma_Sales_Data[[#This Row],[Total Revenue]]*0.3</f>
        <v>1502.8200000000002</v>
      </c>
      <c r="P1639" t="str">
        <f>IF(Pharma_Sales_Data[[#This Row],[Total Revenue]]&gt;20000,"High Value", IF(Pharma_Sales_Data[[#This Row],[Total Revenue]]&gt;=10000,"Medium Value","Low Value"))</f>
        <v>Low Value</v>
      </c>
    </row>
    <row r="1640" spans="1:16" x14ac:dyDescent="0.35">
      <c r="A1640" s="1">
        <v>43279</v>
      </c>
      <c r="B1640">
        <v>3</v>
      </c>
      <c r="C1640">
        <v>2.1920000000000002</v>
      </c>
      <c r="D1640">
        <v>4</v>
      </c>
      <c r="E1640">
        <v>10</v>
      </c>
      <c r="F1640">
        <v>13</v>
      </c>
      <c r="G1640">
        <v>0</v>
      </c>
      <c r="H1640">
        <v>5</v>
      </c>
      <c r="I1640">
        <v>2</v>
      </c>
      <c r="J1640">
        <v>2018</v>
      </c>
      <c r="K1640">
        <v>6</v>
      </c>
      <c r="L1640" t="s">
        <v>11</v>
      </c>
      <c r="M1640">
        <f>SUM(Pharma_Sales_Data[[#This Row],[M01AB]:[R06]])</f>
        <v>39.192</v>
      </c>
      <c r="N1640" s="2">
        <f>Pharma_Sales_Data[[#This Row],[Total Drug Sales]]*150</f>
        <v>5878.8</v>
      </c>
      <c r="O1640" s="2">
        <f>Pharma_Sales_Data[[#This Row],[Total Revenue]]*0.3</f>
        <v>1763.64</v>
      </c>
      <c r="P1640" t="str">
        <f>IF(Pharma_Sales_Data[[#This Row],[Total Revenue]]&gt;20000,"High Value", IF(Pharma_Sales_Data[[#This Row],[Total Revenue]]&gt;=10000,"Medium Value","Low Value"))</f>
        <v>Low Value</v>
      </c>
    </row>
    <row r="1641" spans="1:16" x14ac:dyDescent="0.35">
      <c r="A1641" s="1">
        <v>43280</v>
      </c>
      <c r="B1641">
        <v>1</v>
      </c>
      <c r="C1641">
        <v>3</v>
      </c>
      <c r="D1641">
        <v>2</v>
      </c>
      <c r="E1641">
        <v>10</v>
      </c>
      <c r="F1641">
        <v>8</v>
      </c>
      <c r="G1641">
        <v>0</v>
      </c>
      <c r="H1641">
        <v>0</v>
      </c>
      <c r="I1641">
        <v>4</v>
      </c>
      <c r="J1641">
        <v>2018</v>
      </c>
      <c r="K1641">
        <v>6</v>
      </c>
      <c r="L1641" t="s">
        <v>12</v>
      </c>
      <c r="M1641">
        <f>SUM(Pharma_Sales_Data[[#This Row],[M01AB]:[R06]])</f>
        <v>28</v>
      </c>
      <c r="N1641" s="2">
        <f>Pharma_Sales_Data[[#This Row],[Total Drug Sales]]*150</f>
        <v>4200</v>
      </c>
      <c r="O1641" s="2">
        <f>Pharma_Sales_Data[[#This Row],[Total Revenue]]*0.3</f>
        <v>1260</v>
      </c>
      <c r="P1641" t="str">
        <f>IF(Pharma_Sales_Data[[#This Row],[Total Revenue]]&gt;20000,"High Value", IF(Pharma_Sales_Data[[#This Row],[Total Revenue]]&gt;=10000,"Medium Value","Low Value"))</f>
        <v>Low Value</v>
      </c>
    </row>
    <row r="1642" spans="1:16" x14ac:dyDescent="0.35">
      <c r="A1642" s="1">
        <v>43281</v>
      </c>
      <c r="B1642">
        <v>6.84</v>
      </c>
      <c r="C1642">
        <v>3.34</v>
      </c>
      <c r="D1642">
        <v>7</v>
      </c>
      <c r="E1642">
        <v>26.8</v>
      </c>
      <c r="F1642">
        <v>10</v>
      </c>
      <c r="G1642">
        <v>2</v>
      </c>
      <c r="H1642">
        <v>0</v>
      </c>
      <c r="I1642">
        <v>4</v>
      </c>
      <c r="J1642">
        <v>2018</v>
      </c>
      <c r="K1642">
        <v>6</v>
      </c>
      <c r="L1642" t="s">
        <v>13</v>
      </c>
      <c r="M1642">
        <f>SUM(Pharma_Sales_Data[[#This Row],[M01AB]:[R06]])</f>
        <v>59.980000000000004</v>
      </c>
      <c r="N1642" s="2">
        <f>Pharma_Sales_Data[[#This Row],[Total Drug Sales]]*150</f>
        <v>8997</v>
      </c>
      <c r="O1642" s="2">
        <f>Pharma_Sales_Data[[#This Row],[Total Revenue]]*0.3</f>
        <v>2699.1</v>
      </c>
      <c r="P1642" t="str">
        <f>IF(Pharma_Sales_Data[[#This Row],[Total Revenue]]&gt;20000,"High Value", IF(Pharma_Sales_Data[[#This Row],[Total Revenue]]&gt;=10000,"Medium Value","Low Value"))</f>
        <v>Low Value</v>
      </c>
    </row>
    <row r="1643" spans="1:16" x14ac:dyDescent="0.35">
      <c r="A1643" s="1">
        <v>43282</v>
      </c>
      <c r="B1643">
        <v>2</v>
      </c>
      <c r="C1643">
        <v>3.6930000000000001</v>
      </c>
      <c r="D1643">
        <v>1</v>
      </c>
      <c r="E1643">
        <v>22</v>
      </c>
      <c r="F1643">
        <v>7</v>
      </c>
      <c r="G1643">
        <v>0</v>
      </c>
      <c r="H1643">
        <v>10</v>
      </c>
      <c r="I1643">
        <v>4</v>
      </c>
      <c r="J1643">
        <v>2018</v>
      </c>
      <c r="K1643">
        <v>7</v>
      </c>
      <c r="L1643" t="s">
        <v>14</v>
      </c>
      <c r="M1643">
        <f>SUM(Pharma_Sales_Data[[#This Row],[M01AB]:[R06]])</f>
        <v>49.692999999999998</v>
      </c>
      <c r="N1643" s="2">
        <f>Pharma_Sales_Data[[#This Row],[Total Drug Sales]]*150</f>
        <v>7453.95</v>
      </c>
      <c r="O1643" s="2">
        <f>Pharma_Sales_Data[[#This Row],[Total Revenue]]*0.3</f>
        <v>2236.1849999999999</v>
      </c>
      <c r="P1643" t="str">
        <f>IF(Pharma_Sales_Data[[#This Row],[Total Revenue]]&gt;20000,"High Value", IF(Pharma_Sales_Data[[#This Row],[Total Revenue]]&gt;=10000,"Medium Value","Low Value"))</f>
        <v>Low Value</v>
      </c>
    </row>
    <row r="1644" spans="1:16" x14ac:dyDescent="0.35">
      <c r="A1644" s="1">
        <v>43283</v>
      </c>
      <c r="B1644">
        <v>3.33</v>
      </c>
      <c r="C1644">
        <v>6.33</v>
      </c>
      <c r="D1644">
        <v>3</v>
      </c>
      <c r="E1644">
        <v>24.6</v>
      </c>
      <c r="F1644">
        <v>18</v>
      </c>
      <c r="G1644">
        <v>0</v>
      </c>
      <c r="H1644">
        <v>3</v>
      </c>
      <c r="I1644">
        <v>7</v>
      </c>
      <c r="J1644">
        <v>2018</v>
      </c>
      <c r="K1644">
        <v>7</v>
      </c>
      <c r="L1644" t="s">
        <v>15</v>
      </c>
      <c r="M1644">
        <f>SUM(Pharma_Sales_Data[[#This Row],[M01AB]:[R06]])</f>
        <v>65.260000000000005</v>
      </c>
      <c r="N1644" s="2">
        <f>Pharma_Sales_Data[[#This Row],[Total Drug Sales]]*150</f>
        <v>9789</v>
      </c>
      <c r="O1644" s="2">
        <f>Pharma_Sales_Data[[#This Row],[Total Revenue]]*0.3</f>
        <v>2936.7</v>
      </c>
      <c r="P1644" t="str">
        <f>IF(Pharma_Sales_Data[[#This Row],[Total Revenue]]&gt;20000,"High Value", IF(Pharma_Sales_Data[[#This Row],[Total Revenue]]&gt;=10000,"Medium Value","Low Value"))</f>
        <v>Low Value</v>
      </c>
    </row>
    <row r="1645" spans="1:16" x14ac:dyDescent="0.35">
      <c r="A1645" s="1">
        <v>43284</v>
      </c>
      <c r="B1645">
        <v>6.34</v>
      </c>
      <c r="C1645">
        <v>2.33</v>
      </c>
      <c r="D1645">
        <v>1</v>
      </c>
      <c r="E1645">
        <v>13.6</v>
      </c>
      <c r="F1645">
        <v>9</v>
      </c>
      <c r="G1645">
        <v>0</v>
      </c>
      <c r="H1645">
        <v>8</v>
      </c>
      <c r="I1645">
        <v>3</v>
      </c>
      <c r="J1645">
        <v>2018</v>
      </c>
      <c r="K1645">
        <v>7</v>
      </c>
      <c r="L1645" t="s">
        <v>16</v>
      </c>
      <c r="M1645">
        <f>SUM(Pharma_Sales_Data[[#This Row],[M01AB]:[R06]])</f>
        <v>43.269999999999996</v>
      </c>
      <c r="N1645" s="2">
        <f>Pharma_Sales_Data[[#This Row],[Total Drug Sales]]*150</f>
        <v>6490.4999999999991</v>
      </c>
      <c r="O1645" s="2">
        <f>Pharma_Sales_Data[[#This Row],[Total Revenue]]*0.3</f>
        <v>1947.1499999999996</v>
      </c>
      <c r="P1645" t="str">
        <f>IF(Pharma_Sales_Data[[#This Row],[Total Revenue]]&gt;20000,"High Value", IF(Pharma_Sales_Data[[#This Row],[Total Revenue]]&gt;=10000,"Medium Value","Low Value"))</f>
        <v>Low Value</v>
      </c>
    </row>
    <row r="1646" spans="1:16" x14ac:dyDescent="0.35">
      <c r="A1646" s="1">
        <v>43285</v>
      </c>
      <c r="B1646">
        <v>1</v>
      </c>
      <c r="C1646">
        <v>2.83</v>
      </c>
      <c r="D1646">
        <v>3.5</v>
      </c>
      <c r="E1646">
        <v>16.25</v>
      </c>
      <c r="F1646">
        <v>6</v>
      </c>
      <c r="G1646">
        <v>0</v>
      </c>
      <c r="H1646">
        <v>22</v>
      </c>
      <c r="I1646">
        <v>7</v>
      </c>
      <c r="J1646">
        <v>2018</v>
      </c>
      <c r="K1646">
        <v>7</v>
      </c>
      <c r="L1646" t="s">
        <v>17</v>
      </c>
      <c r="M1646">
        <f>SUM(Pharma_Sales_Data[[#This Row],[M01AB]:[R06]])</f>
        <v>58.58</v>
      </c>
      <c r="N1646" s="2">
        <f>Pharma_Sales_Data[[#This Row],[Total Drug Sales]]*150</f>
        <v>8787</v>
      </c>
      <c r="O1646" s="2">
        <f>Pharma_Sales_Data[[#This Row],[Total Revenue]]*0.3</f>
        <v>2636.1</v>
      </c>
      <c r="P1646" t="str">
        <f>IF(Pharma_Sales_Data[[#This Row],[Total Revenue]]&gt;20000,"High Value", IF(Pharma_Sales_Data[[#This Row],[Total Revenue]]&gt;=10000,"Medium Value","Low Value"))</f>
        <v>Low Value</v>
      </c>
    </row>
    <row r="1647" spans="1:16" x14ac:dyDescent="0.35">
      <c r="A1647" s="1">
        <v>43286</v>
      </c>
      <c r="B1647">
        <v>4.33</v>
      </c>
      <c r="C1647">
        <v>2.7589999999999999</v>
      </c>
      <c r="D1647">
        <v>4</v>
      </c>
      <c r="E1647">
        <v>15</v>
      </c>
      <c r="F1647">
        <v>6</v>
      </c>
      <c r="G1647">
        <v>3</v>
      </c>
      <c r="H1647">
        <v>3</v>
      </c>
      <c r="I1647">
        <v>1</v>
      </c>
      <c r="J1647">
        <v>2018</v>
      </c>
      <c r="K1647">
        <v>7</v>
      </c>
      <c r="L1647" t="s">
        <v>11</v>
      </c>
      <c r="M1647">
        <f>SUM(Pharma_Sales_Data[[#This Row],[M01AB]:[R06]])</f>
        <v>39.088999999999999</v>
      </c>
      <c r="N1647" s="2">
        <f>Pharma_Sales_Data[[#This Row],[Total Drug Sales]]*150</f>
        <v>5863.3499999999995</v>
      </c>
      <c r="O1647" s="2">
        <f>Pharma_Sales_Data[[#This Row],[Total Revenue]]*0.3</f>
        <v>1759.0049999999999</v>
      </c>
      <c r="P1647" t="str">
        <f>IF(Pharma_Sales_Data[[#This Row],[Total Revenue]]&gt;20000,"High Value", IF(Pharma_Sales_Data[[#This Row],[Total Revenue]]&gt;=10000,"Medium Value","Low Value"))</f>
        <v>Low Value</v>
      </c>
    </row>
    <row r="1648" spans="1:16" x14ac:dyDescent="0.35">
      <c r="A1648" s="1">
        <v>43287</v>
      </c>
      <c r="B1648">
        <v>2.33</v>
      </c>
      <c r="C1648">
        <v>5.33</v>
      </c>
      <c r="D1648">
        <v>1.25</v>
      </c>
      <c r="E1648">
        <v>20</v>
      </c>
      <c r="F1648">
        <v>15</v>
      </c>
      <c r="G1648">
        <v>0</v>
      </c>
      <c r="H1648">
        <v>0</v>
      </c>
      <c r="I1648">
        <v>6</v>
      </c>
      <c r="J1648">
        <v>2018</v>
      </c>
      <c r="K1648">
        <v>7</v>
      </c>
      <c r="L1648" t="s">
        <v>12</v>
      </c>
      <c r="M1648">
        <f>SUM(Pharma_Sales_Data[[#This Row],[M01AB]:[R06]])</f>
        <v>49.91</v>
      </c>
      <c r="N1648" s="2">
        <f>Pharma_Sales_Data[[#This Row],[Total Drug Sales]]*150</f>
        <v>7486.4999999999991</v>
      </c>
      <c r="O1648" s="2">
        <f>Pharma_Sales_Data[[#This Row],[Total Revenue]]*0.3</f>
        <v>2245.9499999999998</v>
      </c>
      <c r="P1648" t="str">
        <f>IF(Pharma_Sales_Data[[#This Row],[Total Revenue]]&gt;20000,"High Value", IF(Pharma_Sales_Data[[#This Row],[Total Revenue]]&gt;=10000,"Medium Value","Low Value"))</f>
        <v>Low Value</v>
      </c>
    </row>
    <row r="1649" spans="1:16" x14ac:dyDescent="0.35">
      <c r="A1649" s="1">
        <v>43288</v>
      </c>
      <c r="B1649">
        <v>6.33</v>
      </c>
      <c r="C1649">
        <v>8.52</v>
      </c>
      <c r="D1649">
        <v>7</v>
      </c>
      <c r="E1649">
        <v>19</v>
      </c>
      <c r="F1649">
        <v>14</v>
      </c>
      <c r="G1649">
        <v>0</v>
      </c>
      <c r="H1649">
        <v>0</v>
      </c>
      <c r="I1649">
        <v>5.5</v>
      </c>
      <c r="J1649">
        <v>2018</v>
      </c>
      <c r="K1649">
        <v>7</v>
      </c>
      <c r="L1649" t="s">
        <v>13</v>
      </c>
      <c r="M1649">
        <f>SUM(Pharma_Sales_Data[[#This Row],[M01AB]:[R06]])</f>
        <v>60.35</v>
      </c>
      <c r="N1649" s="2">
        <f>Pharma_Sales_Data[[#This Row],[Total Drug Sales]]*150</f>
        <v>9052.5</v>
      </c>
      <c r="O1649" s="2">
        <f>Pharma_Sales_Data[[#This Row],[Total Revenue]]*0.3</f>
        <v>2715.75</v>
      </c>
      <c r="P1649" t="str">
        <f>IF(Pharma_Sales_Data[[#This Row],[Total Revenue]]&gt;20000,"High Value", IF(Pharma_Sales_Data[[#This Row],[Total Revenue]]&gt;=10000,"Medium Value","Low Value"))</f>
        <v>Low Value</v>
      </c>
    </row>
    <row r="1650" spans="1:16" x14ac:dyDescent="0.35">
      <c r="A1650" s="1">
        <v>43289</v>
      </c>
      <c r="B1650">
        <v>7.33</v>
      </c>
      <c r="C1650">
        <v>5.2110000000000003</v>
      </c>
      <c r="D1650">
        <v>2</v>
      </c>
      <c r="E1650">
        <v>28</v>
      </c>
      <c r="F1650">
        <v>10</v>
      </c>
      <c r="G1650">
        <v>0</v>
      </c>
      <c r="H1650">
        <v>5</v>
      </c>
      <c r="I1650">
        <v>4</v>
      </c>
      <c r="J1650">
        <v>2018</v>
      </c>
      <c r="K1650">
        <v>7</v>
      </c>
      <c r="L1650" t="s">
        <v>14</v>
      </c>
      <c r="M1650">
        <f>SUM(Pharma_Sales_Data[[#This Row],[M01AB]:[R06]])</f>
        <v>61.540999999999997</v>
      </c>
      <c r="N1650" s="2">
        <f>Pharma_Sales_Data[[#This Row],[Total Drug Sales]]*150</f>
        <v>9231.15</v>
      </c>
      <c r="O1650" s="2">
        <f>Pharma_Sales_Data[[#This Row],[Total Revenue]]*0.3</f>
        <v>2769.3449999999998</v>
      </c>
      <c r="P1650" t="str">
        <f>IF(Pharma_Sales_Data[[#This Row],[Total Revenue]]&gt;20000,"High Value", IF(Pharma_Sales_Data[[#This Row],[Total Revenue]]&gt;=10000,"Medium Value","Low Value"))</f>
        <v>Low Value</v>
      </c>
    </row>
    <row r="1651" spans="1:16" x14ac:dyDescent="0.35">
      <c r="A1651" s="1">
        <v>43290</v>
      </c>
      <c r="B1651">
        <v>3.33</v>
      </c>
      <c r="C1651">
        <v>2</v>
      </c>
      <c r="D1651">
        <v>4</v>
      </c>
      <c r="E1651">
        <v>31</v>
      </c>
      <c r="F1651">
        <v>12</v>
      </c>
      <c r="G1651">
        <v>3</v>
      </c>
      <c r="H1651">
        <v>0</v>
      </c>
      <c r="I1651">
        <v>3</v>
      </c>
      <c r="J1651">
        <v>2018</v>
      </c>
      <c r="K1651">
        <v>7</v>
      </c>
      <c r="L1651" t="s">
        <v>15</v>
      </c>
      <c r="M1651">
        <f>SUM(Pharma_Sales_Data[[#This Row],[M01AB]:[R06]])</f>
        <v>58.33</v>
      </c>
      <c r="N1651" s="2">
        <f>Pharma_Sales_Data[[#This Row],[Total Drug Sales]]*150</f>
        <v>8749.5</v>
      </c>
      <c r="O1651" s="2">
        <f>Pharma_Sales_Data[[#This Row],[Total Revenue]]*0.3</f>
        <v>2624.85</v>
      </c>
      <c r="P1651" t="str">
        <f>IF(Pharma_Sales_Data[[#This Row],[Total Revenue]]&gt;20000,"High Value", IF(Pharma_Sales_Data[[#This Row],[Total Revenue]]&gt;=10000,"Medium Value","Low Value"))</f>
        <v>Low Value</v>
      </c>
    </row>
    <row r="1652" spans="1:16" x14ac:dyDescent="0.35">
      <c r="A1652" s="1">
        <v>43291</v>
      </c>
      <c r="B1652">
        <v>6</v>
      </c>
      <c r="C1652">
        <v>6.36</v>
      </c>
      <c r="D1652">
        <v>4</v>
      </c>
      <c r="E1652">
        <v>34</v>
      </c>
      <c r="F1652">
        <v>9</v>
      </c>
      <c r="G1652">
        <v>2</v>
      </c>
      <c r="H1652">
        <v>2</v>
      </c>
      <c r="I1652">
        <v>4</v>
      </c>
      <c r="J1652">
        <v>2018</v>
      </c>
      <c r="K1652">
        <v>7</v>
      </c>
      <c r="L1652" t="s">
        <v>16</v>
      </c>
      <c r="M1652">
        <f>SUM(Pharma_Sales_Data[[#This Row],[M01AB]:[R06]])</f>
        <v>67.36</v>
      </c>
      <c r="N1652" s="2">
        <f>Pharma_Sales_Data[[#This Row],[Total Drug Sales]]*150</f>
        <v>10104</v>
      </c>
      <c r="O1652" s="2">
        <f>Pharma_Sales_Data[[#This Row],[Total Revenue]]*0.3</f>
        <v>3031.2</v>
      </c>
      <c r="P1652" t="str">
        <f>IF(Pharma_Sales_Data[[#This Row],[Total Revenue]]&gt;20000,"High Value", IF(Pharma_Sales_Data[[#This Row],[Total Revenue]]&gt;=10000,"Medium Value","Low Value"))</f>
        <v>Medium Value</v>
      </c>
    </row>
    <row r="1653" spans="1:16" x14ac:dyDescent="0.35">
      <c r="A1653" s="1">
        <v>43292</v>
      </c>
      <c r="B1653">
        <v>10</v>
      </c>
      <c r="C1653">
        <v>3.363</v>
      </c>
      <c r="D1653">
        <v>3</v>
      </c>
      <c r="E1653">
        <v>29.4</v>
      </c>
      <c r="F1653">
        <v>13</v>
      </c>
      <c r="G1653">
        <v>0</v>
      </c>
      <c r="H1653">
        <v>6</v>
      </c>
      <c r="I1653">
        <v>2</v>
      </c>
      <c r="J1653">
        <v>2018</v>
      </c>
      <c r="K1653">
        <v>7</v>
      </c>
      <c r="L1653" t="s">
        <v>17</v>
      </c>
      <c r="M1653">
        <f>SUM(Pharma_Sales_Data[[#This Row],[M01AB]:[R06]])</f>
        <v>66.763000000000005</v>
      </c>
      <c r="N1653" s="2">
        <f>Pharma_Sales_Data[[#This Row],[Total Drug Sales]]*150</f>
        <v>10014.450000000001</v>
      </c>
      <c r="O1653" s="2">
        <f>Pharma_Sales_Data[[#This Row],[Total Revenue]]*0.3</f>
        <v>3004.335</v>
      </c>
      <c r="P1653" t="str">
        <f>IF(Pharma_Sales_Data[[#This Row],[Total Revenue]]&gt;20000,"High Value", IF(Pharma_Sales_Data[[#This Row],[Total Revenue]]&gt;=10000,"Medium Value","Low Value"))</f>
        <v>Medium Value</v>
      </c>
    </row>
    <row r="1654" spans="1:16" x14ac:dyDescent="0.35">
      <c r="A1654" s="1">
        <v>43293</v>
      </c>
      <c r="B1654">
        <v>3</v>
      </c>
      <c r="C1654">
        <v>4.34</v>
      </c>
      <c r="D1654">
        <v>7</v>
      </c>
      <c r="E1654">
        <v>24</v>
      </c>
      <c r="F1654">
        <v>11</v>
      </c>
      <c r="G1654">
        <v>4</v>
      </c>
      <c r="H1654">
        <v>0</v>
      </c>
      <c r="I1654">
        <v>3</v>
      </c>
      <c r="J1654">
        <v>2018</v>
      </c>
      <c r="K1654">
        <v>7</v>
      </c>
      <c r="L1654" t="s">
        <v>11</v>
      </c>
      <c r="M1654">
        <f>SUM(Pharma_Sales_Data[[#This Row],[M01AB]:[R06]])</f>
        <v>56.34</v>
      </c>
      <c r="N1654" s="2">
        <f>Pharma_Sales_Data[[#This Row],[Total Drug Sales]]*150</f>
        <v>8451</v>
      </c>
      <c r="O1654" s="2">
        <f>Pharma_Sales_Data[[#This Row],[Total Revenue]]*0.3</f>
        <v>2535.2999999999997</v>
      </c>
      <c r="P1654" t="str">
        <f>IF(Pharma_Sales_Data[[#This Row],[Total Revenue]]&gt;20000,"High Value", IF(Pharma_Sales_Data[[#This Row],[Total Revenue]]&gt;=10000,"Medium Value","Low Value"))</f>
        <v>Low Value</v>
      </c>
    </row>
    <row r="1655" spans="1:16" x14ac:dyDescent="0.35">
      <c r="A1655" s="1">
        <v>43294</v>
      </c>
      <c r="B1655">
        <v>1.34</v>
      </c>
      <c r="C1655">
        <v>2.67</v>
      </c>
      <c r="D1655">
        <v>1.1499999999999999</v>
      </c>
      <c r="E1655">
        <v>22</v>
      </c>
      <c r="F1655">
        <v>5</v>
      </c>
      <c r="G1655">
        <v>0</v>
      </c>
      <c r="H1655">
        <v>2</v>
      </c>
      <c r="I1655">
        <v>3</v>
      </c>
      <c r="J1655">
        <v>2018</v>
      </c>
      <c r="K1655">
        <v>7</v>
      </c>
      <c r="L1655" t="s">
        <v>12</v>
      </c>
      <c r="M1655">
        <f>SUM(Pharma_Sales_Data[[#This Row],[M01AB]:[R06]])</f>
        <v>37.159999999999997</v>
      </c>
      <c r="N1655" s="2">
        <f>Pharma_Sales_Data[[#This Row],[Total Drug Sales]]*150</f>
        <v>5573.9999999999991</v>
      </c>
      <c r="O1655" s="2">
        <f>Pharma_Sales_Data[[#This Row],[Total Revenue]]*0.3</f>
        <v>1672.1999999999996</v>
      </c>
      <c r="P1655" t="str">
        <f>IF(Pharma_Sales_Data[[#This Row],[Total Revenue]]&gt;20000,"High Value", IF(Pharma_Sales_Data[[#This Row],[Total Revenue]]&gt;=10000,"Medium Value","Low Value"))</f>
        <v>Low Value</v>
      </c>
    </row>
    <row r="1656" spans="1:16" x14ac:dyDescent="0.35">
      <c r="A1656" s="1">
        <v>43295</v>
      </c>
      <c r="B1656">
        <v>0</v>
      </c>
      <c r="C1656">
        <v>3.2</v>
      </c>
      <c r="D1656">
        <v>0</v>
      </c>
      <c r="E1656">
        <v>26</v>
      </c>
      <c r="F1656">
        <v>8</v>
      </c>
      <c r="G1656">
        <v>0</v>
      </c>
      <c r="H1656">
        <v>0</v>
      </c>
      <c r="I1656">
        <v>1.4</v>
      </c>
      <c r="J1656">
        <v>2018</v>
      </c>
      <c r="K1656">
        <v>7</v>
      </c>
      <c r="L1656" t="s">
        <v>13</v>
      </c>
      <c r="M1656">
        <f>SUM(Pharma_Sales_Data[[#This Row],[M01AB]:[R06]])</f>
        <v>38.6</v>
      </c>
      <c r="N1656" s="2">
        <f>Pharma_Sales_Data[[#This Row],[Total Drug Sales]]*150</f>
        <v>5790</v>
      </c>
      <c r="O1656" s="2">
        <f>Pharma_Sales_Data[[#This Row],[Total Revenue]]*0.3</f>
        <v>1737</v>
      </c>
      <c r="P1656" t="str">
        <f>IF(Pharma_Sales_Data[[#This Row],[Total Revenue]]&gt;20000,"High Value", IF(Pharma_Sales_Data[[#This Row],[Total Revenue]]&gt;=10000,"Medium Value","Low Value"))</f>
        <v>Low Value</v>
      </c>
    </row>
    <row r="1657" spans="1:16" x14ac:dyDescent="0.35">
      <c r="A1657" s="1">
        <v>43296</v>
      </c>
      <c r="B1657">
        <v>10</v>
      </c>
      <c r="C1657">
        <v>9.42</v>
      </c>
      <c r="D1657">
        <v>3.5</v>
      </c>
      <c r="E1657">
        <v>23</v>
      </c>
      <c r="F1657">
        <v>4</v>
      </c>
      <c r="G1657">
        <v>0</v>
      </c>
      <c r="H1657">
        <v>1</v>
      </c>
      <c r="I1657">
        <v>7</v>
      </c>
      <c r="J1657">
        <v>2018</v>
      </c>
      <c r="K1657">
        <v>7</v>
      </c>
      <c r="L1657" t="s">
        <v>14</v>
      </c>
      <c r="M1657">
        <f>SUM(Pharma_Sales_Data[[#This Row],[M01AB]:[R06]])</f>
        <v>57.92</v>
      </c>
      <c r="N1657" s="2">
        <f>Pharma_Sales_Data[[#This Row],[Total Drug Sales]]*150</f>
        <v>8688</v>
      </c>
      <c r="O1657" s="2">
        <f>Pharma_Sales_Data[[#This Row],[Total Revenue]]*0.3</f>
        <v>2606.4</v>
      </c>
      <c r="P1657" t="str">
        <f>IF(Pharma_Sales_Data[[#This Row],[Total Revenue]]&gt;20000,"High Value", IF(Pharma_Sales_Data[[#This Row],[Total Revenue]]&gt;=10000,"Medium Value","Low Value"))</f>
        <v>Low Value</v>
      </c>
    </row>
    <row r="1658" spans="1:16" x14ac:dyDescent="0.35">
      <c r="A1658" s="1">
        <v>43297</v>
      </c>
      <c r="B1658">
        <v>9.33</v>
      </c>
      <c r="C1658">
        <v>5.0229999999999997</v>
      </c>
      <c r="D1658">
        <v>1</v>
      </c>
      <c r="E1658">
        <v>22</v>
      </c>
      <c r="F1658">
        <v>8</v>
      </c>
      <c r="G1658">
        <v>0</v>
      </c>
      <c r="H1658">
        <v>0</v>
      </c>
      <c r="I1658">
        <v>3</v>
      </c>
      <c r="J1658">
        <v>2018</v>
      </c>
      <c r="K1658">
        <v>7</v>
      </c>
      <c r="L1658" t="s">
        <v>15</v>
      </c>
      <c r="M1658">
        <f>SUM(Pharma_Sales_Data[[#This Row],[M01AB]:[R06]])</f>
        <v>48.353000000000002</v>
      </c>
      <c r="N1658" s="2">
        <f>Pharma_Sales_Data[[#This Row],[Total Drug Sales]]*150</f>
        <v>7252.95</v>
      </c>
      <c r="O1658" s="2">
        <f>Pharma_Sales_Data[[#This Row],[Total Revenue]]*0.3</f>
        <v>2175.8849999999998</v>
      </c>
      <c r="P1658" t="str">
        <f>IF(Pharma_Sales_Data[[#This Row],[Total Revenue]]&gt;20000,"High Value", IF(Pharma_Sales_Data[[#This Row],[Total Revenue]]&gt;=10000,"Medium Value","Low Value"))</f>
        <v>Low Value</v>
      </c>
    </row>
    <row r="1659" spans="1:16" x14ac:dyDescent="0.35">
      <c r="A1659" s="1">
        <v>43298</v>
      </c>
      <c r="B1659">
        <v>2.33</v>
      </c>
      <c r="C1659">
        <v>3.66</v>
      </c>
      <c r="D1659">
        <v>2</v>
      </c>
      <c r="E1659">
        <v>29.4</v>
      </c>
      <c r="F1659">
        <v>13</v>
      </c>
      <c r="G1659">
        <v>0</v>
      </c>
      <c r="H1659">
        <v>0</v>
      </c>
      <c r="I1659">
        <v>6</v>
      </c>
      <c r="J1659">
        <v>2018</v>
      </c>
      <c r="K1659">
        <v>7</v>
      </c>
      <c r="L1659" t="s">
        <v>16</v>
      </c>
      <c r="M1659">
        <f>SUM(Pharma_Sales_Data[[#This Row],[M01AB]:[R06]])</f>
        <v>56.39</v>
      </c>
      <c r="N1659" s="2">
        <f>Pharma_Sales_Data[[#This Row],[Total Drug Sales]]*150</f>
        <v>8458.5</v>
      </c>
      <c r="O1659" s="2">
        <f>Pharma_Sales_Data[[#This Row],[Total Revenue]]*0.3</f>
        <v>2537.5499999999997</v>
      </c>
      <c r="P1659" t="str">
        <f>IF(Pharma_Sales_Data[[#This Row],[Total Revenue]]&gt;20000,"High Value", IF(Pharma_Sales_Data[[#This Row],[Total Revenue]]&gt;=10000,"Medium Value","Low Value"))</f>
        <v>Low Value</v>
      </c>
    </row>
    <row r="1660" spans="1:16" x14ac:dyDescent="0.35">
      <c r="A1660" s="1">
        <v>43299</v>
      </c>
      <c r="B1660">
        <v>2.5</v>
      </c>
      <c r="C1660">
        <v>2.8370000000000002</v>
      </c>
      <c r="D1660">
        <v>5</v>
      </c>
      <c r="E1660">
        <v>10</v>
      </c>
      <c r="F1660">
        <v>17</v>
      </c>
      <c r="G1660">
        <v>0</v>
      </c>
      <c r="H1660">
        <v>12</v>
      </c>
      <c r="I1660">
        <v>6</v>
      </c>
      <c r="J1660">
        <v>2018</v>
      </c>
      <c r="K1660">
        <v>7</v>
      </c>
      <c r="L1660" t="s">
        <v>17</v>
      </c>
      <c r="M1660">
        <f>SUM(Pharma_Sales_Data[[#This Row],[M01AB]:[R06]])</f>
        <v>55.337000000000003</v>
      </c>
      <c r="N1660" s="2">
        <f>Pharma_Sales_Data[[#This Row],[Total Drug Sales]]*150</f>
        <v>8300.5500000000011</v>
      </c>
      <c r="O1660" s="2">
        <f>Pharma_Sales_Data[[#This Row],[Total Revenue]]*0.3</f>
        <v>2490.1650000000004</v>
      </c>
      <c r="P1660" t="str">
        <f>IF(Pharma_Sales_Data[[#This Row],[Total Revenue]]&gt;20000,"High Value", IF(Pharma_Sales_Data[[#This Row],[Total Revenue]]&gt;=10000,"Medium Value","Low Value"))</f>
        <v>Low Value</v>
      </c>
    </row>
    <row r="1661" spans="1:16" x14ac:dyDescent="0.35">
      <c r="A1661" s="1">
        <v>43300</v>
      </c>
      <c r="B1661">
        <v>6.84</v>
      </c>
      <c r="C1661">
        <v>4</v>
      </c>
      <c r="D1661">
        <v>3</v>
      </c>
      <c r="E1661">
        <v>16</v>
      </c>
      <c r="F1661">
        <v>14</v>
      </c>
      <c r="G1661">
        <v>1</v>
      </c>
      <c r="H1661">
        <v>0</v>
      </c>
      <c r="I1661">
        <v>3</v>
      </c>
      <c r="J1661">
        <v>2018</v>
      </c>
      <c r="K1661">
        <v>7</v>
      </c>
      <c r="L1661" t="s">
        <v>11</v>
      </c>
      <c r="M1661">
        <f>SUM(Pharma_Sales_Data[[#This Row],[M01AB]:[R06]])</f>
        <v>47.84</v>
      </c>
      <c r="N1661" s="2">
        <f>Pharma_Sales_Data[[#This Row],[Total Drug Sales]]*150</f>
        <v>7176.0000000000009</v>
      </c>
      <c r="O1661" s="2">
        <f>Pharma_Sales_Data[[#This Row],[Total Revenue]]*0.3</f>
        <v>2152.8000000000002</v>
      </c>
      <c r="P1661" t="str">
        <f>IF(Pharma_Sales_Data[[#This Row],[Total Revenue]]&gt;20000,"High Value", IF(Pharma_Sales_Data[[#This Row],[Total Revenue]]&gt;=10000,"Medium Value","Low Value"))</f>
        <v>Low Value</v>
      </c>
    </row>
    <row r="1662" spans="1:16" x14ac:dyDescent="0.35">
      <c r="A1662" s="1">
        <v>43301</v>
      </c>
      <c r="B1662">
        <v>5</v>
      </c>
      <c r="C1662">
        <v>7.1769999999999996</v>
      </c>
      <c r="D1662">
        <v>5</v>
      </c>
      <c r="E1662">
        <v>35.200000000000003</v>
      </c>
      <c r="F1662">
        <v>2</v>
      </c>
      <c r="G1662">
        <v>1</v>
      </c>
      <c r="H1662">
        <v>2</v>
      </c>
      <c r="I1662">
        <v>4</v>
      </c>
      <c r="J1662">
        <v>2018</v>
      </c>
      <c r="K1662">
        <v>7</v>
      </c>
      <c r="L1662" t="s">
        <v>12</v>
      </c>
      <c r="M1662">
        <f>SUM(Pharma_Sales_Data[[#This Row],[M01AB]:[R06]])</f>
        <v>61.377000000000002</v>
      </c>
      <c r="N1662" s="2">
        <f>Pharma_Sales_Data[[#This Row],[Total Drug Sales]]*150</f>
        <v>9206.5500000000011</v>
      </c>
      <c r="O1662" s="2">
        <f>Pharma_Sales_Data[[#This Row],[Total Revenue]]*0.3</f>
        <v>2761.9650000000001</v>
      </c>
      <c r="P1662" t="str">
        <f>IF(Pharma_Sales_Data[[#This Row],[Total Revenue]]&gt;20000,"High Value", IF(Pharma_Sales_Data[[#This Row],[Total Revenue]]&gt;=10000,"Medium Value","Low Value"))</f>
        <v>Low Value</v>
      </c>
    </row>
    <row r="1663" spans="1:16" x14ac:dyDescent="0.35">
      <c r="A1663" s="1">
        <v>43302</v>
      </c>
      <c r="B1663">
        <v>4</v>
      </c>
      <c r="C1663">
        <v>5.0199999999999996</v>
      </c>
      <c r="D1663">
        <v>0.3</v>
      </c>
      <c r="E1663">
        <v>22</v>
      </c>
      <c r="F1663">
        <v>7</v>
      </c>
      <c r="G1663">
        <v>0</v>
      </c>
      <c r="H1663">
        <v>5</v>
      </c>
      <c r="I1663">
        <v>1</v>
      </c>
      <c r="J1663">
        <v>2018</v>
      </c>
      <c r="K1663">
        <v>7</v>
      </c>
      <c r="L1663" t="s">
        <v>13</v>
      </c>
      <c r="M1663">
        <f>SUM(Pharma_Sales_Data[[#This Row],[M01AB]:[R06]])</f>
        <v>44.32</v>
      </c>
      <c r="N1663" s="2">
        <f>Pharma_Sales_Data[[#This Row],[Total Drug Sales]]*150</f>
        <v>6648</v>
      </c>
      <c r="O1663" s="2">
        <f>Pharma_Sales_Data[[#This Row],[Total Revenue]]*0.3</f>
        <v>1994.3999999999999</v>
      </c>
      <c r="P1663" t="str">
        <f>IF(Pharma_Sales_Data[[#This Row],[Total Revenue]]&gt;20000,"High Value", IF(Pharma_Sales_Data[[#This Row],[Total Revenue]]&gt;=10000,"Medium Value","Low Value"))</f>
        <v>Low Value</v>
      </c>
    </row>
    <row r="1664" spans="1:16" x14ac:dyDescent="0.35">
      <c r="A1664" s="1">
        <v>43303</v>
      </c>
      <c r="B1664">
        <v>3.66</v>
      </c>
      <c r="C1664">
        <v>4.34</v>
      </c>
      <c r="D1664">
        <v>0</v>
      </c>
      <c r="E1664">
        <v>31</v>
      </c>
      <c r="F1664">
        <v>4</v>
      </c>
      <c r="G1664">
        <v>0</v>
      </c>
      <c r="H1664">
        <v>5</v>
      </c>
      <c r="I1664">
        <v>6</v>
      </c>
      <c r="J1664">
        <v>2018</v>
      </c>
      <c r="K1664">
        <v>7</v>
      </c>
      <c r="L1664" t="s">
        <v>14</v>
      </c>
      <c r="M1664">
        <f>SUM(Pharma_Sales_Data[[#This Row],[M01AB]:[R06]])</f>
        <v>54</v>
      </c>
      <c r="N1664" s="2">
        <f>Pharma_Sales_Data[[#This Row],[Total Drug Sales]]*150</f>
        <v>8100</v>
      </c>
      <c r="O1664" s="2">
        <f>Pharma_Sales_Data[[#This Row],[Total Revenue]]*0.3</f>
        <v>2430</v>
      </c>
      <c r="P1664" t="str">
        <f>IF(Pharma_Sales_Data[[#This Row],[Total Revenue]]&gt;20000,"High Value", IF(Pharma_Sales_Data[[#This Row],[Total Revenue]]&gt;=10000,"Medium Value","Low Value"))</f>
        <v>Low Value</v>
      </c>
    </row>
    <row r="1665" spans="1:16" x14ac:dyDescent="0.35">
      <c r="A1665" s="1">
        <v>43304</v>
      </c>
      <c r="B1665">
        <v>8.68</v>
      </c>
      <c r="C1665">
        <v>1.863</v>
      </c>
      <c r="D1665">
        <v>2.1</v>
      </c>
      <c r="E1665">
        <v>12</v>
      </c>
      <c r="F1665">
        <v>15</v>
      </c>
      <c r="G1665">
        <v>1</v>
      </c>
      <c r="H1665">
        <v>0</v>
      </c>
      <c r="I1665">
        <v>5.3</v>
      </c>
      <c r="J1665">
        <v>2018</v>
      </c>
      <c r="K1665">
        <v>7</v>
      </c>
      <c r="L1665" t="s">
        <v>15</v>
      </c>
      <c r="M1665">
        <f>SUM(Pharma_Sales_Data[[#This Row],[M01AB]:[R06]])</f>
        <v>45.942999999999998</v>
      </c>
      <c r="N1665" s="2">
        <f>Pharma_Sales_Data[[#This Row],[Total Drug Sales]]*150</f>
        <v>6891.45</v>
      </c>
      <c r="O1665" s="2">
        <f>Pharma_Sales_Data[[#This Row],[Total Revenue]]*0.3</f>
        <v>2067.4349999999999</v>
      </c>
      <c r="P1665" t="str">
        <f>IF(Pharma_Sales_Data[[#This Row],[Total Revenue]]&gt;20000,"High Value", IF(Pharma_Sales_Data[[#This Row],[Total Revenue]]&gt;=10000,"Medium Value","Low Value"))</f>
        <v>Low Value</v>
      </c>
    </row>
    <row r="1666" spans="1:16" x14ac:dyDescent="0.35">
      <c r="A1666" s="1">
        <v>43305</v>
      </c>
      <c r="B1666">
        <v>9.68</v>
      </c>
      <c r="C1666">
        <v>4</v>
      </c>
      <c r="D1666">
        <v>2</v>
      </c>
      <c r="E1666">
        <v>22</v>
      </c>
      <c r="F1666">
        <v>4</v>
      </c>
      <c r="G1666">
        <v>1</v>
      </c>
      <c r="H1666">
        <v>2</v>
      </c>
      <c r="I1666">
        <v>2</v>
      </c>
      <c r="J1666">
        <v>2018</v>
      </c>
      <c r="K1666">
        <v>7</v>
      </c>
      <c r="L1666" t="s">
        <v>16</v>
      </c>
      <c r="M1666">
        <f>SUM(Pharma_Sales_Data[[#This Row],[M01AB]:[R06]])</f>
        <v>46.68</v>
      </c>
      <c r="N1666" s="2">
        <f>Pharma_Sales_Data[[#This Row],[Total Drug Sales]]*150</f>
        <v>7002</v>
      </c>
      <c r="O1666" s="2">
        <f>Pharma_Sales_Data[[#This Row],[Total Revenue]]*0.3</f>
        <v>2100.6</v>
      </c>
      <c r="P1666" t="str">
        <f>IF(Pharma_Sales_Data[[#This Row],[Total Revenue]]&gt;20000,"High Value", IF(Pharma_Sales_Data[[#This Row],[Total Revenue]]&gt;=10000,"Medium Value","Low Value"))</f>
        <v>Low Value</v>
      </c>
    </row>
    <row r="1667" spans="1:16" x14ac:dyDescent="0.35">
      <c r="A1667" s="1">
        <v>43306</v>
      </c>
      <c r="B1667">
        <v>5</v>
      </c>
      <c r="C1667">
        <v>2.68</v>
      </c>
      <c r="D1667">
        <v>2</v>
      </c>
      <c r="E1667">
        <v>16</v>
      </c>
      <c r="F1667">
        <v>7</v>
      </c>
      <c r="G1667">
        <v>0</v>
      </c>
      <c r="H1667">
        <v>0</v>
      </c>
      <c r="I1667">
        <v>2</v>
      </c>
      <c r="J1667">
        <v>2018</v>
      </c>
      <c r="K1667">
        <v>7</v>
      </c>
      <c r="L1667" t="s">
        <v>17</v>
      </c>
      <c r="M1667">
        <f>SUM(Pharma_Sales_Data[[#This Row],[M01AB]:[R06]])</f>
        <v>34.68</v>
      </c>
      <c r="N1667" s="2">
        <f>Pharma_Sales_Data[[#This Row],[Total Drug Sales]]*150</f>
        <v>5202</v>
      </c>
      <c r="O1667" s="2">
        <f>Pharma_Sales_Data[[#This Row],[Total Revenue]]*0.3</f>
        <v>1560.6</v>
      </c>
      <c r="P1667" t="str">
        <f>IF(Pharma_Sales_Data[[#This Row],[Total Revenue]]&gt;20000,"High Value", IF(Pharma_Sales_Data[[#This Row],[Total Revenue]]&gt;=10000,"Medium Value","Low Value"))</f>
        <v>Low Value</v>
      </c>
    </row>
    <row r="1668" spans="1:16" x14ac:dyDescent="0.35">
      <c r="A1668" s="1">
        <v>43307</v>
      </c>
      <c r="B1668">
        <v>4.33</v>
      </c>
      <c r="C1668">
        <v>1.827</v>
      </c>
      <c r="D1668">
        <v>5</v>
      </c>
      <c r="E1668">
        <v>24</v>
      </c>
      <c r="F1668">
        <v>4</v>
      </c>
      <c r="G1668">
        <v>0</v>
      </c>
      <c r="H1668">
        <v>1</v>
      </c>
      <c r="I1668">
        <v>4</v>
      </c>
      <c r="J1668">
        <v>2018</v>
      </c>
      <c r="K1668">
        <v>7</v>
      </c>
      <c r="L1668" t="s">
        <v>11</v>
      </c>
      <c r="M1668">
        <f>SUM(Pharma_Sales_Data[[#This Row],[M01AB]:[R06]])</f>
        <v>44.156999999999996</v>
      </c>
      <c r="N1668" s="2">
        <f>Pharma_Sales_Data[[#This Row],[Total Drug Sales]]*150</f>
        <v>6623.5499999999993</v>
      </c>
      <c r="O1668" s="2">
        <f>Pharma_Sales_Data[[#This Row],[Total Revenue]]*0.3</f>
        <v>1987.0649999999996</v>
      </c>
      <c r="P1668" t="str">
        <f>IF(Pharma_Sales_Data[[#This Row],[Total Revenue]]&gt;20000,"High Value", IF(Pharma_Sales_Data[[#This Row],[Total Revenue]]&gt;=10000,"Medium Value","Low Value"))</f>
        <v>Low Value</v>
      </c>
    </row>
    <row r="1669" spans="1:16" x14ac:dyDescent="0.35">
      <c r="A1669" s="1">
        <v>43308</v>
      </c>
      <c r="B1669">
        <v>2.34</v>
      </c>
      <c r="C1669">
        <v>3.34</v>
      </c>
      <c r="D1669">
        <v>3</v>
      </c>
      <c r="E1669">
        <v>19.399999999999999</v>
      </c>
      <c r="F1669">
        <v>11</v>
      </c>
      <c r="G1669">
        <v>0</v>
      </c>
      <c r="H1669">
        <v>1</v>
      </c>
      <c r="I1669">
        <v>6</v>
      </c>
      <c r="J1669">
        <v>2018</v>
      </c>
      <c r="K1669">
        <v>7</v>
      </c>
      <c r="L1669" t="s">
        <v>12</v>
      </c>
      <c r="M1669">
        <f>SUM(Pharma_Sales_Data[[#This Row],[M01AB]:[R06]])</f>
        <v>46.08</v>
      </c>
      <c r="N1669" s="2">
        <f>Pharma_Sales_Data[[#This Row],[Total Drug Sales]]*150</f>
        <v>6912</v>
      </c>
      <c r="O1669" s="2">
        <f>Pharma_Sales_Data[[#This Row],[Total Revenue]]*0.3</f>
        <v>2073.6</v>
      </c>
      <c r="P1669" t="str">
        <f>IF(Pharma_Sales_Data[[#This Row],[Total Revenue]]&gt;20000,"High Value", IF(Pharma_Sales_Data[[#This Row],[Total Revenue]]&gt;=10000,"Medium Value","Low Value"))</f>
        <v>Low Value</v>
      </c>
    </row>
    <row r="1670" spans="1:16" x14ac:dyDescent="0.35">
      <c r="A1670" s="1">
        <v>43309</v>
      </c>
      <c r="B1670">
        <v>6</v>
      </c>
      <c r="C1670">
        <v>4.01</v>
      </c>
      <c r="D1670">
        <v>1</v>
      </c>
      <c r="E1670">
        <v>24.5</v>
      </c>
      <c r="F1670">
        <v>9</v>
      </c>
      <c r="G1670">
        <v>0</v>
      </c>
      <c r="H1670">
        <v>0</v>
      </c>
      <c r="I1670">
        <v>3</v>
      </c>
      <c r="J1670">
        <v>2018</v>
      </c>
      <c r="K1670">
        <v>7</v>
      </c>
      <c r="L1670" t="s">
        <v>13</v>
      </c>
      <c r="M1670">
        <f>SUM(Pharma_Sales_Data[[#This Row],[M01AB]:[R06]])</f>
        <v>47.51</v>
      </c>
      <c r="N1670" s="2">
        <f>Pharma_Sales_Data[[#This Row],[Total Drug Sales]]*150</f>
        <v>7126.5</v>
      </c>
      <c r="O1670" s="2">
        <f>Pharma_Sales_Data[[#This Row],[Total Revenue]]*0.3</f>
        <v>2137.9499999999998</v>
      </c>
      <c r="P1670" t="str">
        <f>IF(Pharma_Sales_Data[[#This Row],[Total Revenue]]&gt;20000,"High Value", IF(Pharma_Sales_Data[[#This Row],[Total Revenue]]&gt;=10000,"Medium Value","Low Value"))</f>
        <v>Low Value</v>
      </c>
    </row>
    <row r="1671" spans="1:16" x14ac:dyDescent="0.35">
      <c r="A1671" s="1">
        <v>43310</v>
      </c>
      <c r="B1671">
        <v>3.5</v>
      </c>
      <c r="C1671">
        <v>4.3499999999999996</v>
      </c>
      <c r="D1671">
        <v>2.1</v>
      </c>
      <c r="E1671">
        <v>9</v>
      </c>
      <c r="F1671">
        <v>7</v>
      </c>
      <c r="G1671">
        <v>1</v>
      </c>
      <c r="H1671">
        <v>0</v>
      </c>
      <c r="I1671">
        <v>3</v>
      </c>
      <c r="J1671">
        <v>2018</v>
      </c>
      <c r="K1671">
        <v>7</v>
      </c>
      <c r="L1671" t="s">
        <v>14</v>
      </c>
      <c r="M1671">
        <f>SUM(Pharma_Sales_Data[[#This Row],[M01AB]:[R06]])</f>
        <v>29.95</v>
      </c>
      <c r="N1671" s="2">
        <f>Pharma_Sales_Data[[#This Row],[Total Drug Sales]]*150</f>
        <v>4492.5</v>
      </c>
      <c r="O1671" s="2">
        <f>Pharma_Sales_Data[[#This Row],[Total Revenue]]*0.3</f>
        <v>1347.75</v>
      </c>
      <c r="P1671" t="str">
        <f>IF(Pharma_Sales_Data[[#This Row],[Total Revenue]]&gt;20000,"High Value", IF(Pharma_Sales_Data[[#This Row],[Total Revenue]]&gt;=10000,"Medium Value","Low Value"))</f>
        <v>Low Value</v>
      </c>
    </row>
    <row r="1672" spans="1:16" x14ac:dyDescent="0.35">
      <c r="A1672" s="1">
        <v>43311</v>
      </c>
      <c r="B1672">
        <v>3</v>
      </c>
      <c r="C1672">
        <v>6.33</v>
      </c>
      <c r="D1672">
        <v>5.3</v>
      </c>
      <c r="E1672">
        <v>26</v>
      </c>
      <c r="F1672">
        <v>9</v>
      </c>
      <c r="G1672">
        <v>2</v>
      </c>
      <c r="H1672">
        <v>0</v>
      </c>
      <c r="I1672">
        <v>4</v>
      </c>
      <c r="J1672">
        <v>2018</v>
      </c>
      <c r="K1672">
        <v>7</v>
      </c>
      <c r="L1672" t="s">
        <v>15</v>
      </c>
      <c r="M1672">
        <f>SUM(Pharma_Sales_Data[[#This Row],[M01AB]:[R06]])</f>
        <v>55.629999999999995</v>
      </c>
      <c r="N1672" s="2">
        <f>Pharma_Sales_Data[[#This Row],[Total Drug Sales]]*150</f>
        <v>8344.5</v>
      </c>
      <c r="O1672" s="2">
        <f>Pharma_Sales_Data[[#This Row],[Total Revenue]]*0.3</f>
        <v>2503.35</v>
      </c>
      <c r="P1672" t="str">
        <f>IF(Pharma_Sales_Data[[#This Row],[Total Revenue]]&gt;20000,"High Value", IF(Pharma_Sales_Data[[#This Row],[Total Revenue]]&gt;=10000,"Medium Value","Low Value"))</f>
        <v>Low Value</v>
      </c>
    </row>
    <row r="1673" spans="1:16" x14ac:dyDescent="0.35">
      <c r="A1673" s="1">
        <v>43312</v>
      </c>
      <c r="B1673">
        <v>7.33</v>
      </c>
      <c r="C1673">
        <v>3.7360000000000002</v>
      </c>
      <c r="D1673">
        <v>3</v>
      </c>
      <c r="E1673">
        <v>13</v>
      </c>
      <c r="F1673">
        <v>5</v>
      </c>
      <c r="G1673">
        <v>0</v>
      </c>
      <c r="H1673">
        <v>0</v>
      </c>
      <c r="I1673">
        <v>3</v>
      </c>
      <c r="J1673">
        <v>2018</v>
      </c>
      <c r="K1673">
        <v>7</v>
      </c>
      <c r="L1673" t="s">
        <v>16</v>
      </c>
      <c r="M1673">
        <f>SUM(Pharma_Sales_Data[[#This Row],[M01AB]:[R06]])</f>
        <v>35.066000000000003</v>
      </c>
      <c r="N1673" s="2">
        <f>Pharma_Sales_Data[[#This Row],[Total Drug Sales]]*150</f>
        <v>5259.9000000000005</v>
      </c>
      <c r="O1673" s="2">
        <f>Pharma_Sales_Data[[#This Row],[Total Revenue]]*0.3</f>
        <v>1577.97</v>
      </c>
      <c r="P1673" t="str">
        <f>IF(Pharma_Sales_Data[[#This Row],[Total Revenue]]&gt;20000,"High Value", IF(Pharma_Sales_Data[[#This Row],[Total Revenue]]&gt;=10000,"Medium Value","Low Value"))</f>
        <v>Low Value</v>
      </c>
    </row>
    <row r="1674" spans="1:16" x14ac:dyDescent="0.35">
      <c r="A1674" s="1">
        <v>43313</v>
      </c>
      <c r="B1674">
        <v>1</v>
      </c>
      <c r="C1674">
        <v>2.34</v>
      </c>
      <c r="D1674">
        <v>1</v>
      </c>
      <c r="E1674">
        <v>14</v>
      </c>
      <c r="F1674">
        <v>9</v>
      </c>
      <c r="G1674">
        <v>1</v>
      </c>
      <c r="H1674">
        <v>1</v>
      </c>
      <c r="I1674">
        <v>7</v>
      </c>
      <c r="J1674">
        <v>2018</v>
      </c>
      <c r="K1674">
        <v>8</v>
      </c>
      <c r="L1674" t="s">
        <v>17</v>
      </c>
      <c r="M1674">
        <f>SUM(Pharma_Sales_Data[[#This Row],[M01AB]:[R06]])</f>
        <v>36.340000000000003</v>
      </c>
      <c r="N1674" s="2">
        <f>Pharma_Sales_Data[[#This Row],[Total Drug Sales]]*150</f>
        <v>5451.0000000000009</v>
      </c>
      <c r="O1674" s="2">
        <f>Pharma_Sales_Data[[#This Row],[Total Revenue]]*0.3</f>
        <v>1635.3000000000002</v>
      </c>
      <c r="P1674" t="str">
        <f>IF(Pharma_Sales_Data[[#This Row],[Total Revenue]]&gt;20000,"High Value", IF(Pharma_Sales_Data[[#This Row],[Total Revenue]]&gt;=10000,"Medium Value","Low Value"))</f>
        <v>Low Value</v>
      </c>
    </row>
    <row r="1675" spans="1:16" x14ac:dyDescent="0.35">
      <c r="A1675" s="1">
        <v>43314</v>
      </c>
      <c r="B1675">
        <v>0</v>
      </c>
      <c r="C1675">
        <v>1</v>
      </c>
      <c r="D1675">
        <v>0</v>
      </c>
      <c r="E1675">
        <v>11</v>
      </c>
      <c r="F1675">
        <v>11</v>
      </c>
      <c r="G1675">
        <v>0</v>
      </c>
      <c r="H1675">
        <v>2</v>
      </c>
      <c r="I1675">
        <v>5</v>
      </c>
      <c r="J1675">
        <v>2018</v>
      </c>
      <c r="K1675">
        <v>8</v>
      </c>
      <c r="L1675" t="s">
        <v>11</v>
      </c>
      <c r="M1675">
        <f>SUM(Pharma_Sales_Data[[#This Row],[M01AB]:[R06]])</f>
        <v>30</v>
      </c>
      <c r="N1675" s="2">
        <f>Pharma_Sales_Data[[#This Row],[Total Drug Sales]]*150</f>
        <v>4500</v>
      </c>
      <c r="O1675" s="2">
        <f>Pharma_Sales_Data[[#This Row],[Total Revenue]]*0.3</f>
        <v>1350</v>
      </c>
      <c r="P1675" t="str">
        <f>IF(Pharma_Sales_Data[[#This Row],[Total Revenue]]&gt;20000,"High Value", IF(Pharma_Sales_Data[[#This Row],[Total Revenue]]&gt;=10000,"Medium Value","Low Value"))</f>
        <v>Low Value</v>
      </c>
    </row>
    <row r="1676" spans="1:16" x14ac:dyDescent="0.35">
      <c r="A1676" s="1">
        <v>43315</v>
      </c>
      <c r="B1676">
        <v>4.01</v>
      </c>
      <c r="C1676">
        <v>2.67</v>
      </c>
      <c r="D1676">
        <v>2</v>
      </c>
      <c r="E1676">
        <v>21</v>
      </c>
      <c r="F1676">
        <v>9</v>
      </c>
      <c r="G1676">
        <v>0</v>
      </c>
      <c r="H1676">
        <v>0</v>
      </c>
      <c r="I1676">
        <v>1</v>
      </c>
      <c r="J1676">
        <v>2018</v>
      </c>
      <c r="K1676">
        <v>8</v>
      </c>
      <c r="L1676" t="s">
        <v>12</v>
      </c>
      <c r="M1676">
        <f>SUM(Pharma_Sales_Data[[#This Row],[M01AB]:[R06]])</f>
        <v>39.68</v>
      </c>
      <c r="N1676" s="2">
        <f>Pharma_Sales_Data[[#This Row],[Total Drug Sales]]*150</f>
        <v>5952</v>
      </c>
      <c r="O1676" s="2">
        <f>Pharma_Sales_Data[[#This Row],[Total Revenue]]*0.3</f>
        <v>1785.6</v>
      </c>
      <c r="P1676" t="str">
        <f>IF(Pharma_Sales_Data[[#This Row],[Total Revenue]]&gt;20000,"High Value", IF(Pharma_Sales_Data[[#This Row],[Total Revenue]]&gt;=10000,"Medium Value","Low Value"))</f>
        <v>Low Value</v>
      </c>
    </row>
    <row r="1677" spans="1:16" x14ac:dyDescent="0.35">
      <c r="A1677" s="1">
        <v>43316</v>
      </c>
      <c r="B1677">
        <v>5</v>
      </c>
      <c r="C1677">
        <v>3.87</v>
      </c>
      <c r="D1677">
        <v>2</v>
      </c>
      <c r="E1677">
        <v>8</v>
      </c>
      <c r="F1677">
        <v>11</v>
      </c>
      <c r="G1677">
        <v>3</v>
      </c>
      <c r="H1677">
        <v>0</v>
      </c>
      <c r="I1677">
        <v>8</v>
      </c>
      <c r="J1677">
        <v>2018</v>
      </c>
      <c r="K1677">
        <v>8</v>
      </c>
      <c r="L1677" t="s">
        <v>13</v>
      </c>
      <c r="M1677">
        <f>SUM(Pharma_Sales_Data[[#This Row],[M01AB]:[R06]])</f>
        <v>40.870000000000005</v>
      </c>
      <c r="N1677" s="2">
        <f>Pharma_Sales_Data[[#This Row],[Total Drug Sales]]*150</f>
        <v>6130.5000000000009</v>
      </c>
      <c r="O1677" s="2">
        <f>Pharma_Sales_Data[[#This Row],[Total Revenue]]*0.3</f>
        <v>1839.1500000000003</v>
      </c>
      <c r="P1677" t="str">
        <f>IF(Pharma_Sales_Data[[#This Row],[Total Revenue]]&gt;20000,"High Value", IF(Pharma_Sales_Data[[#This Row],[Total Revenue]]&gt;=10000,"Medium Value","Low Value"))</f>
        <v>Low Value</v>
      </c>
    </row>
    <row r="1678" spans="1:16" x14ac:dyDescent="0.35">
      <c r="A1678" s="1">
        <v>43317</v>
      </c>
      <c r="B1678">
        <v>6</v>
      </c>
      <c r="C1678">
        <v>0.99</v>
      </c>
      <c r="D1678">
        <v>5</v>
      </c>
      <c r="E1678">
        <v>13</v>
      </c>
      <c r="F1678">
        <v>4</v>
      </c>
      <c r="G1678">
        <v>2</v>
      </c>
      <c r="H1678">
        <v>6</v>
      </c>
      <c r="I1678">
        <v>1.3</v>
      </c>
      <c r="J1678">
        <v>2018</v>
      </c>
      <c r="K1678">
        <v>8</v>
      </c>
      <c r="L1678" t="s">
        <v>14</v>
      </c>
      <c r="M1678">
        <f>SUM(Pharma_Sales_Data[[#This Row],[M01AB]:[R06]])</f>
        <v>38.29</v>
      </c>
      <c r="N1678" s="2">
        <f>Pharma_Sales_Data[[#This Row],[Total Drug Sales]]*150</f>
        <v>5743.5</v>
      </c>
      <c r="O1678" s="2">
        <f>Pharma_Sales_Data[[#This Row],[Total Revenue]]*0.3</f>
        <v>1723.05</v>
      </c>
      <c r="P1678" t="str">
        <f>IF(Pharma_Sales_Data[[#This Row],[Total Revenue]]&gt;20000,"High Value", IF(Pharma_Sales_Data[[#This Row],[Total Revenue]]&gt;=10000,"Medium Value","Low Value"))</f>
        <v>Low Value</v>
      </c>
    </row>
    <row r="1679" spans="1:16" x14ac:dyDescent="0.35">
      <c r="A1679" s="1">
        <v>43318</v>
      </c>
      <c r="B1679">
        <v>8.33</v>
      </c>
      <c r="C1679">
        <v>6.165</v>
      </c>
      <c r="D1679">
        <v>2</v>
      </c>
      <c r="E1679">
        <v>21.388000000000002</v>
      </c>
      <c r="F1679">
        <v>7</v>
      </c>
      <c r="G1679">
        <v>0</v>
      </c>
      <c r="H1679">
        <v>6</v>
      </c>
      <c r="I1679">
        <v>2</v>
      </c>
      <c r="J1679">
        <v>2018</v>
      </c>
      <c r="K1679">
        <v>8</v>
      </c>
      <c r="L1679" t="s">
        <v>15</v>
      </c>
      <c r="M1679">
        <f>SUM(Pharma_Sales_Data[[#This Row],[M01AB]:[R06]])</f>
        <v>52.883000000000003</v>
      </c>
      <c r="N1679" s="2">
        <f>Pharma_Sales_Data[[#This Row],[Total Drug Sales]]*150</f>
        <v>7932.4500000000007</v>
      </c>
      <c r="O1679" s="2">
        <f>Pharma_Sales_Data[[#This Row],[Total Revenue]]*0.3</f>
        <v>2379.7350000000001</v>
      </c>
      <c r="P1679" t="str">
        <f>IF(Pharma_Sales_Data[[#This Row],[Total Revenue]]&gt;20000,"High Value", IF(Pharma_Sales_Data[[#This Row],[Total Revenue]]&gt;=10000,"Medium Value","Low Value"))</f>
        <v>Low Value</v>
      </c>
    </row>
    <row r="1680" spans="1:16" x14ac:dyDescent="0.35">
      <c r="A1680" s="1">
        <v>43319</v>
      </c>
      <c r="B1680">
        <v>2.33</v>
      </c>
      <c r="C1680">
        <v>2.67</v>
      </c>
      <c r="D1680">
        <v>8</v>
      </c>
      <c r="E1680">
        <v>15</v>
      </c>
      <c r="F1680">
        <v>7</v>
      </c>
      <c r="G1680">
        <v>1</v>
      </c>
      <c r="H1680">
        <v>1</v>
      </c>
      <c r="I1680">
        <v>3</v>
      </c>
      <c r="J1680">
        <v>2018</v>
      </c>
      <c r="K1680">
        <v>8</v>
      </c>
      <c r="L1680" t="s">
        <v>16</v>
      </c>
      <c r="M1680">
        <f>SUM(Pharma_Sales_Data[[#This Row],[M01AB]:[R06]])</f>
        <v>40</v>
      </c>
      <c r="N1680" s="2">
        <f>Pharma_Sales_Data[[#This Row],[Total Drug Sales]]*150</f>
        <v>6000</v>
      </c>
      <c r="O1680" s="2">
        <f>Pharma_Sales_Data[[#This Row],[Total Revenue]]*0.3</f>
        <v>1800</v>
      </c>
      <c r="P1680" t="str">
        <f>IF(Pharma_Sales_Data[[#This Row],[Total Revenue]]&gt;20000,"High Value", IF(Pharma_Sales_Data[[#This Row],[Total Revenue]]&gt;=10000,"Medium Value","Low Value"))</f>
        <v>Low Value</v>
      </c>
    </row>
    <row r="1681" spans="1:16" x14ac:dyDescent="0.35">
      <c r="A1681" s="1">
        <v>43320</v>
      </c>
      <c r="B1681">
        <v>4.33</v>
      </c>
      <c r="C1681">
        <v>2.7930000000000001</v>
      </c>
      <c r="D1681">
        <v>2</v>
      </c>
      <c r="E1681">
        <v>10</v>
      </c>
      <c r="F1681">
        <v>13</v>
      </c>
      <c r="G1681">
        <v>0</v>
      </c>
      <c r="H1681">
        <v>0</v>
      </c>
      <c r="I1681">
        <v>2</v>
      </c>
      <c r="J1681">
        <v>2018</v>
      </c>
      <c r="K1681">
        <v>8</v>
      </c>
      <c r="L1681" t="s">
        <v>17</v>
      </c>
      <c r="M1681">
        <f>SUM(Pharma_Sales_Data[[#This Row],[M01AB]:[R06]])</f>
        <v>34.123000000000005</v>
      </c>
      <c r="N1681" s="2">
        <f>Pharma_Sales_Data[[#This Row],[Total Drug Sales]]*150</f>
        <v>5118.4500000000007</v>
      </c>
      <c r="O1681" s="2">
        <f>Pharma_Sales_Data[[#This Row],[Total Revenue]]*0.3</f>
        <v>1535.5350000000001</v>
      </c>
      <c r="P1681" t="str">
        <f>IF(Pharma_Sales_Data[[#This Row],[Total Revenue]]&gt;20000,"High Value", IF(Pharma_Sales_Data[[#This Row],[Total Revenue]]&gt;=10000,"Medium Value","Low Value"))</f>
        <v>Low Value</v>
      </c>
    </row>
    <row r="1682" spans="1:16" x14ac:dyDescent="0.35">
      <c r="A1682" s="1">
        <v>43321</v>
      </c>
      <c r="B1682">
        <v>2.67</v>
      </c>
      <c r="C1682">
        <v>3.0659999999999998</v>
      </c>
      <c r="D1682">
        <v>1</v>
      </c>
      <c r="E1682">
        <v>29.4</v>
      </c>
      <c r="F1682">
        <v>13</v>
      </c>
      <c r="G1682">
        <v>0</v>
      </c>
      <c r="H1682">
        <v>0</v>
      </c>
      <c r="I1682">
        <v>2</v>
      </c>
      <c r="J1682">
        <v>2018</v>
      </c>
      <c r="K1682">
        <v>8</v>
      </c>
      <c r="L1682" t="s">
        <v>11</v>
      </c>
      <c r="M1682">
        <f>SUM(Pharma_Sales_Data[[#This Row],[M01AB]:[R06]])</f>
        <v>51.135999999999996</v>
      </c>
      <c r="N1682" s="2">
        <f>Pharma_Sales_Data[[#This Row],[Total Drug Sales]]*150</f>
        <v>7670.4</v>
      </c>
      <c r="O1682" s="2">
        <f>Pharma_Sales_Data[[#This Row],[Total Revenue]]*0.3</f>
        <v>2301.12</v>
      </c>
      <c r="P1682" t="str">
        <f>IF(Pharma_Sales_Data[[#This Row],[Total Revenue]]&gt;20000,"High Value", IF(Pharma_Sales_Data[[#This Row],[Total Revenue]]&gt;=10000,"Medium Value","Low Value"))</f>
        <v>Low Value</v>
      </c>
    </row>
    <row r="1683" spans="1:16" x14ac:dyDescent="0.35">
      <c r="A1683" s="1">
        <v>43322</v>
      </c>
      <c r="B1683">
        <v>6</v>
      </c>
      <c r="C1683">
        <v>4</v>
      </c>
      <c r="D1683">
        <v>4</v>
      </c>
      <c r="E1683">
        <v>19</v>
      </c>
      <c r="F1683">
        <v>4</v>
      </c>
      <c r="G1683">
        <v>0</v>
      </c>
      <c r="H1683">
        <v>0</v>
      </c>
      <c r="I1683">
        <v>2</v>
      </c>
      <c r="J1683">
        <v>2018</v>
      </c>
      <c r="K1683">
        <v>8</v>
      </c>
      <c r="L1683" t="s">
        <v>12</v>
      </c>
      <c r="M1683">
        <f>SUM(Pharma_Sales_Data[[#This Row],[M01AB]:[R06]])</f>
        <v>39</v>
      </c>
      <c r="N1683" s="2">
        <f>Pharma_Sales_Data[[#This Row],[Total Drug Sales]]*150</f>
        <v>5850</v>
      </c>
      <c r="O1683" s="2">
        <f>Pharma_Sales_Data[[#This Row],[Total Revenue]]*0.3</f>
        <v>1755</v>
      </c>
      <c r="P1683" t="str">
        <f>IF(Pharma_Sales_Data[[#This Row],[Total Revenue]]&gt;20000,"High Value", IF(Pharma_Sales_Data[[#This Row],[Total Revenue]]&gt;=10000,"Medium Value","Low Value"))</f>
        <v>Low Value</v>
      </c>
    </row>
    <row r="1684" spans="1:16" x14ac:dyDescent="0.35">
      <c r="A1684" s="1">
        <v>43323</v>
      </c>
      <c r="B1684">
        <v>4</v>
      </c>
      <c r="C1684">
        <v>4.133</v>
      </c>
      <c r="D1684">
        <v>6</v>
      </c>
      <c r="E1684">
        <v>37</v>
      </c>
      <c r="F1684">
        <v>16</v>
      </c>
      <c r="G1684">
        <v>1</v>
      </c>
      <c r="H1684">
        <v>5</v>
      </c>
      <c r="I1684">
        <v>10</v>
      </c>
      <c r="J1684">
        <v>2018</v>
      </c>
      <c r="K1684">
        <v>8</v>
      </c>
      <c r="L1684" t="s">
        <v>13</v>
      </c>
      <c r="M1684">
        <f>SUM(Pharma_Sales_Data[[#This Row],[M01AB]:[R06]])</f>
        <v>83.132999999999996</v>
      </c>
      <c r="N1684" s="2">
        <f>Pharma_Sales_Data[[#This Row],[Total Drug Sales]]*150</f>
        <v>12469.949999999999</v>
      </c>
      <c r="O1684" s="2">
        <f>Pharma_Sales_Data[[#This Row],[Total Revenue]]*0.3</f>
        <v>3740.9849999999997</v>
      </c>
      <c r="P1684" t="str">
        <f>IF(Pharma_Sales_Data[[#This Row],[Total Revenue]]&gt;20000,"High Value", IF(Pharma_Sales_Data[[#This Row],[Total Revenue]]&gt;=10000,"Medium Value","Low Value"))</f>
        <v>Medium Value</v>
      </c>
    </row>
    <row r="1685" spans="1:16" x14ac:dyDescent="0.35">
      <c r="A1685" s="1">
        <v>43324</v>
      </c>
      <c r="B1685">
        <v>10.99</v>
      </c>
      <c r="C1685">
        <v>4.99</v>
      </c>
      <c r="D1685">
        <v>6</v>
      </c>
      <c r="E1685">
        <v>16</v>
      </c>
      <c r="F1685">
        <v>6</v>
      </c>
      <c r="G1685">
        <v>0</v>
      </c>
      <c r="H1685">
        <v>1</v>
      </c>
      <c r="I1685">
        <v>2</v>
      </c>
      <c r="J1685">
        <v>2018</v>
      </c>
      <c r="K1685">
        <v>8</v>
      </c>
      <c r="L1685" t="s">
        <v>14</v>
      </c>
      <c r="M1685">
        <f>SUM(Pharma_Sales_Data[[#This Row],[M01AB]:[R06]])</f>
        <v>46.980000000000004</v>
      </c>
      <c r="N1685" s="2">
        <f>Pharma_Sales_Data[[#This Row],[Total Drug Sales]]*150</f>
        <v>7047.0000000000009</v>
      </c>
      <c r="O1685" s="2">
        <f>Pharma_Sales_Data[[#This Row],[Total Revenue]]*0.3</f>
        <v>2114.1000000000004</v>
      </c>
      <c r="P1685" t="str">
        <f>IF(Pharma_Sales_Data[[#This Row],[Total Revenue]]&gt;20000,"High Value", IF(Pharma_Sales_Data[[#This Row],[Total Revenue]]&gt;=10000,"Medium Value","Low Value"))</f>
        <v>Low Value</v>
      </c>
    </row>
    <row r="1686" spans="1:16" x14ac:dyDescent="0.35">
      <c r="A1686" s="1">
        <v>43325</v>
      </c>
      <c r="B1686">
        <v>3.33</v>
      </c>
      <c r="C1686">
        <v>5.0199999999999996</v>
      </c>
      <c r="D1686">
        <v>2</v>
      </c>
      <c r="E1686">
        <v>23.25</v>
      </c>
      <c r="F1686">
        <v>15</v>
      </c>
      <c r="G1686">
        <v>0</v>
      </c>
      <c r="H1686">
        <v>3</v>
      </c>
      <c r="I1686">
        <v>2</v>
      </c>
      <c r="J1686">
        <v>2018</v>
      </c>
      <c r="K1686">
        <v>8</v>
      </c>
      <c r="L1686" t="s">
        <v>15</v>
      </c>
      <c r="M1686">
        <f>SUM(Pharma_Sales_Data[[#This Row],[M01AB]:[R06]])</f>
        <v>53.6</v>
      </c>
      <c r="N1686" s="2">
        <f>Pharma_Sales_Data[[#This Row],[Total Drug Sales]]*150</f>
        <v>8040</v>
      </c>
      <c r="O1686" s="2">
        <f>Pharma_Sales_Data[[#This Row],[Total Revenue]]*0.3</f>
        <v>2412</v>
      </c>
      <c r="P1686" t="str">
        <f>IF(Pharma_Sales_Data[[#This Row],[Total Revenue]]&gt;20000,"High Value", IF(Pharma_Sales_Data[[#This Row],[Total Revenue]]&gt;=10000,"Medium Value","Low Value"))</f>
        <v>Low Value</v>
      </c>
    </row>
    <row r="1687" spans="1:16" x14ac:dyDescent="0.35">
      <c r="A1687" s="1">
        <v>43326</v>
      </c>
      <c r="B1687">
        <v>1.33</v>
      </c>
      <c r="C1687">
        <v>2.7360000000000002</v>
      </c>
      <c r="D1687">
        <v>5</v>
      </c>
      <c r="E1687">
        <v>12</v>
      </c>
      <c r="F1687">
        <v>9</v>
      </c>
      <c r="G1687">
        <v>0</v>
      </c>
      <c r="H1687">
        <v>4</v>
      </c>
      <c r="I1687">
        <v>5</v>
      </c>
      <c r="J1687">
        <v>2018</v>
      </c>
      <c r="K1687">
        <v>8</v>
      </c>
      <c r="L1687" t="s">
        <v>16</v>
      </c>
      <c r="M1687">
        <f>SUM(Pharma_Sales_Data[[#This Row],[M01AB]:[R06]])</f>
        <v>39.066000000000003</v>
      </c>
      <c r="N1687" s="2">
        <f>Pharma_Sales_Data[[#This Row],[Total Drug Sales]]*150</f>
        <v>5859.9000000000005</v>
      </c>
      <c r="O1687" s="2">
        <f>Pharma_Sales_Data[[#This Row],[Total Revenue]]*0.3</f>
        <v>1757.97</v>
      </c>
      <c r="P1687" t="str">
        <f>IF(Pharma_Sales_Data[[#This Row],[Total Revenue]]&gt;20000,"High Value", IF(Pharma_Sales_Data[[#This Row],[Total Revenue]]&gt;=10000,"Medium Value","Low Value"))</f>
        <v>Low Value</v>
      </c>
    </row>
    <row r="1688" spans="1:16" x14ac:dyDescent="0.35">
      <c r="A1688" s="1">
        <v>43327</v>
      </c>
      <c r="B1688">
        <v>8.34</v>
      </c>
      <c r="C1688">
        <v>4.1989999999999998</v>
      </c>
      <c r="D1688">
        <v>2</v>
      </c>
      <c r="E1688">
        <v>32.200000000000003</v>
      </c>
      <c r="F1688">
        <v>13</v>
      </c>
      <c r="G1688">
        <v>2</v>
      </c>
      <c r="H1688">
        <v>0</v>
      </c>
      <c r="I1688">
        <v>1</v>
      </c>
      <c r="J1688">
        <v>2018</v>
      </c>
      <c r="K1688">
        <v>8</v>
      </c>
      <c r="L1688" t="s">
        <v>17</v>
      </c>
      <c r="M1688">
        <f>SUM(Pharma_Sales_Data[[#This Row],[M01AB]:[R06]])</f>
        <v>62.739000000000004</v>
      </c>
      <c r="N1688" s="2">
        <f>Pharma_Sales_Data[[#This Row],[Total Drug Sales]]*150</f>
        <v>9410.85</v>
      </c>
      <c r="O1688" s="2">
        <f>Pharma_Sales_Data[[#This Row],[Total Revenue]]*0.3</f>
        <v>2823.2550000000001</v>
      </c>
      <c r="P1688" t="str">
        <f>IF(Pharma_Sales_Data[[#This Row],[Total Revenue]]&gt;20000,"High Value", IF(Pharma_Sales_Data[[#This Row],[Total Revenue]]&gt;=10000,"Medium Value","Low Value"))</f>
        <v>Low Value</v>
      </c>
    </row>
    <row r="1689" spans="1:16" x14ac:dyDescent="0.35">
      <c r="A1689" s="1">
        <v>43328</v>
      </c>
      <c r="B1689">
        <v>3.33</v>
      </c>
      <c r="C1689">
        <v>8.7289999999999992</v>
      </c>
      <c r="D1689">
        <v>4</v>
      </c>
      <c r="E1689">
        <v>27.4</v>
      </c>
      <c r="F1689">
        <v>6</v>
      </c>
      <c r="G1689">
        <v>3</v>
      </c>
      <c r="H1689">
        <v>5</v>
      </c>
      <c r="I1689">
        <v>5</v>
      </c>
      <c r="J1689">
        <v>2018</v>
      </c>
      <c r="K1689">
        <v>8</v>
      </c>
      <c r="L1689" t="s">
        <v>11</v>
      </c>
      <c r="M1689">
        <f>SUM(Pharma_Sales_Data[[#This Row],[M01AB]:[R06]])</f>
        <v>62.458999999999996</v>
      </c>
      <c r="N1689" s="2">
        <f>Pharma_Sales_Data[[#This Row],[Total Drug Sales]]*150</f>
        <v>9368.8499999999985</v>
      </c>
      <c r="O1689" s="2">
        <f>Pharma_Sales_Data[[#This Row],[Total Revenue]]*0.3</f>
        <v>2810.6549999999993</v>
      </c>
      <c r="P1689" t="str">
        <f>IF(Pharma_Sales_Data[[#This Row],[Total Revenue]]&gt;20000,"High Value", IF(Pharma_Sales_Data[[#This Row],[Total Revenue]]&gt;=10000,"Medium Value","Low Value"))</f>
        <v>Low Value</v>
      </c>
    </row>
    <row r="1690" spans="1:16" x14ac:dyDescent="0.35">
      <c r="A1690" s="1">
        <v>43329</v>
      </c>
      <c r="B1690">
        <v>2.33</v>
      </c>
      <c r="C1690">
        <v>2.99</v>
      </c>
      <c r="D1690">
        <v>2.4</v>
      </c>
      <c r="E1690">
        <v>23</v>
      </c>
      <c r="F1690">
        <v>5</v>
      </c>
      <c r="G1690">
        <v>1</v>
      </c>
      <c r="H1690">
        <v>5</v>
      </c>
      <c r="I1690">
        <v>1</v>
      </c>
      <c r="J1690">
        <v>2018</v>
      </c>
      <c r="K1690">
        <v>8</v>
      </c>
      <c r="L1690" t="s">
        <v>12</v>
      </c>
      <c r="M1690">
        <f>SUM(Pharma_Sales_Data[[#This Row],[M01AB]:[R06]])</f>
        <v>42.72</v>
      </c>
      <c r="N1690" s="2">
        <f>Pharma_Sales_Data[[#This Row],[Total Drug Sales]]*150</f>
        <v>6408</v>
      </c>
      <c r="O1690" s="2">
        <f>Pharma_Sales_Data[[#This Row],[Total Revenue]]*0.3</f>
        <v>1922.3999999999999</v>
      </c>
      <c r="P1690" t="str">
        <f>IF(Pharma_Sales_Data[[#This Row],[Total Revenue]]&gt;20000,"High Value", IF(Pharma_Sales_Data[[#This Row],[Total Revenue]]&gt;=10000,"Medium Value","Low Value"))</f>
        <v>Low Value</v>
      </c>
    </row>
    <row r="1691" spans="1:16" x14ac:dyDescent="0.35">
      <c r="A1691" s="1">
        <v>43330</v>
      </c>
      <c r="B1691">
        <v>6.33</v>
      </c>
      <c r="C1691">
        <v>5.34</v>
      </c>
      <c r="D1691">
        <v>0</v>
      </c>
      <c r="E1691">
        <v>32.1</v>
      </c>
      <c r="F1691">
        <v>5</v>
      </c>
      <c r="G1691">
        <v>1</v>
      </c>
      <c r="H1691">
        <v>6</v>
      </c>
      <c r="I1691">
        <v>0</v>
      </c>
      <c r="J1691">
        <v>2018</v>
      </c>
      <c r="K1691">
        <v>8</v>
      </c>
      <c r="L1691" t="s">
        <v>13</v>
      </c>
      <c r="M1691">
        <f>SUM(Pharma_Sales_Data[[#This Row],[M01AB]:[R06]])</f>
        <v>55.77</v>
      </c>
      <c r="N1691" s="2">
        <f>Pharma_Sales_Data[[#This Row],[Total Drug Sales]]*150</f>
        <v>8365.5</v>
      </c>
      <c r="O1691" s="2">
        <f>Pharma_Sales_Data[[#This Row],[Total Revenue]]*0.3</f>
        <v>2509.65</v>
      </c>
      <c r="P1691" t="str">
        <f>IF(Pharma_Sales_Data[[#This Row],[Total Revenue]]&gt;20000,"High Value", IF(Pharma_Sales_Data[[#This Row],[Total Revenue]]&gt;=10000,"Medium Value","Low Value"))</f>
        <v>Low Value</v>
      </c>
    </row>
    <row r="1692" spans="1:16" x14ac:dyDescent="0.35">
      <c r="A1692" s="1">
        <v>43331</v>
      </c>
      <c r="B1692">
        <v>6.33</v>
      </c>
      <c r="C1692">
        <v>4.4950000000000001</v>
      </c>
      <c r="D1692">
        <v>1</v>
      </c>
      <c r="E1692">
        <v>19.899999999999999</v>
      </c>
      <c r="F1692">
        <v>3</v>
      </c>
      <c r="G1692">
        <v>0</v>
      </c>
      <c r="H1692">
        <v>5</v>
      </c>
      <c r="I1692">
        <v>6</v>
      </c>
      <c r="J1692">
        <v>2018</v>
      </c>
      <c r="K1692">
        <v>8</v>
      </c>
      <c r="L1692" t="s">
        <v>14</v>
      </c>
      <c r="M1692">
        <f>SUM(Pharma_Sales_Data[[#This Row],[M01AB]:[R06]])</f>
        <v>45.724999999999994</v>
      </c>
      <c r="N1692" s="2">
        <f>Pharma_Sales_Data[[#This Row],[Total Drug Sales]]*150</f>
        <v>6858.7499999999991</v>
      </c>
      <c r="O1692" s="2">
        <f>Pharma_Sales_Data[[#This Row],[Total Revenue]]*0.3</f>
        <v>2057.6249999999995</v>
      </c>
      <c r="P1692" t="str">
        <f>IF(Pharma_Sales_Data[[#This Row],[Total Revenue]]&gt;20000,"High Value", IF(Pharma_Sales_Data[[#This Row],[Total Revenue]]&gt;=10000,"Medium Value","Low Value"))</f>
        <v>Low Value</v>
      </c>
    </row>
    <row r="1693" spans="1:16" x14ac:dyDescent="0.35">
      <c r="A1693" s="1">
        <v>43332</v>
      </c>
      <c r="B1693">
        <v>4</v>
      </c>
      <c r="C1693">
        <v>5.68</v>
      </c>
      <c r="D1693">
        <v>4.2</v>
      </c>
      <c r="E1693">
        <v>21.4</v>
      </c>
      <c r="F1693">
        <v>7</v>
      </c>
      <c r="G1693">
        <v>0</v>
      </c>
      <c r="H1693">
        <v>20</v>
      </c>
      <c r="I1693">
        <v>3</v>
      </c>
      <c r="J1693">
        <v>2018</v>
      </c>
      <c r="K1693">
        <v>8</v>
      </c>
      <c r="L1693" t="s">
        <v>15</v>
      </c>
      <c r="M1693">
        <f>SUM(Pharma_Sales_Data[[#This Row],[M01AB]:[R06]])</f>
        <v>65.28</v>
      </c>
      <c r="N1693" s="2">
        <f>Pharma_Sales_Data[[#This Row],[Total Drug Sales]]*150</f>
        <v>9792</v>
      </c>
      <c r="O1693" s="2">
        <f>Pharma_Sales_Data[[#This Row],[Total Revenue]]*0.3</f>
        <v>2937.6</v>
      </c>
      <c r="P1693" t="str">
        <f>IF(Pharma_Sales_Data[[#This Row],[Total Revenue]]&gt;20000,"High Value", IF(Pharma_Sales_Data[[#This Row],[Total Revenue]]&gt;=10000,"Medium Value","Low Value"))</f>
        <v>Low Value</v>
      </c>
    </row>
    <row r="1694" spans="1:16" x14ac:dyDescent="0.35">
      <c r="A1694" s="1">
        <v>43333</v>
      </c>
      <c r="B1694">
        <v>2.34</v>
      </c>
      <c r="C1694">
        <v>3</v>
      </c>
      <c r="D1694">
        <v>2.15</v>
      </c>
      <c r="E1694">
        <v>26.2</v>
      </c>
      <c r="F1694">
        <v>4</v>
      </c>
      <c r="G1694">
        <v>1</v>
      </c>
      <c r="H1694">
        <v>1</v>
      </c>
      <c r="I1694">
        <v>4</v>
      </c>
      <c r="J1694">
        <v>2018</v>
      </c>
      <c r="K1694">
        <v>8</v>
      </c>
      <c r="L1694" t="s">
        <v>16</v>
      </c>
      <c r="M1694">
        <f>SUM(Pharma_Sales_Data[[#This Row],[M01AB]:[R06]])</f>
        <v>43.69</v>
      </c>
      <c r="N1694" s="2">
        <f>Pharma_Sales_Data[[#This Row],[Total Drug Sales]]*150</f>
        <v>6553.5</v>
      </c>
      <c r="O1694" s="2">
        <f>Pharma_Sales_Data[[#This Row],[Total Revenue]]*0.3</f>
        <v>1966.05</v>
      </c>
      <c r="P1694" t="str">
        <f>IF(Pharma_Sales_Data[[#This Row],[Total Revenue]]&gt;20000,"High Value", IF(Pharma_Sales_Data[[#This Row],[Total Revenue]]&gt;=10000,"Medium Value","Low Value"))</f>
        <v>Low Value</v>
      </c>
    </row>
    <row r="1695" spans="1:16" x14ac:dyDescent="0.35">
      <c r="A1695" s="1">
        <v>43334</v>
      </c>
      <c r="B1695">
        <v>5</v>
      </c>
      <c r="C1695">
        <v>4.33</v>
      </c>
      <c r="D1695">
        <v>0</v>
      </c>
      <c r="E1695">
        <v>18</v>
      </c>
      <c r="F1695">
        <v>4</v>
      </c>
      <c r="G1695">
        <v>1</v>
      </c>
      <c r="H1695">
        <v>0</v>
      </c>
      <c r="I1695">
        <v>4</v>
      </c>
      <c r="J1695">
        <v>2018</v>
      </c>
      <c r="K1695">
        <v>8</v>
      </c>
      <c r="L1695" t="s">
        <v>17</v>
      </c>
      <c r="M1695">
        <f>SUM(Pharma_Sales_Data[[#This Row],[M01AB]:[R06]])</f>
        <v>36.33</v>
      </c>
      <c r="N1695" s="2">
        <f>Pharma_Sales_Data[[#This Row],[Total Drug Sales]]*150</f>
        <v>5449.5</v>
      </c>
      <c r="O1695" s="2">
        <f>Pharma_Sales_Data[[#This Row],[Total Revenue]]*0.3</f>
        <v>1634.85</v>
      </c>
      <c r="P1695" t="str">
        <f>IF(Pharma_Sales_Data[[#This Row],[Total Revenue]]&gt;20000,"High Value", IF(Pharma_Sales_Data[[#This Row],[Total Revenue]]&gt;=10000,"Medium Value","Low Value"))</f>
        <v>Low Value</v>
      </c>
    </row>
    <row r="1696" spans="1:16" x14ac:dyDescent="0.35">
      <c r="A1696" s="1">
        <v>43335</v>
      </c>
      <c r="B1696">
        <v>5</v>
      </c>
      <c r="C1696">
        <v>4.0670000000000002</v>
      </c>
      <c r="D1696">
        <v>4</v>
      </c>
      <c r="E1696">
        <v>35</v>
      </c>
      <c r="F1696">
        <v>8</v>
      </c>
      <c r="G1696">
        <v>0</v>
      </c>
      <c r="H1696">
        <v>23</v>
      </c>
      <c r="I1696">
        <v>3</v>
      </c>
      <c r="J1696">
        <v>2018</v>
      </c>
      <c r="K1696">
        <v>8</v>
      </c>
      <c r="L1696" t="s">
        <v>11</v>
      </c>
      <c r="M1696">
        <f>SUM(Pharma_Sales_Data[[#This Row],[M01AB]:[R06]])</f>
        <v>82.067000000000007</v>
      </c>
      <c r="N1696" s="2">
        <f>Pharma_Sales_Data[[#This Row],[Total Drug Sales]]*150</f>
        <v>12310.050000000001</v>
      </c>
      <c r="O1696" s="2">
        <f>Pharma_Sales_Data[[#This Row],[Total Revenue]]*0.3</f>
        <v>3693.0150000000003</v>
      </c>
      <c r="P1696" t="str">
        <f>IF(Pharma_Sales_Data[[#This Row],[Total Revenue]]&gt;20000,"High Value", IF(Pharma_Sales_Data[[#This Row],[Total Revenue]]&gt;=10000,"Medium Value","Low Value"))</f>
        <v>Medium Value</v>
      </c>
    </row>
    <row r="1697" spans="1:16" x14ac:dyDescent="0.35">
      <c r="A1697" s="1">
        <v>43336</v>
      </c>
      <c r="B1697">
        <v>4</v>
      </c>
      <c r="C1697">
        <v>2.34</v>
      </c>
      <c r="D1697">
        <v>1</v>
      </c>
      <c r="E1697">
        <v>38.5</v>
      </c>
      <c r="F1697">
        <v>7</v>
      </c>
      <c r="G1697">
        <v>0</v>
      </c>
      <c r="H1697">
        <v>21</v>
      </c>
      <c r="I1697">
        <v>4</v>
      </c>
      <c r="J1697">
        <v>2018</v>
      </c>
      <c r="K1697">
        <v>8</v>
      </c>
      <c r="L1697" t="s">
        <v>12</v>
      </c>
      <c r="M1697">
        <f>SUM(Pharma_Sales_Data[[#This Row],[M01AB]:[R06]])</f>
        <v>77.84</v>
      </c>
      <c r="N1697" s="2">
        <f>Pharma_Sales_Data[[#This Row],[Total Drug Sales]]*150</f>
        <v>11676</v>
      </c>
      <c r="O1697" s="2">
        <f>Pharma_Sales_Data[[#This Row],[Total Revenue]]*0.3</f>
        <v>3502.7999999999997</v>
      </c>
      <c r="P1697" t="str">
        <f>IF(Pharma_Sales_Data[[#This Row],[Total Revenue]]&gt;20000,"High Value", IF(Pharma_Sales_Data[[#This Row],[Total Revenue]]&gt;=10000,"Medium Value","Low Value"))</f>
        <v>Medium Value</v>
      </c>
    </row>
    <row r="1698" spans="1:16" x14ac:dyDescent="0.35">
      <c r="A1698" s="1">
        <v>43337</v>
      </c>
      <c r="B1698">
        <v>3.67</v>
      </c>
      <c r="C1698">
        <v>4.01</v>
      </c>
      <c r="D1698">
        <v>3.2</v>
      </c>
      <c r="E1698">
        <v>27</v>
      </c>
      <c r="F1698">
        <v>4</v>
      </c>
      <c r="G1698">
        <v>0</v>
      </c>
      <c r="H1698">
        <v>6</v>
      </c>
      <c r="I1698">
        <v>2.5</v>
      </c>
      <c r="J1698">
        <v>2018</v>
      </c>
      <c r="K1698">
        <v>8</v>
      </c>
      <c r="L1698" t="s">
        <v>13</v>
      </c>
      <c r="M1698">
        <f>SUM(Pharma_Sales_Data[[#This Row],[M01AB]:[R06]])</f>
        <v>50.379999999999995</v>
      </c>
      <c r="N1698" s="2">
        <f>Pharma_Sales_Data[[#This Row],[Total Drug Sales]]*150</f>
        <v>7556.9999999999991</v>
      </c>
      <c r="O1698" s="2">
        <f>Pharma_Sales_Data[[#This Row],[Total Revenue]]*0.3</f>
        <v>2267.0999999999995</v>
      </c>
      <c r="P1698" t="str">
        <f>IF(Pharma_Sales_Data[[#This Row],[Total Revenue]]&gt;20000,"High Value", IF(Pharma_Sales_Data[[#This Row],[Total Revenue]]&gt;=10000,"Medium Value","Low Value"))</f>
        <v>Low Value</v>
      </c>
    </row>
    <row r="1699" spans="1:16" x14ac:dyDescent="0.35">
      <c r="A1699" s="1">
        <v>43338</v>
      </c>
      <c r="B1699">
        <v>11.33</v>
      </c>
      <c r="C1699">
        <v>6.67</v>
      </c>
      <c r="D1699">
        <v>4</v>
      </c>
      <c r="E1699">
        <v>57</v>
      </c>
      <c r="F1699">
        <v>10</v>
      </c>
      <c r="G1699">
        <v>0</v>
      </c>
      <c r="H1699">
        <v>8</v>
      </c>
      <c r="I1699">
        <v>4.3</v>
      </c>
      <c r="J1699">
        <v>2018</v>
      </c>
      <c r="K1699">
        <v>8</v>
      </c>
      <c r="L1699" t="s">
        <v>14</v>
      </c>
      <c r="M1699">
        <f>SUM(Pharma_Sales_Data[[#This Row],[M01AB]:[R06]])</f>
        <v>101.3</v>
      </c>
      <c r="N1699" s="2">
        <f>Pharma_Sales_Data[[#This Row],[Total Drug Sales]]*150</f>
        <v>15195</v>
      </c>
      <c r="O1699" s="2">
        <f>Pharma_Sales_Data[[#This Row],[Total Revenue]]*0.3</f>
        <v>4558.5</v>
      </c>
      <c r="P1699" t="str">
        <f>IF(Pharma_Sales_Data[[#This Row],[Total Revenue]]&gt;20000,"High Value", IF(Pharma_Sales_Data[[#This Row],[Total Revenue]]&gt;=10000,"Medium Value","Low Value"))</f>
        <v>Medium Value</v>
      </c>
    </row>
    <row r="1700" spans="1:16" x14ac:dyDescent="0.35">
      <c r="A1700" s="1">
        <v>43339</v>
      </c>
      <c r="B1700">
        <v>3.34</v>
      </c>
      <c r="C1700">
        <v>1</v>
      </c>
      <c r="D1700">
        <v>9</v>
      </c>
      <c r="E1700">
        <v>16</v>
      </c>
      <c r="F1700">
        <v>6</v>
      </c>
      <c r="G1700">
        <v>0</v>
      </c>
      <c r="H1700">
        <v>1</v>
      </c>
      <c r="I1700">
        <v>1</v>
      </c>
      <c r="J1700">
        <v>2018</v>
      </c>
      <c r="K1700">
        <v>8</v>
      </c>
      <c r="L1700" t="s">
        <v>15</v>
      </c>
      <c r="M1700">
        <f>SUM(Pharma_Sales_Data[[#This Row],[M01AB]:[R06]])</f>
        <v>37.340000000000003</v>
      </c>
      <c r="N1700" s="2">
        <f>Pharma_Sales_Data[[#This Row],[Total Drug Sales]]*150</f>
        <v>5601.0000000000009</v>
      </c>
      <c r="O1700" s="2">
        <f>Pharma_Sales_Data[[#This Row],[Total Revenue]]*0.3</f>
        <v>1680.3000000000002</v>
      </c>
      <c r="P1700" t="str">
        <f>IF(Pharma_Sales_Data[[#This Row],[Total Revenue]]&gt;20000,"High Value", IF(Pharma_Sales_Data[[#This Row],[Total Revenue]]&gt;=10000,"Medium Value","Low Value"))</f>
        <v>Low Value</v>
      </c>
    </row>
    <row r="1701" spans="1:16" x14ac:dyDescent="0.35">
      <c r="A1701" s="1">
        <v>43340</v>
      </c>
      <c r="B1701">
        <v>2</v>
      </c>
      <c r="C1701">
        <v>2.68</v>
      </c>
      <c r="D1701">
        <v>1</v>
      </c>
      <c r="E1701">
        <v>26.4</v>
      </c>
      <c r="F1701">
        <v>7</v>
      </c>
      <c r="G1701">
        <v>1</v>
      </c>
      <c r="H1701">
        <v>0</v>
      </c>
      <c r="I1701">
        <v>3</v>
      </c>
      <c r="J1701">
        <v>2018</v>
      </c>
      <c r="K1701">
        <v>8</v>
      </c>
      <c r="L1701" t="s">
        <v>16</v>
      </c>
      <c r="M1701">
        <f>SUM(Pharma_Sales_Data[[#This Row],[M01AB]:[R06]])</f>
        <v>43.08</v>
      </c>
      <c r="N1701" s="2">
        <f>Pharma_Sales_Data[[#This Row],[Total Drug Sales]]*150</f>
        <v>6462</v>
      </c>
      <c r="O1701" s="2">
        <f>Pharma_Sales_Data[[#This Row],[Total Revenue]]*0.3</f>
        <v>1938.6</v>
      </c>
      <c r="P1701" t="str">
        <f>IF(Pharma_Sales_Data[[#This Row],[Total Revenue]]&gt;20000,"High Value", IF(Pharma_Sales_Data[[#This Row],[Total Revenue]]&gt;=10000,"Medium Value","Low Value"))</f>
        <v>Low Value</v>
      </c>
    </row>
    <row r="1702" spans="1:16" x14ac:dyDescent="0.35">
      <c r="A1702" s="1">
        <v>43341</v>
      </c>
      <c r="B1702">
        <v>6.67</v>
      </c>
      <c r="C1702">
        <v>2.67</v>
      </c>
      <c r="D1702">
        <v>1.3</v>
      </c>
      <c r="E1702">
        <v>28.5</v>
      </c>
      <c r="F1702">
        <v>10</v>
      </c>
      <c r="G1702">
        <v>1</v>
      </c>
      <c r="H1702">
        <v>5</v>
      </c>
      <c r="I1702">
        <v>3</v>
      </c>
      <c r="J1702">
        <v>2018</v>
      </c>
      <c r="K1702">
        <v>8</v>
      </c>
      <c r="L1702" t="s">
        <v>17</v>
      </c>
      <c r="M1702">
        <f>SUM(Pharma_Sales_Data[[#This Row],[M01AB]:[R06]])</f>
        <v>58.14</v>
      </c>
      <c r="N1702" s="2">
        <f>Pharma_Sales_Data[[#This Row],[Total Drug Sales]]*150</f>
        <v>8721</v>
      </c>
      <c r="O1702" s="2">
        <f>Pharma_Sales_Data[[#This Row],[Total Revenue]]*0.3</f>
        <v>2616.2999999999997</v>
      </c>
      <c r="P1702" t="str">
        <f>IF(Pharma_Sales_Data[[#This Row],[Total Revenue]]&gt;20000,"High Value", IF(Pharma_Sales_Data[[#This Row],[Total Revenue]]&gt;=10000,"Medium Value","Low Value"))</f>
        <v>Low Value</v>
      </c>
    </row>
    <row r="1703" spans="1:16" x14ac:dyDescent="0.35">
      <c r="A1703" s="1">
        <v>43342</v>
      </c>
      <c r="B1703">
        <v>2.33</v>
      </c>
      <c r="C1703">
        <v>2.7360000000000002</v>
      </c>
      <c r="D1703">
        <v>3</v>
      </c>
      <c r="E1703">
        <v>38</v>
      </c>
      <c r="F1703">
        <v>7</v>
      </c>
      <c r="G1703">
        <v>0</v>
      </c>
      <c r="H1703">
        <v>4</v>
      </c>
      <c r="I1703">
        <v>2</v>
      </c>
      <c r="J1703">
        <v>2018</v>
      </c>
      <c r="K1703">
        <v>8</v>
      </c>
      <c r="L1703" t="s">
        <v>11</v>
      </c>
      <c r="M1703">
        <f>SUM(Pharma_Sales_Data[[#This Row],[M01AB]:[R06]])</f>
        <v>59.066000000000003</v>
      </c>
      <c r="N1703" s="2">
        <f>Pharma_Sales_Data[[#This Row],[Total Drug Sales]]*150</f>
        <v>8859.9</v>
      </c>
      <c r="O1703" s="2">
        <f>Pharma_Sales_Data[[#This Row],[Total Revenue]]*0.3</f>
        <v>2657.97</v>
      </c>
      <c r="P1703" t="str">
        <f>IF(Pharma_Sales_Data[[#This Row],[Total Revenue]]&gt;20000,"High Value", IF(Pharma_Sales_Data[[#This Row],[Total Revenue]]&gt;=10000,"Medium Value","Low Value"))</f>
        <v>Low Value</v>
      </c>
    </row>
    <row r="1704" spans="1:16" x14ac:dyDescent="0.35">
      <c r="A1704" s="1">
        <v>43343</v>
      </c>
      <c r="B1704">
        <v>4.34</v>
      </c>
      <c r="C1704">
        <v>3.34</v>
      </c>
      <c r="D1704">
        <v>0</v>
      </c>
      <c r="E1704">
        <v>17.2</v>
      </c>
      <c r="F1704">
        <v>13</v>
      </c>
      <c r="G1704">
        <v>1</v>
      </c>
      <c r="H1704">
        <v>20</v>
      </c>
      <c r="I1704">
        <v>4</v>
      </c>
      <c r="J1704">
        <v>2018</v>
      </c>
      <c r="K1704">
        <v>8</v>
      </c>
      <c r="L1704" t="s">
        <v>12</v>
      </c>
      <c r="M1704">
        <f>SUM(Pharma_Sales_Data[[#This Row],[M01AB]:[R06]])</f>
        <v>62.879999999999995</v>
      </c>
      <c r="N1704" s="2">
        <f>Pharma_Sales_Data[[#This Row],[Total Drug Sales]]*150</f>
        <v>9432</v>
      </c>
      <c r="O1704" s="2">
        <f>Pharma_Sales_Data[[#This Row],[Total Revenue]]*0.3</f>
        <v>2829.6</v>
      </c>
      <c r="P1704" t="str">
        <f>IF(Pharma_Sales_Data[[#This Row],[Total Revenue]]&gt;20000,"High Value", IF(Pharma_Sales_Data[[#This Row],[Total Revenue]]&gt;=10000,"Medium Value","Low Value"))</f>
        <v>Low Value</v>
      </c>
    </row>
    <row r="1705" spans="1:16" x14ac:dyDescent="0.35">
      <c r="A1705" s="1">
        <v>43344</v>
      </c>
      <c r="B1705">
        <v>2.34</v>
      </c>
      <c r="C1705">
        <v>0</v>
      </c>
      <c r="D1705">
        <v>2.2000000000000002</v>
      </c>
      <c r="E1705">
        <v>19</v>
      </c>
      <c r="F1705">
        <v>6</v>
      </c>
      <c r="G1705">
        <v>1</v>
      </c>
      <c r="H1705">
        <v>1</v>
      </c>
      <c r="I1705">
        <v>2</v>
      </c>
      <c r="J1705">
        <v>2018</v>
      </c>
      <c r="K1705">
        <v>9</v>
      </c>
      <c r="L1705" t="s">
        <v>13</v>
      </c>
      <c r="M1705">
        <f>SUM(Pharma_Sales_Data[[#This Row],[M01AB]:[R06]])</f>
        <v>33.54</v>
      </c>
      <c r="N1705" s="2">
        <f>Pharma_Sales_Data[[#This Row],[Total Drug Sales]]*150</f>
        <v>5031</v>
      </c>
      <c r="O1705" s="2">
        <f>Pharma_Sales_Data[[#This Row],[Total Revenue]]*0.3</f>
        <v>1509.3</v>
      </c>
      <c r="P1705" t="str">
        <f>IF(Pharma_Sales_Data[[#This Row],[Total Revenue]]&gt;20000,"High Value", IF(Pharma_Sales_Data[[#This Row],[Total Revenue]]&gt;=10000,"Medium Value","Low Value"))</f>
        <v>Low Value</v>
      </c>
    </row>
    <row r="1706" spans="1:16" x14ac:dyDescent="0.35">
      <c r="A1706" s="1">
        <v>43345</v>
      </c>
      <c r="B1706">
        <v>6.68</v>
      </c>
      <c r="C1706">
        <v>5.3730000000000002</v>
      </c>
      <c r="D1706">
        <v>3</v>
      </c>
      <c r="E1706">
        <v>20</v>
      </c>
      <c r="F1706">
        <v>5</v>
      </c>
      <c r="G1706">
        <v>0</v>
      </c>
      <c r="H1706">
        <v>5</v>
      </c>
      <c r="I1706">
        <v>2</v>
      </c>
      <c r="J1706">
        <v>2018</v>
      </c>
      <c r="K1706">
        <v>9</v>
      </c>
      <c r="L1706" t="s">
        <v>14</v>
      </c>
      <c r="M1706">
        <f>SUM(Pharma_Sales_Data[[#This Row],[M01AB]:[R06]])</f>
        <v>47.052999999999997</v>
      </c>
      <c r="N1706" s="2">
        <f>Pharma_Sales_Data[[#This Row],[Total Drug Sales]]*150</f>
        <v>7057.95</v>
      </c>
      <c r="O1706" s="2">
        <f>Pharma_Sales_Data[[#This Row],[Total Revenue]]*0.3</f>
        <v>2117.3849999999998</v>
      </c>
      <c r="P1706" t="str">
        <f>IF(Pharma_Sales_Data[[#This Row],[Total Revenue]]&gt;20000,"High Value", IF(Pharma_Sales_Data[[#This Row],[Total Revenue]]&gt;=10000,"Medium Value","Low Value"))</f>
        <v>Low Value</v>
      </c>
    </row>
    <row r="1707" spans="1:16" x14ac:dyDescent="0.35">
      <c r="A1707" s="1">
        <v>43346</v>
      </c>
      <c r="B1707">
        <v>1</v>
      </c>
      <c r="C1707">
        <v>2.02</v>
      </c>
      <c r="D1707">
        <v>2</v>
      </c>
      <c r="E1707">
        <v>27.4</v>
      </c>
      <c r="F1707">
        <v>12</v>
      </c>
      <c r="G1707">
        <v>0</v>
      </c>
      <c r="H1707">
        <v>0</v>
      </c>
      <c r="I1707">
        <v>4</v>
      </c>
      <c r="J1707">
        <v>2018</v>
      </c>
      <c r="K1707">
        <v>9</v>
      </c>
      <c r="L1707" t="s">
        <v>15</v>
      </c>
      <c r="M1707">
        <f>SUM(Pharma_Sales_Data[[#This Row],[M01AB]:[R06]])</f>
        <v>48.42</v>
      </c>
      <c r="N1707" s="2">
        <f>Pharma_Sales_Data[[#This Row],[Total Drug Sales]]*150</f>
        <v>7263</v>
      </c>
      <c r="O1707" s="2">
        <f>Pharma_Sales_Data[[#This Row],[Total Revenue]]*0.3</f>
        <v>2178.9</v>
      </c>
      <c r="P1707" t="str">
        <f>IF(Pharma_Sales_Data[[#This Row],[Total Revenue]]&gt;20000,"High Value", IF(Pharma_Sales_Data[[#This Row],[Total Revenue]]&gt;=10000,"Medium Value","Low Value"))</f>
        <v>Low Value</v>
      </c>
    </row>
    <row r="1708" spans="1:16" x14ac:dyDescent="0.35">
      <c r="A1708" s="1">
        <v>43347</v>
      </c>
      <c r="B1708">
        <v>4</v>
      </c>
      <c r="C1708">
        <v>1.0860000000000001</v>
      </c>
      <c r="D1708">
        <v>1</v>
      </c>
      <c r="E1708">
        <v>22</v>
      </c>
      <c r="F1708">
        <v>7</v>
      </c>
      <c r="G1708">
        <v>0</v>
      </c>
      <c r="H1708">
        <v>3</v>
      </c>
      <c r="I1708">
        <v>2</v>
      </c>
      <c r="J1708">
        <v>2018</v>
      </c>
      <c r="K1708">
        <v>9</v>
      </c>
      <c r="L1708" t="s">
        <v>16</v>
      </c>
      <c r="M1708">
        <f>SUM(Pharma_Sales_Data[[#This Row],[M01AB]:[R06]])</f>
        <v>40.085999999999999</v>
      </c>
      <c r="N1708" s="2">
        <f>Pharma_Sales_Data[[#This Row],[Total Drug Sales]]*150</f>
        <v>6012.9</v>
      </c>
      <c r="O1708" s="2">
        <f>Pharma_Sales_Data[[#This Row],[Total Revenue]]*0.3</f>
        <v>1803.87</v>
      </c>
      <c r="P1708" t="str">
        <f>IF(Pharma_Sales_Data[[#This Row],[Total Revenue]]&gt;20000,"High Value", IF(Pharma_Sales_Data[[#This Row],[Total Revenue]]&gt;=10000,"Medium Value","Low Value"))</f>
        <v>Low Value</v>
      </c>
    </row>
    <row r="1709" spans="1:16" x14ac:dyDescent="0.35">
      <c r="A1709" s="1">
        <v>43348</v>
      </c>
      <c r="B1709">
        <v>6.5</v>
      </c>
      <c r="C1709">
        <v>3.33</v>
      </c>
      <c r="D1709">
        <v>1.5</v>
      </c>
      <c r="E1709">
        <v>28</v>
      </c>
      <c r="F1709">
        <v>11</v>
      </c>
      <c r="G1709">
        <v>0</v>
      </c>
      <c r="H1709">
        <v>3</v>
      </c>
      <c r="I1709">
        <v>2</v>
      </c>
      <c r="J1709">
        <v>2018</v>
      </c>
      <c r="K1709">
        <v>9</v>
      </c>
      <c r="L1709" t="s">
        <v>17</v>
      </c>
      <c r="M1709">
        <f>SUM(Pharma_Sales_Data[[#This Row],[M01AB]:[R06]])</f>
        <v>55.33</v>
      </c>
      <c r="N1709" s="2">
        <f>Pharma_Sales_Data[[#This Row],[Total Drug Sales]]*150</f>
        <v>8299.5</v>
      </c>
      <c r="O1709" s="2">
        <f>Pharma_Sales_Data[[#This Row],[Total Revenue]]*0.3</f>
        <v>2489.85</v>
      </c>
      <c r="P1709" t="str">
        <f>IF(Pharma_Sales_Data[[#This Row],[Total Revenue]]&gt;20000,"High Value", IF(Pharma_Sales_Data[[#This Row],[Total Revenue]]&gt;=10000,"Medium Value","Low Value"))</f>
        <v>Low Value</v>
      </c>
    </row>
    <row r="1710" spans="1:16" x14ac:dyDescent="0.35">
      <c r="A1710" s="1">
        <v>43349</v>
      </c>
      <c r="B1710">
        <v>6.66</v>
      </c>
      <c r="C1710">
        <v>4.056</v>
      </c>
      <c r="D1710">
        <v>3</v>
      </c>
      <c r="E1710">
        <v>18.399999999999999</v>
      </c>
      <c r="F1710">
        <v>13</v>
      </c>
      <c r="G1710">
        <v>0</v>
      </c>
      <c r="H1710">
        <v>5</v>
      </c>
      <c r="I1710">
        <v>0</v>
      </c>
      <c r="J1710">
        <v>2018</v>
      </c>
      <c r="K1710">
        <v>9</v>
      </c>
      <c r="L1710" t="s">
        <v>11</v>
      </c>
      <c r="M1710">
        <f>SUM(Pharma_Sales_Data[[#This Row],[M01AB]:[R06]])</f>
        <v>50.116</v>
      </c>
      <c r="N1710" s="2">
        <f>Pharma_Sales_Data[[#This Row],[Total Drug Sales]]*150</f>
        <v>7517.4</v>
      </c>
      <c r="O1710" s="2">
        <f>Pharma_Sales_Data[[#This Row],[Total Revenue]]*0.3</f>
        <v>2255.2199999999998</v>
      </c>
      <c r="P1710" t="str">
        <f>IF(Pharma_Sales_Data[[#This Row],[Total Revenue]]&gt;20000,"High Value", IF(Pharma_Sales_Data[[#This Row],[Total Revenue]]&gt;=10000,"Medium Value","Low Value"))</f>
        <v>Low Value</v>
      </c>
    </row>
    <row r="1711" spans="1:16" x14ac:dyDescent="0.35">
      <c r="A1711" s="1">
        <v>43350</v>
      </c>
      <c r="B1711">
        <v>2</v>
      </c>
      <c r="C1711">
        <v>1.746</v>
      </c>
      <c r="D1711">
        <v>4</v>
      </c>
      <c r="E1711">
        <v>42</v>
      </c>
      <c r="F1711">
        <v>6</v>
      </c>
      <c r="G1711">
        <v>0</v>
      </c>
      <c r="H1711">
        <v>22</v>
      </c>
      <c r="I1711">
        <v>7.7</v>
      </c>
      <c r="J1711">
        <v>2018</v>
      </c>
      <c r="K1711">
        <v>9</v>
      </c>
      <c r="L1711" t="s">
        <v>12</v>
      </c>
      <c r="M1711">
        <f>SUM(Pharma_Sales_Data[[#This Row],[M01AB]:[R06]])</f>
        <v>85.446000000000012</v>
      </c>
      <c r="N1711" s="2">
        <f>Pharma_Sales_Data[[#This Row],[Total Drug Sales]]*150</f>
        <v>12816.900000000001</v>
      </c>
      <c r="O1711" s="2">
        <f>Pharma_Sales_Data[[#This Row],[Total Revenue]]*0.3</f>
        <v>3845.07</v>
      </c>
      <c r="P1711" t="str">
        <f>IF(Pharma_Sales_Data[[#This Row],[Total Revenue]]&gt;20000,"High Value", IF(Pharma_Sales_Data[[#This Row],[Total Revenue]]&gt;=10000,"Medium Value","Low Value"))</f>
        <v>Medium Value</v>
      </c>
    </row>
    <row r="1712" spans="1:16" x14ac:dyDescent="0.35">
      <c r="A1712" s="1">
        <v>43351</v>
      </c>
      <c r="B1712">
        <v>10</v>
      </c>
      <c r="C1712">
        <v>2.34</v>
      </c>
      <c r="D1712">
        <v>6.1</v>
      </c>
      <c r="E1712">
        <v>35.4</v>
      </c>
      <c r="F1712">
        <v>12</v>
      </c>
      <c r="G1712">
        <v>0</v>
      </c>
      <c r="H1712">
        <v>10</v>
      </c>
      <c r="I1712">
        <v>1</v>
      </c>
      <c r="J1712">
        <v>2018</v>
      </c>
      <c r="K1712">
        <v>9</v>
      </c>
      <c r="L1712" t="s">
        <v>13</v>
      </c>
      <c r="M1712">
        <f>SUM(Pharma_Sales_Data[[#This Row],[M01AB]:[R06]])</f>
        <v>76.84</v>
      </c>
      <c r="N1712" s="2">
        <f>Pharma_Sales_Data[[#This Row],[Total Drug Sales]]*150</f>
        <v>11526</v>
      </c>
      <c r="O1712" s="2">
        <f>Pharma_Sales_Data[[#This Row],[Total Revenue]]*0.3</f>
        <v>3457.7999999999997</v>
      </c>
      <c r="P1712" t="str">
        <f>IF(Pharma_Sales_Data[[#This Row],[Total Revenue]]&gt;20000,"High Value", IF(Pharma_Sales_Data[[#This Row],[Total Revenue]]&gt;=10000,"Medium Value","Low Value"))</f>
        <v>Medium Value</v>
      </c>
    </row>
    <row r="1713" spans="1:16" x14ac:dyDescent="0.35">
      <c r="A1713" s="1">
        <v>43352</v>
      </c>
      <c r="B1713">
        <v>4</v>
      </c>
      <c r="C1713">
        <v>5.944</v>
      </c>
      <c r="D1713">
        <v>0</v>
      </c>
      <c r="E1713">
        <v>50</v>
      </c>
      <c r="F1713">
        <v>2</v>
      </c>
      <c r="G1713">
        <v>0</v>
      </c>
      <c r="H1713">
        <v>0</v>
      </c>
      <c r="I1713">
        <v>5</v>
      </c>
      <c r="J1713">
        <v>2018</v>
      </c>
      <c r="K1713">
        <v>9</v>
      </c>
      <c r="L1713" t="s">
        <v>14</v>
      </c>
      <c r="M1713">
        <f>SUM(Pharma_Sales_Data[[#This Row],[M01AB]:[R06]])</f>
        <v>66.944000000000003</v>
      </c>
      <c r="N1713" s="2">
        <f>Pharma_Sales_Data[[#This Row],[Total Drug Sales]]*150</f>
        <v>10041.6</v>
      </c>
      <c r="O1713" s="2">
        <f>Pharma_Sales_Data[[#This Row],[Total Revenue]]*0.3</f>
        <v>3012.48</v>
      </c>
      <c r="P1713" t="str">
        <f>IF(Pharma_Sales_Data[[#This Row],[Total Revenue]]&gt;20000,"High Value", IF(Pharma_Sales_Data[[#This Row],[Total Revenue]]&gt;=10000,"Medium Value","Low Value"))</f>
        <v>Medium Value</v>
      </c>
    </row>
    <row r="1714" spans="1:16" x14ac:dyDescent="0.35">
      <c r="A1714" s="1">
        <v>43353</v>
      </c>
      <c r="B1714">
        <v>7</v>
      </c>
      <c r="C1714">
        <v>2.4060000000000001</v>
      </c>
      <c r="D1714">
        <v>2</v>
      </c>
      <c r="E1714">
        <v>49.4</v>
      </c>
      <c r="F1714">
        <v>14</v>
      </c>
      <c r="G1714">
        <v>3</v>
      </c>
      <c r="H1714">
        <v>1</v>
      </c>
      <c r="I1714">
        <v>2</v>
      </c>
      <c r="J1714">
        <v>2018</v>
      </c>
      <c r="K1714">
        <v>9</v>
      </c>
      <c r="L1714" t="s">
        <v>15</v>
      </c>
      <c r="M1714">
        <f>SUM(Pharma_Sales_Data[[#This Row],[M01AB]:[R06]])</f>
        <v>80.805999999999997</v>
      </c>
      <c r="N1714" s="2">
        <f>Pharma_Sales_Data[[#This Row],[Total Drug Sales]]*150</f>
        <v>12120.9</v>
      </c>
      <c r="O1714" s="2">
        <f>Pharma_Sales_Data[[#This Row],[Total Revenue]]*0.3</f>
        <v>3636.27</v>
      </c>
      <c r="P1714" t="str">
        <f>IF(Pharma_Sales_Data[[#This Row],[Total Revenue]]&gt;20000,"High Value", IF(Pharma_Sales_Data[[#This Row],[Total Revenue]]&gt;=10000,"Medium Value","Low Value"))</f>
        <v>Medium Value</v>
      </c>
    </row>
    <row r="1715" spans="1:16" x14ac:dyDescent="0.35">
      <c r="A1715" s="1">
        <v>43354</v>
      </c>
      <c r="B1715">
        <v>9</v>
      </c>
      <c r="C1715">
        <v>2.726</v>
      </c>
      <c r="D1715">
        <v>3</v>
      </c>
      <c r="E1715">
        <v>50.6</v>
      </c>
      <c r="F1715">
        <v>15</v>
      </c>
      <c r="G1715">
        <v>0</v>
      </c>
      <c r="H1715">
        <v>6</v>
      </c>
      <c r="I1715">
        <v>4</v>
      </c>
      <c r="J1715">
        <v>2018</v>
      </c>
      <c r="K1715">
        <v>9</v>
      </c>
      <c r="L1715" t="s">
        <v>16</v>
      </c>
      <c r="M1715">
        <f>SUM(Pharma_Sales_Data[[#This Row],[M01AB]:[R06]])</f>
        <v>90.325999999999993</v>
      </c>
      <c r="N1715" s="2">
        <f>Pharma_Sales_Data[[#This Row],[Total Drug Sales]]*150</f>
        <v>13548.9</v>
      </c>
      <c r="O1715" s="2">
        <f>Pharma_Sales_Data[[#This Row],[Total Revenue]]*0.3</f>
        <v>4064.6699999999996</v>
      </c>
      <c r="P1715" t="str">
        <f>IF(Pharma_Sales_Data[[#This Row],[Total Revenue]]&gt;20000,"High Value", IF(Pharma_Sales_Data[[#This Row],[Total Revenue]]&gt;=10000,"Medium Value","Low Value"))</f>
        <v>Medium Value</v>
      </c>
    </row>
    <row r="1716" spans="1:16" x14ac:dyDescent="0.35">
      <c r="A1716" s="1">
        <v>43355</v>
      </c>
      <c r="B1716">
        <v>4</v>
      </c>
      <c r="C1716">
        <v>3</v>
      </c>
      <c r="D1716">
        <v>2</v>
      </c>
      <c r="E1716">
        <v>35</v>
      </c>
      <c r="F1716">
        <v>18</v>
      </c>
      <c r="G1716">
        <v>0</v>
      </c>
      <c r="H1716">
        <v>5</v>
      </c>
      <c r="I1716">
        <v>0</v>
      </c>
      <c r="J1716">
        <v>2018</v>
      </c>
      <c r="K1716">
        <v>9</v>
      </c>
      <c r="L1716" t="s">
        <v>17</v>
      </c>
      <c r="M1716">
        <f>SUM(Pharma_Sales_Data[[#This Row],[M01AB]:[R06]])</f>
        <v>67</v>
      </c>
      <c r="N1716" s="2">
        <f>Pharma_Sales_Data[[#This Row],[Total Drug Sales]]*150</f>
        <v>10050</v>
      </c>
      <c r="O1716" s="2">
        <f>Pharma_Sales_Data[[#This Row],[Total Revenue]]*0.3</f>
        <v>3015</v>
      </c>
      <c r="P1716" t="str">
        <f>IF(Pharma_Sales_Data[[#This Row],[Total Revenue]]&gt;20000,"High Value", IF(Pharma_Sales_Data[[#This Row],[Total Revenue]]&gt;=10000,"Medium Value","Low Value"))</f>
        <v>Medium Value</v>
      </c>
    </row>
    <row r="1717" spans="1:16" x14ac:dyDescent="0.35">
      <c r="A1717" s="1">
        <v>43356</v>
      </c>
      <c r="B1717">
        <v>2.83</v>
      </c>
      <c r="C1717">
        <v>3.0859999999999999</v>
      </c>
      <c r="D1717">
        <v>1</v>
      </c>
      <c r="E1717">
        <v>20.6</v>
      </c>
      <c r="F1717">
        <v>5</v>
      </c>
      <c r="G1717">
        <v>2</v>
      </c>
      <c r="H1717">
        <v>12</v>
      </c>
      <c r="I1717">
        <v>2</v>
      </c>
      <c r="J1717">
        <v>2018</v>
      </c>
      <c r="K1717">
        <v>9</v>
      </c>
      <c r="L1717" t="s">
        <v>11</v>
      </c>
      <c r="M1717">
        <f>SUM(Pharma_Sales_Data[[#This Row],[M01AB]:[R06]])</f>
        <v>48.516000000000005</v>
      </c>
      <c r="N1717" s="2">
        <f>Pharma_Sales_Data[[#This Row],[Total Drug Sales]]*150</f>
        <v>7277.4000000000005</v>
      </c>
      <c r="O1717" s="2">
        <f>Pharma_Sales_Data[[#This Row],[Total Revenue]]*0.3</f>
        <v>2183.2200000000003</v>
      </c>
      <c r="P1717" t="str">
        <f>IF(Pharma_Sales_Data[[#This Row],[Total Revenue]]&gt;20000,"High Value", IF(Pharma_Sales_Data[[#This Row],[Total Revenue]]&gt;=10000,"Medium Value","Low Value"))</f>
        <v>Low Value</v>
      </c>
    </row>
    <row r="1718" spans="1:16" x14ac:dyDescent="0.35">
      <c r="A1718" s="1">
        <v>43357</v>
      </c>
      <c r="B1718">
        <v>8</v>
      </c>
      <c r="C1718">
        <v>7.02</v>
      </c>
      <c r="D1718">
        <v>4</v>
      </c>
      <c r="E1718">
        <v>54</v>
      </c>
      <c r="F1718">
        <v>7</v>
      </c>
      <c r="G1718">
        <v>0</v>
      </c>
      <c r="H1718">
        <v>1</v>
      </c>
      <c r="I1718">
        <v>2</v>
      </c>
      <c r="J1718">
        <v>2018</v>
      </c>
      <c r="K1718">
        <v>9</v>
      </c>
      <c r="L1718" t="s">
        <v>12</v>
      </c>
      <c r="M1718">
        <f>SUM(Pharma_Sales_Data[[#This Row],[M01AB]:[R06]])</f>
        <v>83.02</v>
      </c>
      <c r="N1718" s="2">
        <f>Pharma_Sales_Data[[#This Row],[Total Drug Sales]]*150</f>
        <v>12453</v>
      </c>
      <c r="O1718" s="2">
        <f>Pharma_Sales_Data[[#This Row],[Total Revenue]]*0.3</f>
        <v>3735.8999999999996</v>
      </c>
      <c r="P1718" t="str">
        <f>IF(Pharma_Sales_Data[[#This Row],[Total Revenue]]&gt;20000,"High Value", IF(Pharma_Sales_Data[[#This Row],[Total Revenue]]&gt;=10000,"Medium Value","Low Value"))</f>
        <v>Medium Value</v>
      </c>
    </row>
    <row r="1719" spans="1:16" x14ac:dyDescent="0.35">
      <c r="A1719" s="1">
        <v>43358</v>
      </c>
      <c r="B1719">
        <v>6</v>
      </c>
      <c r="C1719">
        <v>2.0099999999999998</v>
      </c>
      <c r="D1719">
        <v>4</v>
      </c>
      <c r="E1719">
        <v>19.7</v>
      </c>
      <c r="F1719">
        <v>6</v>
      </c>
      <c r="G1719">
        <v>0</v>
      </c>
      <c r="H1719">
        <v>10</v>
      </c>
      <c r="I1719">
        <v>4.4000000000000004</v>
      </c>
      <c r="J1719">
        <v>2018</v>
      </c>
      <c r="K1719">
        <v>9</v>
      </c>
      <c r="L1719" t="s">
        <v>13</v>
      </c>
      <c r="M1719">
        <f>SUM(Pharma_Sales_Data[[#This Row],[M01AB]:[R06]])</f>
        <v>52.11</v>
      </c>
      <c r="N1719" s="2">
        <f>Pharma_Sales_Data[[#This Row],[Total Drug Sales]]*150</f>
        <v>7816.5</v>
      </c>
      <c r="O1719" s="2">
        <f>Pharma_Sales_Data[[#This Row],[Total Revenue]]*0.3</f>
        <v>2344.9499999999998</v>
      </c>
      <c r="P1719" t="str">
        <f>IF(Pharma_Sales_Data[[#This Row],[Total Revenue]]&gt;20000,"High Value", IF(Pharma_Sales_Data[[#This Row],[Total Revenue]]&gt;=10000,"Medium Value","Low Value"))</f>
        <v>Low Value</v>
      </c>
    </row>
    <row r="1720" spans="1:16" x14ac:dyDescent="0.35">
      <c r="A1720" s="1">
        <v>43359</v>
      </c>
      <c r="B1720">
        <v>3.33</v>
      </c>
      <c r="C1720">
        <v>0.67</v>
      </c>
      <c r="D1720">
        <v>3.25</v>
      </c>
      <c r="E1720">
        <v>24.25</v>
      </c>
      <c r="F1720">
        <v>6</v>
      </c>
      <c r="G1720">
        <v>1</v>
      </c>
      <c r="H1720">
        <v>7</v>
      </c>
      <c r="I1720">
        <v>3</v>
      </c>
      <c r="J1720">
        <v>2018</v>
      </c>
      <c r="K1720">
        <v>9</v>
      </c>
      <c r="L1720" t="s">
        <v>14</v>
      </c>
      <c r="M1720">
        <f>SUM(Pharma_Sales_Data[[#This Row],[M01AB]:[R06]])</f>
        <v>48.5</v>
      </c>
      <c r="N1720" s="2">
        <f>Pharma_Sales_Data[[#This Row],[Total Drug Sales]]*150</f>
        <v>7275</v>
      </c>
      <c r="O1720" s="2">
        <f>Pharma_Sales_Data[[#This Row],[Total Revenue]]*0.3</f>
        <v>2182.5</v>
      </c>
      <c r="P1720" t="str">
        <f>IF(Pharma_Sales_Data[[#This Row],[Total Revenue]]&gt;20000,"High Value", IF(Pharma_Sales_Data[[#This Row],[Total Revenue]]&gt;=10000,"Medium Value","Low Value"))</f>
        <v>Low Value</v>
      </c>
    </row>
    <row r="1721" spans="1:16" x14ac:dyDescent="0.35">
      <c r="A1721" s="1">
        <v>43360</v>
      </c>
      <c r="B1721">
        <v>3</v>
      </c>
      <c r="C1721">
        <v>2.33</v>
      </c>
      <c r="D1721">
        <v>3.75</v>
      </c>
      <c r="E1721">
        <v>44.4</v>
      </c>
      <c r="F1721">
        <v>10</v>
      </c>
      <c r="G1721">
        <v>1</v>
      </c>
      <c r="H1721">
        <v>5</v>
      </c>
      <c r="I1721">
        <v>0</v>
      </c>
      <c r="J1721">
        <v>2018</v>
      </c>
      <c r="K1721">
        <v>9</v>
      </c>
      <c r="L1721" t="s">
        <v>15</v>
      </c>
      <c r="M1721">
        <f>SUM(Pharma_Sales_Data[[#This Row],[M01AB]:[R06]])</f>
        <v>69.47999999999999</v>
      </c>
      <c r="N1721" s="2">
        <f>Pharma_Sales_Data[[#This Row],[Total Drug Sales]]*150</f>
        <v>10421.999999999998</v>
      </c>
      <c r="O1721" s="2">
        <f>Pharma_Sales_Data[[#This Row],[Total Revenue]]*0.3</f>
        <v>3126.5999999999995</v>
      </c>
      <c r="P1721" t="str">
        <f>IF(Pharma_Sales_Data[[#This Row],[Total Revenue]]&gt;20000,"High Value", IF(Pharma_Sales_Data[[#This Row],[Total Revenue]]&gt;=10000,"Medium Value","Low Value"))</f>
        <v>Medium Value</v>
      </c>
    </row>
    <row r="1722" spans="1:16" x14ac:dyDescent="0.35">
      <c r="A1722" s="1">
        <v>43361</v>
      </c>
      <c r="B1722">
        <v>4.34</v>
      </c>
      <c r="C1722">
        <v>3</v>
      </c>
      <c r="D1722">
        <v>3.7</v>
      </c>
      <c r="E1722">
        <v>20</v>
      </c>
      <c r="F1722">
        <v>6</v>
      </c>
      <c r="G1722">
        <v>0</v>
      </c>
      <c r="H1722">
        <v>1</v>
      </c>
      <c r="I1722">
        <v>5</v>
      </c>
      <c r="J1722">
        <v>2018</v>
      </c>
      <c r="K1722">
        <v>9</v>
      </c>
      <c r="L1722" t="s">
        <v>16</v>
      </c>
      <c r="M1722">
        <f>SUM(Pharma_Sales_Data[[#This Row],[M01AB]:[R06]])</f>
        <v>43.04</v>
      </c>
      <c r="N1722" s="2">
        <f>Pharma_Sales_Data[[#This Row],[Total Drug Sales]]*150</f>
        <v>6456</v>
      </c>
      <c r="O1722" s="2">
        <f>Pharma_Sales_Data[[#This Row],[Total Revenue]]*0.3</f>
        <v>1936.8</v>
      </c>
      <c r="P1722" t="str">
        <f>IF(Pharma_Sales_Data[[#This Row],[Total Revenue]]&gt;20000,"High Value", IF(Pharma_Sales_Data[[#This Row],[Total Revenue]]&gt;=10000,"Medium Value","Low Value"))</f>
        <v>Low Value</v>
      </c>
    </row>
    <row r="1723" spans="1:16" x14ac:dyDescent="0.35">
      <c r="A1723" s="1">
        <v>43362</v>
      </c>
      <c r="B1723">
        <v>6</v>
      </c>
      <c r="C1723">
        <v>3.68</v>
      </c>
      <c r="D1723">
        <v>2</v>
      </c>
      <c r="E1723">
        <v>26</v>
      </c>
      <c r="F1723">
        <v>10</v>
      </c>
      <c r="G1723">
        <v>0</v>
      </c>
      <c r="H1723">
        <v>9</v>
      </c>
      <c r="I1723">
        <v>7</v>
      </c>
      <c r="J1723">
        <v>2018</v>
      </c>
      <c r="K1723">
        <v>9</v>
      </c>
      <c r="L1723" t="s">
        <v>17</v>
      </c>
      <c r="M1723">
        <f>SUM(Pharma_Sales_Data[[#This Row],[M01AB]:[R06]])</f>
        <v>63.68</v>
      </c>
      <c r="N1723" s="2">
        <f>Pharma_Sales_Data[[#This Row],[Total Drug Sales]]*150</f>
        <v>9552</v>
      </c>
      <c r="O1723" s="2">
        <f>Pharma_Sales_Data[[#This Row],[Total Revenue]]*0.3</f>
        <v>2865.6</v>
      </c>
      <c r="P1723" t="str">
        <f>IF(Pharma_Sales_Data[[#This Row],[Total Revenue]]&gt;20000,"High Value", IF(Pharma_Sales_Data[[#This Row],[Total Revenue]]&gt;=10000,"Medium Value","Low Value"))</f>
        <v>Low Value</v>
      </c>
    </row>
    <row r="1724" spans="1:16" x14ac:dyDescent="0.35">
      <c r="A1724" s="1">
        <v>43363</v>
      </c>
      <c r="B1724">
        <v>2</v>
      </c>
      <c r="C1724">
        <v>4.0670000000000002</v>
      </c>
      <c r="D1724">
        <v>2</v>
      </c>
      <c r="E1724">
        <v>24.2</v>
      </c>
      <c r="F1724">
        <v>13</v>
      </c>
      <c r="G1724">
        <v>1</v>
      </c>
      <c r="H1724">
        <v>0</v>
      </c>
      <c r="I1724">
        <v>5</v>
      </c>
      <c r="J1724">
        <v>2018</v>
      </c>
      <c r="K1724">
        <v>9</v>
      </c>
      <c r="L1724" t="s">
        <v>11</v>
      </c>
      <c r="M1724">
        <f>SUM(Pharma_Sales_Data[[#This Row],[M01AB]:[R06]])</f>
        <v>51.266999999999996</v>
      </c>
      <c r="N1724" s="2">
        <f>Pharma_Sales_Data[[#This Row],[Total Drug Sales]]*150</f>
        <v>7690.0499999999993</v>
      </c>
      <c r="O1724" s="2">
        <f>Pharma_Sales_Data[[#This Row],[Total Revenue]]*0.3</f>
        <v>2307.0149999999999</v>
      </c>
      <c r="P1724" t="str">
        <f>IF(Pharma_Sales_Data[[#This Row],[Total Revenue]]&gt;20000,"High Value", IF(Pharma_Sales_Data[[#This Row],[Total Revenue]]&gt;=10000,"Medium Value","Low Value"))</f>
        <v>Low Value</v>
      </c>
    </row>
    <row r="1725" spans="1:16" x14ac:dyDescent="0.35">
      <c r="A1725" s="1">
        <v>43364</v>
      </c>
      <c r="B1725">
        <v>4.66</v>
      </c>
      <c r="C1725">
        <v>5.8369999999999997</v>
      </c>
      <c r="D1725">
        <v>1</v>
      </c>
      <c r="E1725">
        <v>33.1</v>
      </c>
      <c r="F1725">
        <v>10</v>
      </c>
      <c r="G1725">
        <v>0</v>
      </c>
      <c r="H1725">
        <v>1</v>
      </c>
      <c r="I1725">
        <v>3</v>
      </c>
      <c r="J1725">
        <v>2018</v>
      </c>
      <c r="K1725">
        <v>9</v>
      </c>
      <c r="L1725" t="s">
        <v>12</v>
      </c>
      <c r="M1725">
        <f>SUM(Pharma_Sales_Data[[#This Row],[M01AB]:[R06]])</f>
        <v>58.597000000000001</v>
      </c>
      <c r="N1725" s="2">
        <f>Pharma_Sales_Data[[#This Row],[Total Drug Sales]]*150</f>
        <v>8789.5500000000011</v>
      </c>
      <c r="O1725" s="2">
        <f>Pharma_Sales_Data[[#This Row],[Total Revenue]]*0.3</f>
        <v>2636.8650000000002</v>
      </c>
      <c r="P1725" t="str">
        <f>IF(Pharma_Sales_Data[[#This Row],[Total Revenue]]&gt;20000,"High Value", IF(Pharma_Sales_Data[[#This Row],[Total Revenue]]&gt;=10000,"Medium Value","Low Value"))</f>
        <v>Low Value</v>
      </c>
    </row>
    <row r="1726" spans="1:16" x14ac:dyDescent="0.35">
      <c r="A1726" s="1">
        <v>43365</v>
      </c>
      <c r="B1726">
        <v>6</v>
      </c>
      <c r="C1726">
        <v>3.8330000000000002</v>
      </c>
      <c r="D1726">
        <v>1.5</v>
      </c>
      <c r="E1726">
        <v>31.6</v>
      </c>
      <c r="F1726">
        <v>6</v>
      </c>
      <c r="G1726">
        <v>1</v>
      </c>
      <c r="H1726">
        <v>23</v>
      </c>
      <c r="I1726">
        <v>3</v>
      </c>
      <c r="J1726">
        <v>2018</v>
      </c>
      <c r="K1726">
        <v>9</v>
      </c>
      <c r="L1726" t="s">
        <v>13</v>
      </c>
      <c r="M1726">
        <f>SUM(Pharma_Sales_Data[[#This Row],[M01AB]:[R06]])</f>
        <v>75.932999999999993</v>
      </c>
      <c r="N1726" s="2">
        <f>Pharma_Sales_Data[[#This Row],[Total Drug Sales]]*150</f>
        <v>11389.949999999999</v>
      </c>
      <c r="O1726" s="2">
        <f>Pharma_Sales_Data[[#This Row],[Total Revenue]]*0.3</f>
        <v>3416.9849999999997</v>
      </c>
      <c r="P1726" t="str">
        <f>IF(Pharma_Sales_Data[[#This Row],[Total Revenue]]&gt;20000,"High Value", IF(Pharma_Sales_Data[[#This Row],[Total Revenue]]&gt;=10000,"Medium Value","Low Value"))</f>
        <v>Medium Value</v>
      </c>
    </row>
    <row r="1727" spans="1:16" x14ac:dyDescent="0.35">
      <c r="A1727" s="1">
        <v>43366</v>
      </c>
      <c r="B1727">
        <v>7.34</v>
      </c>
      <c r="C1727">
        <v>9.4390000000000001</v>
      </c>
      <c r="D1727">
        <v>3.25</v>
      </c>
      <c r="E1727">
        <v>42.862000000000002</v>
      </c>
      <c r="F1727">
        <v>9</v>
      </c>
      <c r="G1727">
        <v>0</v>
      </c>
      <c r="H1727">
        <v>8</v>
      </c>
      <c r="I1727">
        <v>5</v>
      </c>
      <c r="J1727">
        <v>2018</v>
      </c>
      <c r="K1727">
        <v>9</v>
      </c>
      <c r="L1727" t="s">
        <v>14</v>
      </c>
      <c r="M1727">
        <f>SUM(Pharma_Sales_Data[[#This Row],[M01AB]:[R06]])</f>
        <v>84.891000000000005</v>
      </c>
      <c r="N1727" s="2">
        <f>Pharma_Sales_Data[[#This Row],[Total Drug Sales]]*150</f>
        <v>12733.650000000001</v>
      </c>
      <c r="O1727" s="2">
        <f>Pharma_Sales_Data[[#This Row],[Total Revenue]]*0.3</f>
        <v>3820.0950000000003</v>
      </c>
      <c r="P1727" t="str">
        <f>IF(Pharma_Sales_Data[[#This Row],[Total Revenue]]&gt;20000,"High Value", IF(Pharma_Sales_Data[[#This Row],[Total Revenue]]&gt;=10000,"Medium Value","Low Value"))</f>
        <v>Medium Value</v>
      </c>
    </row>
    <row r="1728" spans="1:16" x14ac:dyDescent="0.35">
      <c r="A1728" s="1">
        <v>43367</v>
      </c>
      <c r="B1728">
        <v>7.33</v>
      </c>
      <c r="C1728">
        <v>3.67</v>
      </c>
      <c r="D1728">
        <v>5.5</v>
      </c>
      <c r="E1728">
        <v>53.8</v>
      </c>
      <c r="F1728">
        <v>7</v>
      </c>
      <c r="G1728">
        <v>0</v>
      </c>
      <c r="H1728">
        <v>9</v>
      </c>
      <c r="I1728">
        <v>2</v>
      </c>
      <c r="J1728">
        <v>2018</v>
      </c>
      <c r="K1728">
        <v>9</v>
      </c>
      <c r="L1728" t="s">
        <v>15</v>
      </c>
      <c r="M1728">
        <f>SUM(Pharma_Sales_Data[[#This Row],[M01AB]:[R06]])</f>
        <v>88.3</v>
      </c>
      <c r="N1728" s="2">
        <f>Pharma_Sales_Data[[#This Row],[Total Drug Sales]]*150</f>
        <v>13245</v>
      </c>
      <c r="O1728" s="2">
        <f>Pharma_Sales_Data[[#This Row],[Total Revenue]]*0.3</f>
        <v>3973.5</v>
      </c>
      <c r="P1728" t="str">
        <f>IF(Pharma_Sales_Data[[#This Row],[Total Revenue]]&gt;20000,"High Value", IF(Pharma_Sales_Data[[#This Row],[Total Revenue]]&gt;=10000,"Medium Value","Low Value"))</f>
        <v>Medium Value</v>
      </c>
    </row>
    <row r="1729" spans="1:16" x14ac:dyDescent="0.35">
      <c r="A1729" s="1">
        <v>43368</v>
      </c>
      <c r="B1729">
        <v>6</v>
      </c>
      <c r="C1729">
        <v>4.7359999999999998</v>
      </c>
      <c r="D1729">
        <v>3.3</v>
      </c>
      <c r="E1729">
        <v>53.85</v>
      </c>
      <c r="F1729">
        <v>11</v>
      </c>
      <c r="G1729">
        <v>0</v>
      </c>
      <c r="H1729">
        <v>22</v>
      </c>
      <c r="I1729">
        <v>2</v>
      </c>
      <c r="J1729">
        <v>2018</v>
      </c>
      <c r="K1729">
        <v>9</v>
      </c>
      <c r="L1729" t="s">
        <v>16</v>
      </c>
      <c r="M1729">
        <f>SUM(Pharma_Sales_Data[[#This Row],[M01AB]:[R06]])</f>
        <v>102.886</v>
      </c>
      <c r="N1729" s="2">
        <f>Pharma_Sales_Data[[#This Row],[Total Drug Sales]]*150</f>
        <v>15432.9</v>
      </c>
      <c r="O1729" s="2">
        <f>Pharma_Sales_Data[[#This Row],[Total Revenue]]*0.3</f>
        <v>4629.87</v>
      </c>
      <c r="P1729" t="str">
        <f>IF(Pharma_Sales_Data[[#This Row],[Total Revenue]]&gt;20000,"High Value", IF(Pharma_Sales_Data[[#This Row],[Total Revenue]]&gt;=10000,"Medium Value","Low Value"))</f>
        <v>Medium Value</v>
      </c>
    </row>
    <row r="1730" spans="1:16" x14ac:dyDescent="0.35">
      <c r="A1730" s="1">
        <v>43369</v>
      </c>
      <c r="B1730">
        <v>3</v>
      </c>
      <c r="C1730">
        <v>9</v>
      </c>
      <c r="D1730">
        <v>6</v>
      </c>
      <c r="E1730">
        <v>41.4</v>
      </c>
      <c r="F1730">
        <v>9</v>
      </c>
      <c r="G1730">
        <v>1</v>
      </c>
      <c r="H1730">
        <v>0</v>
      </c>
      <c r="I1730">
        <v>3</v>
      </c>
      <c r="J1730">
        <v>2018</v>
      </c>
      <c r="K1730">
        <v>9</v>
      </c>
      <c r="L1730" t="s">
        <v>17</v>
      </c>
      <c r="M1730">
        <f>SUM(Pharma_Sales_Data[[#This Row],[M01AB]:[R06]])</f>
        <v>72.400000000000006</v>
      </c>
      <c r="N1730" s="2">
        <f>Pharma_Sales_Data[[#This Row],[Total Drug Sales]]*150</f>
        <v>10860</v>
      </c>
      <c r="O1730" s="2">
        <f>Pharma_Sales_Data[[#This Row],[Total Revenue]]*0.3</f>
        <v>3258</v>
      </c>
      <c r="P1730" t="str">
        <f>IF(Pharma_Sales_Data[[#This Row],[Total Revenue]]&gt;20000,"High Value", IF(Pharma_Sales_Data[[#This Row],[Total Revenue]]&gt;=10000,"Medium Value","Low Value"))</f>
        <v>Medium Value</v>
      </c>
    </row>
    <row r="1731" spans="1:16" x14ac:dyDescent="0.35">
      <c r="A1731" s="1">
        <v>43370</v>
      </c>
      <c r="B1731">
        <v>4</v>
      </c>
      <c r="C1731">
        <v>6.5670000000000002</v>
      </c>
      <c r="D1731">
        <v>4.5999999999999996</v>
      </c>
      <c r="E1731">
        <v>19</v>
      </c>
      <c r="F1731">
        <v>11</v>
      </c>
      <c r="G1731">
        <v>0</v>
      </c>
      <c r="H1731">
        <v>7</v>
      </c>
      <c r="I1731">
        <v>3</v>
      </c>
      <c r="J1731">
        <v>2018</v>
      </c>
      <c r="K1731">
        <v>9</v>
      </c>
      <c r="L1731" t="s">
        <v>11</v>
      </c>
      <c r="M1731">
        <f>SUM(Pharma_Sales_Data[[#This Row],[M01AB]:[R06]])</f>
        <v>55.167000000000002</v>
      </c>
      <c r="N1731" s="2">
        <f>Pharma_Sales_Data[[#This Row],[Total Drug Sales]]*150</f>
        <v>8275.0500000000011</v>
      </c>
      <c r="O1731" s="2">
        <f>Pharma_Sales_Data[[#This Row],[Total Revenue]]*0.3</f>
        <v>2482.5150000000003</v>
      </c>
      <c r="P1731" t="str">
        <f>IF(Pharma_Sales_Data[[#This Row],[Total Revenue]]&gt;20000,"High Value", IF(Pharma_Sales_Data[[#This Row],[Total Revenue]]&gt;=10000,"Medium Value","Low Value"))</f>
        <v>Low Value</v>
      </c>
    </row>
    <row r="1732" spans="1:16" x14ac:dyDescent="0.35">
      <c r="A1732" s="1">
        <v>43371</v>
      </c>
      <c r="B1732">
        <v>2</v>
      </c>
      <c r="C1732">
        <v>4.68</v>
      </c>
      <c r="D1732">
        <v>3.7</v>
      </c>
      <c r="E1732">
        <v>40.6</v>
      </c>
      <c r="F1732">
        <v>3</v>
      </c>
      <c r="G1732">
        <v>0</v>
      </c>
      <c r="H1732">
        <v>5</v>
      </c>
      <c r="I1732">
        <v>3</v>
      </c>
      <c r="J1732">
        <v>2018</v>
      </c>
      <c r="K1732">
        <v>9</v>
      </c>
      <c r="L1732" t="s">
        <v>12</v>
      </c>
      <c r="M1732">
        <f>SUM(Pharma_Sales_Data[[#This Row],[M01AB]:[R06]])</f>
        <v>61.980000000000004</v>
      </c>
      <c r="N1732" s="2">
        <f>Pharma_Sales_Data[[#This Row],[Total Drug Sales]]*150</f>
        <v>9297</v>
      </c>
      <c r="O1732" s="2">
        <f>Pharma_Sales_Data[[#This Row],[Total Revenue]]*0.3</f>
        <v>2789.1</v>
      </c>
      <c r="P1732" t="str">
        <f>IF(Pharma_Sales_Data[[#This Row],[Total Revenue]]&gt;20000,"High Value", IF(Pharma_Sales_Data[[#This Row],[Total Revenue]]&gt;=10000,"Medium Value","Low Value"))</f>
        <v>Low Value</v>
      </c>
    </row>
    <row r="1733" spans="1:16" x14ac:dyDescent="0.35">
      <c r="A1733" s="1">
        <v>43372</v>
      </c>
      <c r="B1733">
        <v>3.5</v>
      </c>
      <c r="C1733">
        <v>5.33</v>
      </c>
      <c r="D1733">
        <v>2.15</v>
      </c>
      <c r="E1733">
        <v>57.7</v>
      </c>
      <c r="F1733">
        <v>4</v>
      </c>
      <c r="G1733">
        <v>0</v>
      </c>
      <c r="H1733">
        <v>21</v>
      </c>
      <c r="I1733">
        <v>1</v>
      </c>
      <c r="J1733">
        <v>2018</v>
      </c>
      <c r="K1733">
        <v>9</v>
      </c>
      <c r="L1733" t="s">
        <v>13</v>
      </c>
      <c r="M1733">
        <f>SUM(Pharma_Sales_Data[[#This Row],[M01AB]:[R06]])</f>
        <v>94.68</v>
      </c>
      <c r="N1733" s="2">
        <f>Pharma_Sales_Data[[#This Row],[Total Drug Sales]]*150</f>
        <v>14202.000000000002</v>
      </c>
      <c r="O1733" s="2">
        <f>Pharma_Sales_Data[[#This Row],[Total Revenue]]*0.3</f>
        <v>4260.6000000000004</v>
      </c>
      <c r="P1733" t="str">
        <f>IF(Pharma_Sales_Data[[#This Row],[Total Revenue]]&gt;20000,"High Value", IF(Pharma_Sales_Data[[#This Row],[Total Revenue]]&gt;=10000,"Medium Value","Low Value"))</f>
        <v>Medium Value</v>
      </c>
    </row>
    <row r="1734" spans="1:16" x14ac:dyDescent="0.35">
      <c r="A1734" s="1">
        <v>43373</v>
      </c>
      <c r="B1734">
        <v>11.01</v>
      </c>
      <c r="C1734">
        <v>2.0099999999999998</v>
      </c>
      <c r="D1734">
        <v>2</v>
      </c>
      <c r="E1734">
        <v>54</v>
      </c>
      <c r="F1734">
        <v>9</v>
      </c>
      <c r="G1734">
        <v>1</v>
      </c>
      <c r="H1734">
        <v>3</v>
      </c>
      <c r="I1734">
        <v>3</v>
      </c>
      <c r="J1734">
        <v>2018</v>
      </c>
      <c r="K1734">
        <v>9</v>
      </c>
      <c r="L1734" t="s">
        <v>14</v>
      </c>
      <c r="M1734">
        <f>SUM(Pharma_Sales_Data[[#This Row],[M01AB]:[R06]])</f>
        <v>85.02</v>
      </c>
      <c r="N1734" s="2">
        <f>Pharma_Sales_Data[[#This Row],[Total Drug Sales]]*150</f>
        <v>12753</v>
      </c>
      <c r="O1734" s="2">
        <f>Pharma_Sales_Data[[#This Row],[Total Revenue]]*0.3</f>
        <v>3825.8999999999996</v>
      </c>
      <c r="P1734" t="str">
        <f>IF(Pharma_Sales_Data[[#This Row],[Total Revenue]]&gt;20000,"High Value", IF(Pharma_Sales_Data[[#This Row],[Total Revenue]]&gt;=10000,"Medium Value","Low Value"))</f>
        <v>Medium Value</v>
      </c>
    </row>
    <row r="1735" spans="1:16" x14ac:dyDescent="0.35">
      <c r="A1735" s="1">
        <v>43374</v>
      </c>
      <c r="B1735">
        <v>3</v>
      </c>
      <c r="C1735">
        <v>4.9320000000000004</v>
      </c>
      <c r="D1735">
        <v>1</v>
      </c>
      <c r="E1735">
        <v>53</v>
      </c>
      <c r="F1735">
        <v>10</v>
      </c>
      <c r="G1735">
        <v>0</v>
      </c>
      <c r="H1735">
        <v>21</v>
      </c>
      <c r="I1735">
        <v>3</v>
      </c>
      <c r="J1735">
        <v>2018</v>
      </c>
      <c r="K1735">
        <v>10</v>
      </c>
      <c r="L1735" t="s">
        <v>15</v>
      </c>
      <c r="M1735">
        <f>SUM(Pharma_Sales_Data[[#This Row],[M01AB]:[R06]])</f>
        <v>95.932000000000002</v>
      </c>
      <c r="N1735" s="2">
        <f>Pharma_Sales_Data[[#This Row],[Total Drug Sales]]*150</f>
        <v>14389.800000000001</v>
      </c>
      <c r="O1735" s="2">
        <f>Pharma_Sales_Data[[#This Row],[Total Revenue]]*0.3</f>
        <v>4316.9400000000005</v>
      </c>
      <c r="P1735" t="str">
        <f>IF(Pharma_Sales_Data[[#This Row],[Total Revenue]]&gt;20000,"High Value", IF(Pharma_Sales_Data[[#This Row],[Total Revenue]]&gt;=10000,"Medium Value","Low Value"))</f>
        <v>Medium Value</v>
      </c>
    </row>
    <row r="1736" spans="1:16" x14ac:dyDescent="0.35">
      <c r="A1736" s="1">
        <v>43375</v>
      </c>
      <c r="B1736">
        <v>6</v>
      </c>
      <c r="C1736">
        <v>3.91</v>
      </c>
      <c r="D1736">
        <v>3.5</v>
      </c>
      <c r="E1736">
        <v>18.600000000000001</v>
      </c>
      <c r="F1736">
        <v>7</v>
      </c>
      <c r="G1736">
        <v>0</v>
      </c>
      <c r="H1736">
        <v>6</v>
      </c>
      <c r="I1736">
        <v>0</v>
      </c>
      <c r="J1736">
        <v>2018</v>
      </c>
      <c r="K1736">
        <v>10</v>
      </c>
      <c r="L1736" t="s">
        <v>16</v>
      </c>
      <c r="M1736">
        <f>SUM(Pharma_Sales_Data[[#This Row],[M01AB]:[R06]])</f>
        <v>45.010000000000005</v>
      </c>
      <c r="N1736" s="2">
        <f>Pharma_Sales_Data[[#This Row],[Total Drug Sales]]*150</f>
        <v>6751.5000000000009</v>
      </c>
      <c r="O1736" s="2">
        <f>Pharma_Sales_Data[[#This Row],[Total Revenue]]*0.3</f>
        <v>2025.4500000000003</v>
      </c>
      <c r="P1736" t="str">
        <f>IF(Pharma_Sales_Data[[#This Row],[Total Revenue]]&gt;20000,"High Value", IF(Pharma_Sales_Data[[#This Row],[Total Revenue]]&gt;=10000,"Medium Value","Low Value"))</f>
        <v>Low Value</v>
      </c>
    </row>
    <row r="1737" spans="1:16" x14ac:dyDescent="0.35">
      <c r="A1737" s="1">
        <v>43376</v>
      </c>
      <c r="B1737">
        <v>6</v>
      </c>
      <c r="C1737">
        <v>3.33</v>
      </c>
      <c r="D1737">
        <v>3</v>
      </c>
      <c r="E1737">
        <v>34.9</v>
      </c>
      <c r="F1737">
        <v>12</v>
      </c>
      <c r="G1737">
        <v>2</v>
      </c>
      <c r="H1737">
        <v>5</v>
      </c>
      <c r="I1737">
        <v>4</v>
      </c>
      <c r="J1737">
        <v>2018</v>
      </c>
      <c r="K1737">
        <v>10</v>
      </c>
      <c r="L1737" t="s">
        <v>17</v>
      </c>
      <c r="M1737">
        <f>SUM(Pharma_Sales_Data[[#This Row],[M01AB]:[R06]])</f>
        <v>70.22999999999999</v>
      </c>
      <c r="N1737" s="2">
        <f>Pharma_Sales_Data[[#This Row],[Total Drug Sales]]*150</f>
        <v>10534.499999999998</v>
      </c>
      <c r="O1737" s="2">
        <f>Pharma_Sales_Data[[#This Row],[Total Revenue]]*0.3</f>
        <v>3160.3499999999995</v>
      </c>
      <c r="P1737" t="str">
        <f>IF(Pharma_Sales_Data[[#This Row],[Total Revenue]]&gt;20000,"High Value", IF(Pharma_Sales_Data[[#This Row],[Total Revenue]]&gt;=10000,"Medium Value","Low Value"))</f>
        <v>Medium Value</v>
      </c>
    </row>
    <row r="1738" spans="1:16" x14ac:dyDescent="0.35">
      <c r="A1738" s="1">
        <v>43377</v>
      </c>
      <c r="B1738">
        <v>6</v>
      </c>
      <c r="C1738">
        <v>3.36</v>
      </c>
      <c r="D1738">
        <v>2</v>
      </c>
      <c r="E1738">
        <v>32</v>
      </c>
      <c r="F1738">
        <v>12</v>
      </c>
      <c r="G1738">
        <v>1</v>
      </c>
      <c r="H1738">
        <v>5</v>
      </c>
      <c r="I1738">
        <v>0</v>
      </c>
      <c r="J1738">
        <v>2018</v>
      </c>
      <c r="K1738">
        <v>10</v>
      </c>
      <c r="L1738" t="s">
        <v>11</v>
      </c>
      <c r="M1738">
        <f>SUM(Pharma_Sales_Data[[#This Row],[M01AB]:[R06]])</f>
        <v>61.36</v>
      </c>
      <c r="N1738" s="2">
        <f>Pharma_Sales_Data[[#This Row],[Total Drug Sales]]*150</f>
        <v>9204</v>
      </c>
      <c r="O1738" s="2">
        <f>Pharma_Sales_Data[[#This Row],[Total Revenue]]*0.3</f>
        <v>2761.2</v>
      </c>
      <c r="P1738" t="str">
        <f>IF(Pharma_Sales_Data[[#This Row],[Total Revenue]]&gt;20000,"High Value", IF(Pharma_Sales_Data[[#This Row],[Total Revenue]]&gt;=10000,"Medium Value","Low Value"))</f>
        <v>Low Value</v>
      </c>
    </row>
    <row r="1739" spans="1:16" x14ac:dyDescent="0.35">
      <c r="A1739" s="1">
        <v>43378</v>
      </c>
      <c r="B1739">
        <v>4.84</v>
      </c>
      <c r="C1739">
        <v>3.3969999999999998</v>
      </c>
      <c r="D1739">
        <v>1.1000000000000001</v>
      </c>
      <c r="E1739">
        <v>22.8</v>
      </c>
      <c r="F1739">
        <v>7</v>
      </c>
      <c r="G1739">
        <v>0</v>
      </c>
      <c r="H1739">
        <v>14</v>
      </c>
      <c r="I1739">
        <v>1</v>
      </c>
      <c r="J1739">
        <v>2018</v>
      </c>
      <c r="K1739">
        <v>10</v>
      </c>
      <c r="L1739" t="s">
        <v>12</v>
      </c>
      <c r="M1739">
        <f>SUM(Pharma_Sales_Data[[#This Row],[M01AB]:[R06]])</f>
        <v>54.137</v>
      </c>
      <c r="N1739" s="2">
        <f>Pharma_Sales_Data[[#This Row],[Total Drug Sales]]*150</f>
        <v>8120.55</v>
      </c>
      <c r="O1739" s="2">
        <f>Pharma_Sales_Data[[#This Row],[Total Revenue]]*0.3</f>
        <v>2436.165</v>
      </c>
      <c r="P1739" t="str">
        <f>IF(Pharma_Sales_Data[[#This Row],[Total Revenue]]&gt;20000,"High Value", IF(Pharma_Sales_Data[[#This Row],[Total Revenue]]&gt;=10000,"Medium Value","Low Value"))</f>
        <v>Low Value</v>
      </c>
    </row>
    <row r="1740" spans="1:16" x14ac:dyDescent="0.35">
      <c r="A1740" s="1">
        <v>43379</v>
      </c>
      <c r="B1740">
        <v>2</v>
      </c>
      <c r="C1740">
        <v>5.36</v>
      </c>
      <c r="D1740">
        <v>3.2</v>
      </c>
      <c r="E1740">
        <v>59.25</v>
      </c>
      <c r="F1740">
        <v>4</v>
      </c>
      <c r="G1740">
        <v>0</v>
      </c>
      <c r="H1740">
        <v>3</v>
      </c>
      <c r="I1740">
        <v>0.1</v>
      </c>
      <c r="J1740">
        <v>2018</v>
      </c>
      <c r="K1740">
        <v>10</v>
      </c>
      <c r="L1740" t="s">
        <v>13</v>
      </c>
      <c r="M1740">
        <f>SUM(Pharma_Sales_Data[[#This Row],[M01AB]:[R06]])</f>
        <v>76.91</v>
      </c>
      <c r="N1740" s="2">
        <f>Pharma_Sales_Data[[#This Row],[Total Drug Sales]]*150</f>
        <v>11536.5</v>
      </c>
      <c r="O1740" s="2">
        <f>Pharma_Sales_Data[[#This Row],[Total Revenue]]*0.3</f>
        <v>3460.95</v>
      </c>
      <c r="P1740" t="str">
        <f>IF(Pharma_Sales_Data[[#This Row],[Total Revenue]]&gt;20000,"High Value", IF(Pharma_Sales_Data[[#This Row],[Total Revenue]]&gt;=10000,"Medium Value","Low Value"))</f>
        <v>Medium Value</v>
      </c>
    </row>
    <row r="1741" spans="1:16" x14ac:dyDescent="0.35">
      <c r="A1741" s="1">
        <v>43380</v>
      </c>
      <c r="B1741">
        <v>2.68</v>
      </c>
      <c r="C1741">
        <v>7.35</v>
      </c>
      <c r="D1741">
        <v>2</v>
      </c>
      <c r="E1741">
        <v>42.4</v>
      </c>
      <c r="F1741">
        <v>8</v>
      </c>
      <c r="G1741">
        <v>0</v>
      </c>
      <c r="H1741">
        <v>9</v>
      </c>
      <c r="I1741">
        <v>1</v>
      </c>
      <c r="J1741">
        <v>2018</v>
      </c>
      <c r="K1741">
        <v>10</v>
      </c>
      <c r="L1741" t="s">
        <v>14</v>
      </c>
      <c r="M1741">
        <f>SUM(Pharma_Sales_Data[[#This Row],[M01AB]:[R06]])</f>
        <v>72.430000000000007</v>
      </c>
      <c r="N1741" s="2">
        <f>Pharma_Sales_Data[[#This Row],[Total Drug Sales]]*150</f>
        <v>10864.500000000002</v>
      </c>
      <c r="O1741" s="2">
        <f>Pharma_Sales_Data[[#This Row],[Total Revenue]]*0.3</f>
        <v>3259.3500000000004</v>
      </c>
      <c r="P1741" t="str">
        <f>IF(Pharma_Sales_Data[[#This Row],[Total Revenue]]&gt;20000,"High Value", IF(Pharma_Sales_Data[[#This Row],[Total Revenue]]&gt;=10000,"Medium Value","Low Value"))</f>
        <v>Medium Value</v>
      </c>
    </row>
    <row r="1742" spans="1:16" x14ac:dyDescent="0.35">
      <c r="A1742" s="1">
        <v>43381</v>
      </c>
      <c r="B1742">
        <v>4</v>
      </c>
      <c r="C1742">
        <v>1.68</v>
      </c>
      <c r="D1742">
        <v>3</v>
      </c>
      <c r="E1742">
        <v>30</v>
      </c>
      <c r="F1742">
        <v>18</v>
      </c>
      <c r="G1742">
        <v>5</v>
      </c>
      <c r="H1742">
        <v>0</v>
      </c>
      <c r="I1742">
        <v>3</v>
      </c>
      <c r="J1742">
        <v>2018</v>
      </c>
      <c r="K1742">
        <v>10</v>
      </c>
      <c r="L1742" t="s">
        <v>15</v>
      </c>
      <c r="M1742">
        <f>SUM(Pharma_Sales_Data[[#This Row],[M01AB]:[R06]])</f>
        <v>64.680000000000007</v>
      </c>
      <c r="N1742" s="2">
        <f>Pharma_Sales_Data[[#This Row],[Total Drug Sales]]*150</f>
        <v>9702.0000000000018</v>
      </c>
      <c r="O1742" s="2">
        <f>Pharma_Sales_Data[[#This Row],[Total Revenue]]*0.3</f>
        <v>2910.6000000000004</v>
      </c>
      <c r="P1742" t="str">
        <f>IF(Pharma_Sales_Data[[#This Row],[Total Revenue]]&gt;20000,"High Value", IF(Pharma_Sales_Data[[#This Row],[Total Revenue]]&gt;=10000,"Medium Value","Low Value"))</f>
        <v>Low Value</v>
      </c>
    </row>
    <row r="1743" spans="1:16" x14ac:dyDescent="0.35">
      <c r="A1743" s="1">
        <v>43382</v>
      </c>
      <c r="B1743">
        <v>2</v>
      </c>
      <c r="C1743">
        <v>1.67</v>
      </c>
      <c r="D1743">
        <v>1</v>
      </c>
      <c r="E1743">
        <v>30</v>
      </c>
      <c r="F1743">
        <v>18</v>
      </c>
      <c r="G1743">
        <v>0</v>
      </c>
      <c r="H1743">
        <v>29</v>
      </c>
      <c r="I1743">
        <v>1</v>
      </c>
      <c r="J1743">
        <v>2018</v>
      </c>
      <c r="K1743">
        <v>10</v>
      </c>
      <c r="L1743" t="s">
        <v>16</v>
      </c>
      <c r="M1743">
        <f>SUM(Pharma_Sales_Data[[#This Row],[M01AB]:[R06]])</f>
        <v>82.67</v>
      </c>
      <c r="N1743" s="2">
        <f>Pharma_Sales_Data[[#This Row],[Total Drug Sales]]*150</f>
        <v>12400.5</v>
      </c>
      <c r="O1743" s="2">
        <f>Pharma_Sales_Data[[#This Row],[Total Revenue]]*0.3</f>
        <v>3720.1499999999996</v>
      </c>
      <c r="P1743" t="str">
        <f>IF(Pharma_Sales_Data[[#This Row],[Total Revenue]]&gt;20000,"High Value", IF(Pharma_Sales_Data[[#This Row],[Total Revenue]]&gt;=10000,"Medium Value","Low Value"))</f>
        <v>Medium Value</v>
      </c>
    </row>
    <row r="1744" spans="1:16" x14ac:dyDescent="0.35">
      <c r="A1744" s="1">
        <v>43383</v>
      </c>
      <c r="B1744">
        <v>9</v>
      </c>
      <c r="C1744">
        <v>8.01</v>
      </c>
      <c r="D1744">
        <v>4.0999999999999996</v>
      </c>
      <c r="E1744">
        <v>41.2</v>
      </c>
      <c r="F1744">
        <v>13</v>
      </c>
      <c r="G1744">
        <v>0</v>
      </c>
      <c r="H1744">
        <v>20</v>
      </c>
      <c r="I1744">
        <v>2</v>
      </c>
      <c r="J1744">
        <v>2018</v>
      </c>
      <c r="K1744">
        <v>10</v>
      </c>
      <c r="L1744" t="s">
        <v>17</v>
      </c>
      <c r="M1744">
        <f>SUM(Pharma_Sales_Data[[#This Row],[M01AB]:[R06]])</f>
        <v>97.31</v>
      </c>
      <c r="N1744" s="2">
        <f>Pharma_Sales_Data[[#This Row],[Total Drug Sales]]*150</f>
        <v>14596.5</v>
      </c>
      <c r="O1744" s="2">
        <f>Pharma_Sales_Data[[#This Row],[Total Revenue]]*0.3</f>
        <v>4378.95</v>
      </c>
      <c r="P1744" t="str">
        <f>IF(Pharma_Sales_Data[[#This Row],[Total Revenue]]&gt;20000,"High Value", IF(Pharma_Sales_Data[[#This Row],[Total Revenue]]&gt;=10000,"Medium Value","Low Value"))</f>
        <v>Medium Value</v>
      </c>
    </row>
    <row r="1745" spans="1:16" x14ac:dyDescent="0.35">
      <c r="A1745" s="1">
        <v>43384</v>
      </c>
      <c r="B1745">
        <v>2</v>
      </c>
      <c r="C1745">
        <v>2.33</v>
      </c>
      <c r="D1745">
        <v>2.1</v>
      </c>
      <c r="E1745">
        <v>31</v>
      </c>
      <c r="F1745">
        <v>15</v>
      </c>
      <c r="G1745">
        <v>0</v>
      </c>
      <c r="H1745">
        <v>0</v>
      </c>
      <c r="I1745">
        <v>1</v>
      </c>
      <c r="J1745">
        <v>2018</v>
      </c>
      <c r="K1745">
        <v>10</v>
      </c>
      <c r="L1745" t="s">
        <v>11</v>
      </c>
      <c r="M1745">
        <f>SUM(Pharma_Sales_Data[[#This Row],[M01AB]:[R06]])</f>
        <v>53.43</v>
      </c>
      <c r="N1745" s="2">
        <f>Pharma_Sales_Data[[#This Row],[Total Drug Sales]]*150</f>
        <v>8014.5</v>
      </c>
      <c r="O1745" s="2">
        <f>Pharma_Sales_Data[[#This Row],[Total Revenue]]*0.3</f>
        <v>2404.35</v>
      </c>
      <c r="P1745" t="str">
        <f>IF(Pharma_Sales_Data[[#This Row],[Total Revenue]]&gt;20000,"High Value", IF(Pharma_Sales_Data[[#This Row],[Total Revenue]]&gt;=10000,"Medium Value","Low Value"))</f>
        <v>Low Value</v>
      </c>
    </row>
    <row r="1746" spans="1:16" x14ac:dyDescent="0.35">
      <c r="A1746" s="1">
        <v>43385</v>
      </c>
      <c r="B1746">
        <v>6.33</v>
      </c>
      <c r="C1746">
        <v>4.3630000000000004</v>
      </c>
      <c r="D1746">
        <v>1</v>
      </c>
      <c r="E1746">
        <v>26</v>
      </c>
      <c r="F1746">
        <v>6</v>
      </c>
      <c r="G1746">
        <v>0</v>
      </c>
      <c r="H1746">
        <v>1</v>
      </c>
      <c r="I1746">
        <v>6</v>
      </c>
      <c r="J1746">
        <v>2018</v>
      </c>
      <c r="K1746">
        <v>10</v>
      </c>
      <c r="L1746" t="s">
        <v>12</v>
      </c>
      <c r="M1746">
        <f>SUM(Pharma_Sales_Data[[#This Row],[M01AB]:[R06]])</f>
        <v>50.692999999999998</v>
      </c>
      <c r="N1746" s="2">
        <f>Pharma_Sales_Data[[#This Row],[Total Drug Sales]]*150</f>
        <v>7603.95</v>
      </c>
      <c r="O1746" s="2">
        <f>Pharma_Sales_Data[[#This Row],[Total Revenue]]*0.3</f>
        <v>2281.1849999999999</v>
      </c>
      <c r="P1746" t="str">
        <f>IF(Pharma_Sales_Data[[#This Row],[Total Revenue]]&gt;20000,"High Value", IF(Pharma_Sales_Data[[#This Row],[Total Revenue]]&gt;=10000,"Medium Value","Low Value"))</f>
        <v>Low Value</v>
      </c>
    </row>
    <row r="1747" spans="1:16" x14ac:dyDescent="0.35">
      <c r="A1747" s="1">
        <v>43386</v>
      </c>
      <c r="B1747">
        <v>6.99</v>
      </c>
      <c r="C1747">
        <v>4.5069999999999997</v>
      </c>
      <c r="D1747">
        <v>3.25</v>
      </c>
      <c r="E1747">
        <v>29.6</v>
      </c>
      <c r="F1747">
        <v>8</v>
      </c>
      <c r="G1747">
        <v>0</v>
      </c>
      <c r="H1747">
        <v>6</v>
      </c>
      <c r="I1747">
        <v>3</v>
      </c>
      <c r="J1747">
        <v>2018</v>
      </c>
      <c r="K1747">
        <v>10</v>
      </c>
      <c r="L1747" t="s">
        <v>13</v>
      </c>
      <c r="M1747">
        <f>SUM(Pharma_Sales_Data[[#This Row],[M01AB]:[R06]])</f>
        <v>61.347000000000001</v>
      </c>
      <c r="N1747" s="2">
        <f>Pharma_Sales_Data[[#This Row],[Total Drug Sales]]*150</f>
        <v>9202.0500000000011</v>
      </c>
      <c r="O1747" s="2">
        <f>Pharma_Sales_Data[[#This Row],[Total Revenue]]*0.3</f>
        <v>2760.6150000000002</v>
      </c>
      <c r="P1747" t="str">
        <f>IF(Pharma_Sales_Data[[#This Row],[Total Revenue]]&gt;20000,"High Value", IF(Pharma_Sales_Data[[#This Row],[Total Revenue]]&gt;=10000,"Medium Value","Low Value"))</f>
        <v>Low Value</v>
      </c>
    </row>
    <row r="1748" spans="1:16" x14ac:dyDescent="0.35">
      <c r="A1748" s="1">
        <v>43387</v>
      </c>
      <c r="B1748">
        <v>2.34</v>
      </c>
      <c r="C1748">
        <v>6.01</v>
      </c>
      <c r="D1748">
        <v>6.2</v>
      </c>
      <c r="E1748">
        <v>51.7</v>
      </c>
      <c r="F1748">
        <v>9</v>
      </c>
      <c r="G1748">
        <v>2</v>
      </c>
      <c r="H1748">
        <v>0</v>
      </c>
      <c r="I1748">
        <v>6</v>
      </c>
      <c r="J1748">
        <v>2018</v>
      </c>
      <c r="K1748">
        <v>10</v>
      </c>
      <c r="L1748" t="s">
        <v>14</v>
      </c>
      <c r="M1748">
        <f>SUM(Pharma_Sales_Data[[#This Row],[M01AB]:[R06]])</f>
        <v>83.25</v>
      </c>
      <c r="N1748" s="2">
        <f>Pharma_Sales_Data[[#This Row],[Total Drug Sales]]*150</f>
        <v>12487.5</v>
      </c>
      <c r="O1748" s="2">
        <f>Pharma_Sales_Data[[#This Row],[Total Revenue]]*0.3</f>
        <v>3746.25</v>
      </c>
      <c r="P1748" t="str">
        <f>IF(Pharma_Sales_Data[[#This Row],[Total Revenue]]&gt;20000,"High Value", IF(Pharma_Sales_Data[[#This Row],[Total Revenue]]&gt;=10000,"Medium Value","Low Value"))</f>
        <v>Medium Value</v>
      </c>
    </row>
    <row r="1749" spans="1:16" x14ac:dyDescent="0.35">
      <c r="A1749" s="1">
        <v>43388</v>
      </c>
      <c r="B1749">
        <v>7.17</v>
      </c>
      <c r="C1749">
        <v>6.6000000000000003E-2</v>
      </c>
      <c r="D1749">
        <v>3</v>
      </c>
      <c r="E1749">
        <v>47.6</v>
      </c>
      <c r="F1749">
        <v>12</v>
      </c>
      <c r="G1749">
        <v>0</v>
      </c>
      <c r="H1749">
        <v>5</v>
      </c>
      <c r="I1749">
        <v>6</v>
      </c>
      <c r="J1749">
        <v>2018</v>
      </c>
      <c r="K1749">
        <v>10</v>
      </c>
      <c r="L1749" t="s">
        <v>15</v>
      </c>
      <c r="M1749">
        <f>SUM(Pharma_Sales_Data[[#This Row],[M01AB]:[R06]])</f>
        <v>80.835999999999999</v>
      </c>
      <c r="N1749" s="2">
        <f>Pharma_Sales_Data[[#This Row],[Total Drug Sales]]*150</f>
        <v>12125.4</v>
      </c>
      <c r="O1749" s="2">
        <f>Pharma_Sales_Data[[#This Row],[Total Revenue]]*0.3</f>
        <v>3637.62</v>
      </c>
      <c r="P1749" t="str">
        <f>IF(Pharma_Sales_Data[[#This Row],[Total Revenue]]&gt;20000,"High Value", IF(Pharma_Sales_Data[[#This Row],[Total Revenue]]&gt;=10000,"Medium Value","Low Value"))</f>
        <v>Medium Value</v>
      </c>
    </row>
    <row r="1750" spans="1:16" x14ac:dyDescent="0.35">
      <c r="A1750" s="1">
        <v>43389</v>
      </c>
      <c r="B1750">
        <v>6</v>
      </c>
      <c r="C1750">
        <v>5.3220000000000001</v>
      </c>
      <c r="D1750">
        <v>2</v>
      </c>
      <c r="E1750">
        <v>27.3</v>
      </c>
      <c r="F1750">
        <v>5</v>
      </c>
      <c r="G1750">
        <v>3</v>
      </c>
      <c r="H1750">
        <v>6</v>
      </c>
      <c r="I1750">
        <v>0</v>
      </c>
      <c r="J1750">
        <v>2018</v>
      </c>
      <c r="K1750">
        <v>10</v>
      </c>
      <c r="L1750" t="s">
        <v>16</v>
      </c>
      <c r="M1750">
        <f>SUM(Pharma_Sales_Data[[#This Row],[M01AB]:[R06]])</f>
        <v>54.622</v>
      </c>
      <c r="N1750" s="2">
        <f>Pharma_Sales_Data[[#This Row],[Total Drug Sales]]*150</f>
        <v>8193.2999999999993</v>
      </c>
      <c r="O1750" s="2">
        <f>Pharma_Sales_Data[[#This Row],[Total Revenue]]*0.3</f>
        <v>2457.9899999999998</v>
      </c>
      <c r="P1750" t="str">
        <f>IF(Pharma_Sales_Data[[#This Row],[Total Revenue]]&gt;20000,"High Value", IF(Pharma_Sales_Data[[#This Row],[Total Revenue]]&gt;=10000,"Medium Value","Low Value"))</f>
        <v>Low Value</v>
      </c>
    </row>
    <row r="1751" spans="1:16" x14ac:dyDescent="0.35">
      <c r="A1751" s="1">
        <v>43390</v>
      </c>
      <c r="B1751">
        <v>2.33</v>
      </c>
      <c r="C1751">
        <v>6</v>
      </c>
      <c r="D1751">
        <v>4</v>
      </c>
      <c r="E1751">
        <v>52.2</v>
      </c>
      <c r="F1751">
        <v>5</v>
      </c>
      <c r="G1751">
        <v>0</v>
      </c>
      <c r="H1751">
        <v>1</v>
      </c>
      <c r="I1751">
        <v>4</v>
      </c>
      <c r="J1751">
        <v>2018</v>
      </c>
      <c r="K1751">
        <v>10</v>
      </c>
      <c r="L1751" t="s">
        <v>17</v>
      </c>
      <c r="M1751">
        <f>SUM(Pharma_Sales_Data[[#This Row],[M01AB]:[R06]])</f>
        <v>74.53</v>
      </c>
      <c r="N1751" s="2">
        <f>Pharma_Sales_Data[[#This Row],[Total Drug Sales]]*150</f>
        <v>11179.5</v>
      </c>
      <c r="O1751" s="2">
        <f>Pharma_Sales_Data[[#This Row],[Total Revenue]]*0.3</f>
        <v>3353.85</v>
      </c>
      <c r="P1751" t="str">
        <f>IF(Pharma_Sales_Data[[#This Row],[Total Revenue]]&gt;20000,"High Value", IF(Pharma_Sales_Data[[#This Row],[Total Revenue]]&gt;=10000,"Medium Value","Low Value"))</f>
        <v>Medium Value</v>
      </c>
    </row>
    <row r="1752" spans="1:16" x14ac:dyDescent="0.35">
      <c r="A1752" s="1">
        <v>43391</v>
      </c>
      <c r="B1752">
        <v>4.34</v>
      </c>
      <c r="C1752">
        <v>3</v>
      </c>
      <c r="D1752">
        <v>1.1000000000000001</v>
      </c>
      <c r="E1752">
        <v>14</v>
      </c>
      <c r="F1752">
        <v>9</v>
      </c>
      <c r="G1752">
        <v>1</v>
      </c>
      <c r="H1752">
        <v>10</v>
      </c>
      <c r="I1752">
        <v>5</v>
      </c>
      <c r="J1752">
        <v>2018</v>
      </c>
      <c r="K1752">
        <v>10</v>
      </c>
      <c r="L1752" t="s">
        <v>11</v>
      </c>
      <c r="M1752">
        <f>SUM(Pharma_Sales_Data[[#This Row],[M01AB]:[R06]])</f>
        <v>47.44</v>
      </c>
      <c r="N1752" s="2">
        <f>Pharma_Sales_Data[[#This Row],[Total Drug Sales]]*150</f>
        <v>7116</v>
      </c>
      <c r="O1752" s="2">
        <f>Pharma_Sales_Data[[#This Row],[Total Revenue]]*0.3</f>
        <v>2134.7999999999997</v>
      </c>
      <c r="P1752" t="str">
        <f>IF(Pharma_Sales_Data[[#This Row],[Total Revenue]]&gt;20000,"High Value", IF(Pharma_Sales_Data[[#This Row],[Total Revenue]]&gt;=10000,"Medium Value","Low Value"))</f>
        <v>Low Value</v>
      </c>
    </row>
    <row r="1753" spans="1:16" x14ac:dyDescent="0.35">
      <c r="A1753" s="1">
        <v>43392</v>
      </c>
      <c r="B1753">
        <v>4</v>
      </c>
      <c r="C1753">
        <v>2.0659999999999998</v>
      </c>
      <c r="D1753">
        <v>0</v>
      </c>
      <c r="E1753">
        <v>10.6</v>
      </c>
      <c r="F1753">
        <v>5</v>
      </c>
      <c r="G1753">
        <v>2</v>
      </c>
      <c r="H1753">
        <v>6</v>
      </c>
      <c r="I1753">
        <v>4</v>
      </c>
      <c r="J1753">
        <v>2018</v>
      </c>
      <c r="K1753">
        <v>10</v>
      </c>
      <c r="L1753" t="s">
        <v>12</v>
      </c>
      <c r="M1753">
        <f>SUM(Pharma_Sales_Data[[#This Row],[M01AB]:[R06]])</f>
        <v>33.665999999999997</v>
      </c>
      <c r="N1753" s="2">
        <f>Pharma_Sales_Data[[#This Row],[Total Drug Sales]]*150</f>
        <v>5049.8999999999996</v>
      </c>
      <c r="O1753" s="2">
        <f>Pharma_Sales_Data[[#This Row],[Total Revenue]]*0.3</f>
        <v>1514.9699999999998</v>
      </c>
      <c r="P1753" t="str">
        <f>IF(Pharma_Sales_Data[[#This Row],[Total Revenue]]&gt;20000,"High Value", IF(Pharma_Sales_Data[[#This Row],[Total Revenue]]&gt;=10000,"Medium Value","Low Value"))</f>
        <v>Low Value</v>
      </c>
    </row>
    <row r="1754" spans="1:16" x14ac:dyDescent="0.35">
      <c r="A1754" s="1">
        <v>43393</v>
      </c>
      <c r="B1754">
        <v>2.34</v>
      </c>
      <c r="C1754">
        <v>2.02</v>
      </c>
      <c r="D1754">
        <v>2</v>
      </c>
      <c r="E1754">
        <v>33</v>
      </c>
      <c r="F1754">
        <v>9</v>
      </c>
      <c r="G1754">
        <v>0</v>
      </c>
      <c r="H1754">
        <v>34</v>
      </c>
      <c r="I1754">
        <v>5</v>
      </c>
      <c r="J1754">
        <v>2018</v>
      </c>
      <c r="K1754">
        <v>10</v>
      </c>
      <c r="L1754" t="s">
        <v>13</v>
      </c>
      <c r="M1754">
        <f>SUM(Pharma_Sales_Data[[#This Row],[M01AB]:[R06]])</f>
        <v>87.36</v>
      </c>
      <c r="N1754" s="2">
        <f>Pharma_Sales_Data[[#This Row],[Total Drug Sales]]*150</f>
        <v>13104</v>
      </c>
      <c r="O1754" s="2">
        <f>Pharma_Sales_Data[[#This Row],[Total Revenue]]*0.3</f>
        <v>3931.2</v>
      </c>
      <c r="P1754" t="str">
        <f>IF(Pharma_Sales_Data[[#This Row],[Total Revenue]]&gt;20000,"High Value", IF(Pharma_Sales_Data[[#This Row],[Total Revenue]]&gt;=10000,"Medium Value","Low Value"))</f>
        <v>Medium Value</v>
      </c>
    </row>
    <row r="1755" spans="1:16" x14ac:dyDescent="0.35">
      <c r="A1755" s="1">
        <v>43394</v>
      </c>
      <c r="B1755">
        <v>6.67</v>
      </c>
      <c r="C1755">
        <v>8.69</v>
      </c>
      <c r="D1755">
        <v>1</v>
      </c>
      <c r="E1755">
        <v>56.3</v>
      </c>
      <c r="F1755">
        <v>5</v>
      </c>
      <c r="G1755">
        <v>3</v>
      </c>
      <c r="H1755">
        <v>5</v>
      </c>
      <c r="I1755">
        <v>1</v>
      </c>
      <c r="J1755">
        <v>2018</v>
      </c>
      <c r="K1755">
        <v>10</v>
      </c>
      <c r="L1755" t="s">
        <v>14</v>
      </c>
      <c r="M1755">
        <f>SUM(Pharma_Sales_Data[[#This Row],[M01AB]:[R06]])</f>
        <v>86.66</v>
      </c>
      <c r="N1755" s="2">
        <f>Pharma_Sales_Data[[#This Row],[Total Drug Sales]]*150</f>
        <v>12999</v>
      </c>
      <c r="O1755" s="2">
        <f>Pharma_Sales_Data[[#This Row],[Total Revenue]]*0.3</f>
        <v>3899.7</v>
      </c>
      <c r="P1755" t="str">
        <f>IF(Pharma_Sales_Data[[#This Row],[Total Revenue]]&gt;20000,"High Value", IF(Pharma_Sales_Data[[#This Row],[Total Revenue]]&gt;=10000,"Medium Value","Low Value"))</f>
        <v>Medium Value</v>
      </c>
    </row>
    <row r="1756" spans="1:16" x14ac:dyDescent="0.35">
      <c r="A1756" s="1">
        <v>43395</v>
      </c>
      <c r="B1756">
        <v>2.66</v>
      </c>
      <c r="C1756">
        <v>7.01</v>
      </c>
      <c r="D1756">
        <v>3.3</v>
      </c>
      <c r="E1756">
        <v>18.8</v>
      </c>
      <c r="F1756">
        <v>8</v>
      </c>
      <c r="G1756">
        <v>0</v>
      </c>
      <c r="H1756">
        <v>28</v>
      </c>
      <c r="I1756">
        <v>1.3</v>
      </c>
      <c r="J1756">
        <v>2018</v>
      </c>
      <c r="K1756">
        <v>10</v>
      </c>
      <c r="L1756" t="s">
        <v>15</v>
      </c>
      <c r="M1756">
        <f>SUM(Pharma_Sales_Data[[#This Row],[M01AB]:[R06]])</f>
        <v>69.069999999999993</v>
      </c>
      <c r="N1756" s="2">
        <f>Pharma_Sales_Data[[#This Row],[Total Drug Sales]]*150</f>
        <v>10360.499999999998</v>
      </c>
      <c r="O1756" s="2">
        <f>Pharma_Sales_Data[[#This Row],[Total Revenue]]*0.3</f>
        <v>3108.1499999999992</v>
      </c>
      <c r="P1756" t="str">
        <f>IF(Pharma_Sales_Data[[#This Row],[Total Revenue]]&gt;20000,"High Value", IF(Pharma_Sales_Data[[#This Row],[Total Revenue]]&gt;=10000,"Medium Value","Low Value"))</f>
        <v>Medium Value</v>
      </c>
    </row>
    <row r="1757" spans="1:16" x14ac:dyDescent="0.35">
      <c r="A1757" s="1">
        <v>43396</v>
      </c>
      <c r="B1757">
        <v>2.34</v>
      </c>
      <c r="C1757">
        <v>2</v>
      </c>
      <c r="D1757">
        <v>0.45</v>
      </c>
      <c r="E1757">
        <v>44.8</v>
      </c>
      <c r="F1757">
        <v>9</v>
      </c>
      <c r="G1757">
        <v>1</v>
      </c>
      <c r="H1757">
        <v>11</v>
      </c>
      <c r="I1757">
        <v>3</v>
      </c>
      <c r="J1757">
        <v>2018</v>
      </c>
      <c r="K1757">
        <v>10</v>
      </c>
      <c r="L1757" t="s">
        <v>16</v>
      </c>
      <c r="M1757">
        <f>SUM(Pharma_Sales_Data[[#This Row],[M01AB]:[R06]])</f>
        <v>73.59</v>
      </c>
      <c r="N1757" s="2">
        <f>Pharma_Sales_Data[[#This Row],[Total Drug Sales]]*150</f>
        <v>11038.5</v>
      </c>
      <c r="O1757" s="2">
        <f>Pharma_Sales_Data[[#This Row],[Total Revenue]]*0.3</f>
        <v>3311.5499999999997</v>
      </c>
      <c r="P1757" t="str">
        <f>IF(Pharma_Sales_Data[[#This Row],[Total Revenue]]&gt;20000,"High Value", IF(Pharma_Sales_Data[[#This Row],[Total Revenue]]&gt;=10000,"Medium Value","Low Value"))</f>
        <v>Medium Value</v>
      </c>
    </row>
    <row r="1758" spans="1:16" x14ac:dyDescent="0.35">
      <c r="A1758" s="1">
        <v>43397</v>
      </c>
      <c r="B1758">
        <v>4</v>
      </c>
      <c r="C1758">
        <v>2.109</v>
      </c>
      <c r="D1758">
        <v>5</v>
      </c>
      <c r="E1758">
        <v>37.200000000000003</v>
      </c>
      <c r="F1758">
        <v>7</v>
      </c>
      <c r="G1758">
        <v>0</v>
      </c>
      <c r="H1758">
        <v>10</v>
      </c>
      <c r="I1758">
        <v>1.5</v>
      </c>
      <c r="J1758">
        <v>2018</v>
      </c>
      <c r="K1758">
        <v>10</v>
      </c>
      <c r="L1758" t="s">
        <v>17</v>
      </c>
      <c r="M1758">
        <f>SUM(Pharma_Sales_Data[[#This Row],[M01AB]:[R06]])</f>
        <v>66.808999999999997</v>
      </c>
      <c r="N1758" s="2">
        <f>Pharma_Sales_Data[[#This Row],[Total Drug Sales]]*150</f>
        <v>10021.35</v>
      </c>
      <c r="O1758" s="2">
        <f>Pharma_Sales_Data[[#This Row],[Total Revenue]]*0.3</f>
        <v>3006.4050000000002</v>
      </c>
      <c r="P1758" t="str">
        <f>IF(Pharma_Sales_Data[[#This Row],[Total Revenue]]&gt;20000,"High Value", IF(Pharma_Sales_Data[[#This Row],[Total Revenue]]&gt;=10000,"Medium Value","Low Value"))</f>
        <v>Medium Value</v>
      </c>
    </row>
    <row r="1759" spans="1:16" x14ac:dyDescent="0.35">
      <c r="A1759" s="1">
        <v>43398</v>
      </c>
      <c r="B1759">
        <v>5.33</v>
      </c>
      <c r="C1759">
        <v>5.4290000000000003</v>
      </c>
      <c r="D1759">
        <v>3</v>
      </c>
      <c r="E1759">
        <v>52.2</v>
      </c>
      <c r="F1759">
        <v>12</v>
      </c>
      <c r="G1759">
        <v>0</v>
      </c>
      <c r="H1759">
        <v>33</v>
      </c>
      <c r="I1759">
        <v>3</v>
      </c>
      <c r="J1759">
        <v>2018</v>
      </c>
      <c r="K1759">
        <v>10</v>
      </c>
      <c r="L1759" t="s">
        <v>11</v>
      </c>
      <c r="M1759">
        <f>SUM(Pharma_Sales_Data[[#This Row],[M01AB]:[R06]])</f>
        <v>113.959</v>
      </c>
      <c r="N1759" s="2">
        <f>Pharma_Sales_Data[[#This Row],[Total Drug Sales]]*150</f>
        <v>17093.850000000002</v>
      </c>
      <c r="O1759" s="2">
        <f>Pharma_Sales_Data[[#This Row],[Total Revenue]]*0.3</f>
        <v>5128.1550000000007</v>
      </c>
      <c r="P1759" t="str">
        <f>IF(Pharma_Sales_Data[[#This Row],[Total Revenue]]&gt;20000,"High Value", IF(Pharma_Sales_Data[[#This Row],[Total Revenue]]&gt;=10000,"Medium Value","Low Value"))</f>
        <v>Medium Value</v>
      </c>
    </row>
    <row r="1760" spans="1:16" x14ac:dyDescent="0.35">
      <c r="A1760" s="1">
        <v>43399</v>
      </c>
      <c r="B1760">
        <v>4</v>
      </c>
      <c r="C1760">
        <v>5.3730000000000002</v>
      </c>
      <c r="D1760">
        <v>4.5999999999999996</v>
      </c>
      <c r="E1760">
        <v>44</v>
      </c>
      <c r="F1760">
        <v>14</v>
      </c>
      <c r="G1760">
        <v>1</v>
      </c>
      <c r="H1760">
        <v>14</v>
      </c>
      <c r="I1760">
        <v>1</v>
      </c>
      <c r="J1760">
        <v>2018</v>
      </c>
      <c r="K1760">
        <v>10</v>
      </c>
      <c r="L1760" t="s">
        <v>12</v>
      </c>
      <c r="M1760">
        <f>SUM(Pharma_Sales_Data[[#This Row],[M01AB]:[R06]])</f>
        <v>87.972999999999999</v>
      </c>
      <c r="N1760" s="2">
        <f>Pharma_Sales_Data[[#This Row],[Total Drug Sales]]*150</f>
        <v>13195.95</v>
      </c>
      <c r="O1760" s="2">
        <f>Pharma_Sales_Data[[#This Row],[Total Revenue]]*0.3</f>
        <v>3958.7849999999999</v>
      </c>
      <c r="P1760" t="str">
        <f>IF(Pharma_Sales_Data[[#This Row],[Total Revenue]]&gt;20000,"High Value", IF(Pharma_Sales_Data[[#This Row],[Total Revenue]]&gt;=10000,"Medium Value","Low Value"))</f>
        <v>Medium Value</v>
      </c>
    </row>
    <row r="1761" spans="1:16" x14ac:dyDescent="0.35">
      <c r="A1761" s="1">
        <v>43400</v>
      </c>
      <c r="B1761">
        <v>8.34</v>
      </c>
      <c r="C1761">
        <v>3.4260000000000002</v>
      </c>
      <c r="D1761">
        <v>2.2000000000000002</v>
      </c>
      <c r="E1761">
        <v>49.975000000000001</v>
      </c>
      <c r="F1761">
        <v>12</v>
      </c>
      <c r="G1761">
        <v>1</v>
      </c>
      <c r="H1761">
        <v>7</v>
      </c>
      <c r="I1761">
        <v>2</v>
      </c>
      <c r="J1761">
        <v>2018</v>
      </c>
      <c r="K1761">
        <v>10</v>
      </c>
      <c r="L1761" t="s">
        <v>13</v>
      </c>
      <c r="M1761">
        <f>SUM(Pharma_Sales_Data[[#This Row],[M01AB]:[R06]])</f>
        <v>85.941000000000003</v>
      </c>
      <c r="N1761" s="2">
        <f>Pharma_Sales_Data[[#This Row],[Total Drug Sales]]*150</f>
        <v>12891.15</v>
      </c>
      <c r="O1761" s="2">
        <f>Pharma_Sales_Data[[#This Row],[Total Revenue]]*0.3</f>
        <v>3867.3449999999998</v>
      </c>
      <c r="P1761" t="str">
        <f>IF(Pharma_Sales_Data[[#This Row],[Total Revenue]]&gt;20000,"High Value", IF(Pharma_Sales_Data[[#This Row],[Total Revenue]]&gt;=10000,"Medium Value","Low Value"))</f>
        <v>Medium Value</v>
      </c>
    </row>
    <row r="1762" spans="1:16" x14ac:dyDescent="0.35">
      <c r="A1762" s="1">
        <v>43401</v>
      </c>
      <c r="B1762">
        <v>5.33</v>
      </c>
      <c r="C1762">
        <v>5.33</v>
      </c>
      <c r="D1762">
        <v>1.6</v>
      </c>
      <c r="E1762">
        <v>53.75</v>
      </c>
      <c r="F1762">
        <v>9</v>
      </c>
      <c r="G1762">
        <v>3</v>
      </c>
      <c r="H1762">
        <v>13</v>
      </c>
      <c r="I1762">
        <v>3</v>
      </c>
      <c r="J1762">
        <v>2018</v>
      </c>
      <c r="K1762">
        <v>10</v>
      </c>
      <c r="L1762" t="s">
        <v>14</v>
      </c>
      <c r="M1762">
        <f>SUM(Pharma_Sales_Data[[#This Row],[M01AB]:[R06]])</f>
        <v>94.01</v>
      </c>
      <c r="N1762" s="2">
        <f>Pharma_Sales_Data[[#This Row],[Total Drug Sales]]*150</f>
        <v>14101.5</v>
      </c>
      <c r="O1762" s="2">
        <f>Pharma_Sales_Data[[#This Row],[Total Revenue]]*0.3</f>
        <v>4230.45</v>
      </c>
      <c r="P1762" t="str">
        <f>IF(Pharma_Sales_Data[[#This Row],[Total Revenue]]&gt;20000,"High Value", IF(Pharma_Sales_Data[[#This Row],[Total Revenue]]&gt;=10000,"Medium Value","Low Value"))</f>
        <v>Medium Value</v>
      </c>
    </row>
    <row r="1763" spans="1:16" x14ac:dyDescent="0.35">
      <c r="A1763" s="1">
        <v>43402</v>
      </c>
      <c r="B1763">
        <v>5.35</v>
      </c>
      <c r="C1763">
        <v>2.67</v>
      </c>
      <c r="D1763">
        <v>2.35</v>
      </c>
      <c r="E1763">
        <v>32.799999999999997</v>
      </c>
      <c r="F1763">
        <v>5</v>
      </c>
      <c r="G1763">
        <v>0</v>
      </c>
      <c r="H1763">
        <v>10</v>
      </c>
      <c r="I1763">
        <v>3</v>
      </c>
      <c r="J1763">
        <v>2018</v>
      </c>
      <c r="K1763">
        <v>10</v>
      </c>
      <c r="L1763" t="s">
        <v>15</v>
      </c>
      <c r="M1763">
        <f>SUM(Pharma_Sales_Data[[#This Row],[M01AB]:[R06]])</f>
        <v>61.169999999999995</v>
      </c>
      <c r="N1763" s="2">
        <f>Pharma_Sales_Data[[#This Row],[Total Drug Sales]]*150</f>
        <v>9175.5</v>
      </c>
      <c r="O1763" s="2">
        <f>Pharma_Sales_Data[[#This Row],[Total Revenue]]*0.3</f>
        <v>2752.65</v>
      </c>
      <c r="P1763" t="str">
        <f>IF(Pharma_Sales_Data[[#This Row],[Total Revenue]]&gt;20000,"High Value", IF(Pharma_Sales_Data[[#This Row],[Total Revenue]]&gt;=10000,"Medium Value","Low Value"))</f>
        <v>Low Value</v>
      </c>
    </row>
    <row r="1764" spans="1:16" x14ac:dyDescent="0.35">
      <c r="A1764" s="1">
        <v>43403</v>
      </c>
      <c r="B1764">
        <v>9.33</v>
      </c>
      <c r="C1764">
        <v>4</v>
      </c>
      <c r="D1764">
        <v>1</v>
      </c>
      <c r="E1764">
        <v>18.2</v>
      </c>
      <c r="F1764">
        <v>7</v>
      </c>
      <c r="G1764">
        <v>0</v>
      </c>
      <c r="H1764">
        <v>13</v>
      </c>
      <c r="I1764">
        <v>1</v>
      </c>
      <c r="J1764">
        <v>2018</v>
      </c>
      <c r="K1764">
        <v>10</v>
      </c>
      <c r="L1764" t="s">
        <v>16</v>
      </c>
      <c r="M1764">
        <f>SUM(Pharma_Sales_Data[[#This Row],[M01AB]:[R06]])</f>
        <v>53.53</v>
      </c>
      <c r="N1764" s="2">
        <f>Pharma_Sales_Data[[#This Row],[Total Drug Sales]]*150</f>
        <v>8029.5</v>
      </c>
      <c r="O1764" s="2">
        <f>Pharma_Sales_Data[[#This Row],[Total Revenue]]*0.3</f>
        <v>2408.85</v>
      </c>
      <c r="P1764" t="str">
        <f>IF(Pharma_Sales_Data[[#This Row],[Total Revenue]]&gt;20000,"High Value", IF(Pharma_Sales_Data[[#This Row],[Total Revenue]]&gt;=10000,"Medium Value","Low Value"))</f>
        <v>Low Value</v>
      </c>
    </row>
    <row r="1765" spans="1:16" x14ac:dyDescent="0.35">
      <c r="A1765" s="1">
        <v>43404</v>
      </c>
      <c r="B1765">
        <v>2</v>
      </c>
      <c r="C1765">
        <v>4.68</v>
      </c>
      <c r="D1765">
        <v>3</v>
      </c>
      <c r="E1765">
        <v>34.1</v>
      </c>
      <c r="F1765">
        <v>7</v>
      </c>
      <c r="G1765">
        <v>0</v>
      </c>
      <c r="H1765">
        <v>2</v>
      </c>
      <c r="I1765">
        <v>2</v>
      </c>
      <c r="J1765">
        <v>2018</v>
      </c>
      <c r="K1765">
        <v>10</v>
      </c>
      <c r="L1765" t="s">
        <v>17</v>
      </c>
      <c r="M1765">
        <f>SUM(Pharma_Sales_Data[[#This Row],[M01AB]:[R06]])</f>
        <v>54.78</v>
      </c>
      <c r="N1765" s="2">
        <f>Pharma_Sales_Data[[#This Row],[Total Drug Sales]]*150</f>
        <v>8217</v>
      </c>
      <c r="O1765" s="2">
        <f>Pharma_Sales_Data[[#This Row],[Total Revenue]]*0.3</f>
        <v>2465.1</v>
      </c>
      <c r="P1765" t="str">
        <f>IF(Pharma_Sales_Data[[#This Row],[Total Revenue]]&gt;20000,"High Value", IF(Pharma_Sales_Data[[#This Row],[Total Revenue]]&gt;=10000,"Medium Value","Low Value"))</f>
        <v>Low Value</v>
      </c>
    </row>
    <row r="1766" spans="1:16" x14ac:dyDescent="0.35">
      <c r="A1766" s="1">
        <v>43405</v>
      </c>
      <c r="B1766">
        <v>7.84</v>
      </c>
      <c r="C1766">
        <v>0.34</v>
      </c>
      <c r="D1766">
        <v>3</v>
      </c>
      <c r="E1766">
        <v>25</v>
      </c>
      <c r="F1766">
        <v>6</v>
      </c>
      <c r="G1766">
        <v>3</v>
      </c>
      <c r="H1766">
        <v>7</v>
      </c>
      <c r="I1766">
        <v>0</v>
      </c>
      <c r="J1766">
        <v>2018</v>
      </c>
      <c r="K1766">
        <v>11</v>
      </c>
      <c r="L1766" t="s">
        <v>11</v>
      </c>
      <c r="M1766">
        <f>SUM(Pharma_Sales_Data[[#This Row],[M01AB]:[R06]])</f>
        <v>52.18</v>
      </c>
      <c r="N1766" s="2">
        <f>Pharma_Sales_Data[[#This Row],[Total Drug Sales]]*150</f>
        <v>7827</v>
      </c>
      <c r="O1766" s="2">
        <f>Pharma_Sales_Data[[#This Row],[Total Revenue]]*0.3</f>
        <v>2348.1</v>
      </c>
      <c r="P1766" t="str">
        <f>IF(Pharma_Sales_Data[[#This Row],[Total Revenue]]&gt;20000,"High Value", IF(Pharma_Sales_Data[[#This Row],[Total Revenue]]&gt;=10000,"Medium Value","Low Value"))</f>
        <v>Low Value</v>
      </c>
    </row>
    <row r="1767" spans="1:16" x14ac:dyDescent="0.35">
      <c r="A1767" s="1">
        <v>43406</v>
      </c>
      <c r="B1767">
        <v>5.14</v>
      </c>
      <c r="C1767">
        <v>1.845</v>
      </c>
      <c r="D1767">
        <v>0</v>
      </c>
      <c r="E1767">
        <v>32.6</v>
      </c>
      <c r="F1767">
        <v>8.1999999999999993</v>
      </c>
      <c r="G1767">
        <v>0</v>
      </c>
      <c r="H1767">
        <v>1</v>
      </c>
      <c r="I1767">
        <v>3.3</v>
      </c>
      <c r="J1767">
        <v>2018</v>
      </c>
      <c r="K1767">
        <v>11</v>
      </c>
      <c r="L1767" t="s">
        <v>12</v>
      </c>
      <c r="M1767">
        <f>SUM(Pharma_Sales_Data[[#This Row],[M01AB]:[R06]])</f>
        <v>52.084999999999994</v>
      </c>
      <c r="N1767" s="2">
        <f>Pharma_Sales_Data[[#This Row],[Total Drug Sales]]*150</f>
        <v>7812.7499999999991</v>
      </c>
      <c r="O1767" s="2">
        <f>Pharma_Sales_Data[[#This Row],[Total Revenue]]*0.3</f>
        <v>2343.8249999999998</v>
      </c>
      <c r="P1767" t="str">
        <f>IF(Pharma_Sales_Data[[#This Row],[Total Revenue]]&gt;20000,"High Value", IF(Pharma_Sales_Data[[#This Row],[Total Revenue]]&gt;=10000,"Medium Value","Low Value"))</f>
        <v>Low Value</v>
      </c>
    </row>
    <row r="1768" spans="1:16" x14ac:dyDescent="0.35">
      <c r="A1768" s="1">
        <v>43407</v>
      </c>
      <c r="B1768">
        <v>3</v>
      </c>
      <c r="C1768">
        <v>3</v>
      </c>
      <c r="D1768">
        <v>6.2</v>
      </c>
      <c r="E1768">
        <v>45.4</v>
      </c>
      <c r="F1768">
        <v>2</v>
      </c>
      <c r="G1768">
        <v>0</v>
      </c>
      <c r="H1768">
        <v>0</v>
      </c>
      <c r="I1768">
        <v>2</v>
      </c>
      <c r="J1768">
        <v>2018</v>
      </c>
      <c r="K1768">
        <v>11</v>
      </c>
      <c r="L1768" t="s">
        <v>13</v>
      </c>
      <c r="M1768">
        <f>SUM(Pharma_Sales_Data[[#This Row],[M01AB]:[R06]])</f>
        <v>61.599999999999994</v>
      </c>
      <c r="N1768" s="2">
        <f>Pharma_Sales_Data[[#This Row],[Total Drug Sales]]*150</f>
        <v>9240</v>
      </c>
      <c r="O1768" s="2">
        <f>Pharma_Sales_Data[[#This Row],[Total Revenue]]*0.3</f>
        <v>2772</v>
      </c>
      <c r="P1768" t="str">
        <f>IF(Pharma_Sales_Data[[#This Row],[Total Revenue]]&gt;20000,"High Value", IF(Pharma_Sales_Data[[#This Row],[Total Revenue]]&gt;=10000,"Medium Value","Low Value"))</f>
        <v>Low Value</v>
      </c>
    </row>
    <row r="1769" spans="1:16" x14ac:dyDescent="0.35">
      <c r="A1769" s="1">
        <v>43408</v>
      </c>
      <c r="B1769">
        <v>13.99</v>
      </c>
      <c r="C1769">
        <v>4.8959999999999999</v>
      </c>
      <c r="D1769">
        <v>0</v>
      </c>
      <c r="E1769">
        <v>52</v>
      </c>
      <c r="F1769">
        <v>7</v>
      </c>
      <c r="G1769">
        <v>0</v>
      </c>
      <c r="H1769">
        <v>13</v>
      </c>
      <c r="I1769">
        <v>1</v>
      </c>
      <c r="J1769">
        <v>2018</v>
      </c>
      <c r="K1769">
        <v>11</v>
      </c>
      <c r="L1769" t="s">
        <v>14</v>
      </c>
      <c r="M1769">
        <f>SUM(Pharma_Sales_Data[[#This Row],[M01AB]:[R06]])</f>
        <v>91.885999999999996</v>
      </c>
      <c r="N1769" s="2">
        <f>Pharma_Sales_Data[[#This Row],[Total Drug Sales]]*150</f>
        <v>13782.9</v>
      </c>
      <c r="O1769" s="2">
        <f>Pharma_Sales_Data[[#This Row],[Total Revenue]]*0.3</f>
        <v>4134.87</v>
      </c>
      <c r="P1769" t="str">
        <f>IF(Pharma_Sales_Data[[#This Row],[Total Revenue]]&gt;20000,"High Value", IF(Pharma_Sales_Data[[#This Row],[Total Revenue]]&gt;=10000,"Medium Value","Low Value"))</f>
        <v>Medium Value</v>
      </c>
    </row>
    <row r="1770" spans="1:16" x14ac:dyDescent="0.35">
      <c r="A1770" s="1">
        <v>43409</v>
      </c>
      <c r="B1770">
        <v>6.33</v>
      </c>
      <c r="C1770">
        <v>2.34</v>
      </c>
      <c r="D1770">
        <v>6</v>
      </c>
      <c r="E1770">
        <v>29</v>
      </c>
      <c r="F1770">
        <v>14</v>
      </c>
      <c r="G1770">
        <v>0</v>
      </c>
      <c r="H1770">
        <v>13</v>
      </c>
      <c r="I1770">
        <v>2.2999999999999998</v>
      </c>
      <c r="J1770">
        <v>2018</v>
      </c>
      <c r="K1770">
        <v>11</v>
      </c>
      <c r="L1770" t="s">
        <v>15</v>
      </c>
      <c r="M1770">
        <f>SUM(Pharma_Sales_Data[[#This Row],[M01AB]:[R06]])</f>
        <v>72.97</v>
      </c>
      <c r="N1770" s="2">
        <f>Pharma_Sales_Data[[#This Row],[Total Drug Sales]]*150</f>
        <v>10945.5</v>
      </c>
      <c r="O1770" s="2">
        <f>Pharma_Sales_Data[[#This Row],[Total Revenue]]*0.3</f>
        <v>3283.65</v>
      </c>
      <c r="P1770" t="str">
        <f>IF(Pharma_Sales_Data[[#This Row],[Total Revenue]]&gt;20000,"High Value", IF(Pharma_Sales_Data[[#This Row],[Total Revenue]]&gt;=10000,"Medium Value","Low Value"))</f>
        <v>Medium Value</v>
      </c>
    </row>
    <row r="1771" spans="1:16" x14ac:dyDescent="0.35">
      <c r="A1771" s="1">
        <v>43410</v>
      </c>
      <c r="B1771">
        <v>3.33</v>
      </c>
      <c r="C1771">
        <v>6.68</v>
      </c>
      <c r="D1771">
        <v>10.55</v>
      </c>
      <c r="E1771">
        <v>37.700000000000003</v>
      </c>
      <c r="F1771">
        <v>8</v>
      </c>
      <c r="G1771">
        <v>0</v>
      </c>
      <c r="H1771">
        <v>13</v>
      </c>
      <c r="I1771">
        <v>2.5</v>
      </c>
      <c r="J1771">
        <v>2018</v>
      </c>
      <c r="K1771">
        <v>11</v>
      </c>
      <c r="L1771" t="s">
        <v>16</v>
      </c>
      <c r="M1771">
        <f>SUM(Pharma_Sales_Data[[#This Row],[M01AB]:[R06]])</f>
        <v>81.760000000000005</v>
      </c>
      <c r="N1771" s="2">
        <f>Pharma_Sales_Data[[#This Row],[Total Drug Sales]]*150</f>
        <v>12264</v>
      </c>
      <c r="O1771" s="2">
        <f>Pharma_Sales_Data[[#This Row],[Total Revenue]]*0.3</f>
        <v>3679.2</v>
      </c>
      <c r="P1771" t="str">
        <f>IF(Pharma_Sales_Data[[#This Row],[Total Revenue]]&gt;20000,"High Value", IF(Pharma_Sales_Data[[#This Row],[Total Revenue]]&gt;=10000,"Medium Value","Low Value"))</f>
        <v>Medium Value</v>
      </c>
    </row>
    <row r="1772" spans="1:16" x14ac:dyDescent="0.35">
      <c r="A1772" s="1">
        <v>43411</v>
      </c>
      <c r="B1772">
        <v>7</v>
      </c>
      <c r="C1772">
        <v>1.863</v>
      </c>
      <c r="D1772">
        <v>3</v>
      </c>
      <c r="E1772">
        <v>38.9</v>
      </c>
      <c r="F1772">
        <v>15</v>
      </c>
      <c r="G1772">
        <v>3</v>
      </c>
      <c r="H1772">
        <v>8</v>
      </c>
      <c r="I1772">
        <v>0</v>
      </c>
      <c r="J1772">
        <v>2018</v>
      </c>
      <c r="K1772">
        <v>11</v>
      </c>
      <c r="L1772" t="s">
        <v>17</v>
      </c>
      <c r="M1772">
        <f>SUM(Pharma_Sales_Data[[#This Row],[M01AB]:[R06]])</f>
        <v>76.763000000000005</v>
      </c>
      <c r="N1772" s="2">
        <f>Pharma_Sales_Data[[#This Row],[Total Drug Sales]]*150</f>
        <v>11514.45</v>
      </c>
      <c r="O1772" s="2">
        <f>Pharma_Sales_Data[[#This Row],[Total Revenue]]*0.3</f>
        <v>3454.335</v>
      </c>
      <c r="P1772" t="str">
        <f>IF(Pharma_Sales_Data[[#This Row],[Total Revenue]]&gt;20000,"High Value", IF(Pharma_Sales_Data[[#This Row],[Total Revenue]]&gt;=10000,"Medium Value","Low Value"))</f>
        <v>Medium Value</v>
      </c>
    </row>
    <row r="1773" spans="1:16" x14ac:dyDescent="0.35">
      <c r="A1773" s="1">
        <v>43412</v>
      </c>
      <c r="B1773">
        <v>3</v>
      </c>
      <c r="C1773">
        <v>1.573</v>
      </c>
      <c r="D1773">
        <v>6</v>
      </c>
      <c r="E1773">
        <v>38</v>
      </c>
      <c r="F1773">
        <v>5</v>
      </c>
      <c r="G1773">
        <v>0</v>
      </c>
      <c r="H1773">
        <v>16</v>
      </c>
      <c r="I1773">
        <v>2</v>
      </c>
      <c r="J1773">
        <v>2018</v>
      </c>
      <c r="K1773">
        <v>11</v>
      </c>
      <c r="L1773" t="s">
        <v>11</v>
      </c>
      <c r="M1773">
        <f>SUM(Pharma_Sales_Data[[#This Row],[M01AB]:[R06]])</f>
        <v>71.573000000000008</v>
      </c>
      <c r="N1773" s="2">
        <f>Pharma_Sales_Data[[#This Row],[Total Drug Sales]]*150</f>
        <v>10735.95</v>
      </c>
      <c r="O1773" s="2">
        <f>Pharma_Sales_Data[[#This Row],[Total Revenue]]*0.3</f>
        <v>3220.7850000000003</v>
      </c>
      <c r="P1773" t="str">
        <f>IF(Pharma_Sales_Data[[#This Row],[Total Revenue]]&gt;20000,"High Value", IF(Pharma_Sales_Data[[#This Row],[Total Revenue]]&gt;=10000,"Medium Value","Low Value"))</f>
        <v>Medium Value</v>
      </c>
    </row>
    <row r="1774" spans="1:16" x14ac:dyDescent="0.35">
      <c r="A1774" s="1">
        <v>43413</v>
      </c>
      <c r="B1774">
        <v>5</v>
      </c>
      <c r="C1774">
        <v>0.67</v>
      </c>
      <c r="D1774">
        <v>5</v>
      </c>
      <c r="E1774">
        <v>43</v>
      </c>
      <c r="F1774">
        <v>7</v>
      </c>
      <c r="G1774">
        <v>1</v>
      </c>
      <c r="H1774">
        <v>22</v>
      </c>
      <c r="I1774">
        <v>0</v>
      </c>
      <c r="J1774">
        <v>2018</v>
      </c>
      <c r="K1774">
        <v>11</v>
      </c>
      <c r="L1774" t="s">
        <v>12</v>
      </c>
      <c r="M1774">
        <f>SUM(Pharma_Sales_Data[[#This Row],[M01AB]:[R06]])</f>
        <v>83.67</v>
      </c>
      <c r="N1774" s="2">
        <f>Pharma_Sales_Data[[#This Row],[Total Drug Sales]]*150</f>
        <v>12550.5</v>
      </c>
      <c r="O1774" s="2">
        <f>Pharma_Sales_Data[[#This Row],[Total Revenue]]*0.3</f>
        <v>3765.1499999999996</v>
      </c>
      <c r="P1774" t="str">
        <f>IF(Pharma_Sales_Data[[#This Row],[Total Revenue]]&gt;20000,"High Value", IF(Pharma_Sales_Data[[#This Row],[Total Revenue]]&gt;=10000,"Medium Value","Low Value"))</f>
        <v>Medium Value</v>
      </c>
    </row>
    <row r="1775" spans="1:16" x14ac:dyDescent="0.35">
      <c r="A1775" s="1">
        <v>43414</v>
      </c>
      <c r="B1775">
        <v>4.33</v>
      </c>
      <c r="C1775">
        <v>2.4169999999999998</v>
      </c>
      <c r="D1775">
        <v>2</v>
      </c>
      <c r="E1775">
        <v>35.6</v>
      </c>
      <c r="F1775">
        <v>7</v>
      </c>
      <c r="G1775">
        <v>1</v>
      </c>
      <c r="H1775">
        <v>11</v>
      </c>
      <c r="I1775">
        <v>1.1000000000000001</v>
      </c>
      <c r="J1775">
        <v>2018</v>
      </c>
      <c r="K1775">
        <v>11</v>
      </c>
      <c r="L1775" t="s">
        <v>13</v>
      </c>
      <c r="M1775">
        <f>SUM(Pharma_Sales_Data[[#This Row],[M01AB]:[R06]])</f>
        <v>64.447000000000003</v>
      </c>
      <c r="N1775" s="2">
        <f>Pharma_Sales_Data[[#This Row],[Total Drug Sales]]*150</f>
        <v>9667.0500000000011</v>
      </c>
      <c r="O1775" s="2">
        <f>Pharma_Sales_Data[[#This Row],[Total Revenue]]*0.3</f>
        <v>2900.1150000000002</v>
      </c>
      <c r="P1775" t="str">
        <f>IF(Pharma_Sales_Data[[#This Row],[Total Revenue]]&gt;20000,"High Value", IF(Pharma_Sales_Data[[#This Row],[Total Revenue]]&gt;=10000,"Medium Value","Low Value"))</f>
        <v>Low Value</v>
      </c>
    </row>
    <row r="1776" spans="1:16" x14ac:dyDescent="0.35">
      <c r="A1776" s="1">
        <v>43415</v>
      </c>
      <c r="B1776">
        <v>11</v>
      </c>
      <c r="C1776">
        <v>4.2460000000000004</v>
      </c>
      <c r="D1776">
        <v>2</v>
      </c>
      <c r="E1776">
        <v>33.65</v>
      </c>
      <c r="F1776">
        <v>14</v>
      </c>
      <c r="G1776">
        <v>0</v>
      </c>
      <c r="H1776">
        <v>10</v>
      </c>
      <c r="I1776">
        <v>1</v>
      </c>
      <c r="J1776">
        <v>2018</v>
      </c>
      <c r="K1776">
        <v>11</v>
      </c>
      <c r="L1776" t="s">
        <v>14</v>
      </c>
      <c r="M1776">
        <f>SUM(Pharma_Sales_Data[[#This Row],[M01AB]:[R06]])</f>
        <v>75.896000000000001</v>
      </c>
      <c r="N1776" s="2">
        <f>Pharma_Sales_Data[[#This Row],[Total Drug Sales]]*150</f>
        <v>11384.4</v>
      </c>
      <c r="O1776" s="2">
        <f>Pharma_Sales_Data[[#This Row],[Total Revenue]]*0.3</f>
        <v>3415.3199999999997</v>
      </c>
      <c r="P1776" t="str">
        <f>IF(Pharma_Sales_Data[[#This Row],[Total Revenue]]&gt;20000,"High Value", IF(Pharma_Sales_Data[[#This Row],[Total Revenue]]&gt;=10000,"Medium Value","Low Value"))</f>
        <v>Medium Value</v>
      </c>
    </row>
    <row r="1777" spans="1:16" x14ac:dyDescent="0.35">
      <c r="A1777" s="1">
        <v>43416</v>
      </c>
      <c r="B1777">
        <v>2.34</v>
      </c>
      <c r="C1777">
        <v>2.33</v>
      </c>
      <c r="D1777">
        <v>7</v>
      </c>
      <c r="E1777">
        <v>35</v>
      </c>
      <c r="F1777">
        <v>15</v>
      </c>
      <c r="G1777">
        <v>2</v>
      </c>
      <c r="H1777">
        <v>24</v>
      </c>
      <c r="I1777">
        <v>1</v>
      </c>
      <c r="J1777">
        <v>2018</v>
      </c>
      <c r="K1777">
        <v>11</v>
      </c>
      <c r="L1777" t="s">
        <v>15</v>
      </c>
      <c r="M1777">
        <f>SUM(Pharma_Sales_Data[[#This Row],[M01AB]:[R06]])</f>
        <v>88.67</v>
      </c>
      <c r="N1777" s="2">
        <f>Pharma_Sales_Data[[#This Row],[Total Drug Sales]]*150</f>
        <v>13300.5</v>
      </c>
      <c r="O1777" s="2">
        <f>Pharma_Sales_Data[[#This Row],[Total Revenue]]*0.3</f>
        <v>3990.1499999999996</v>
      </c>
      <c r="P1777" t="str">
        <f>IF(Pharma_Sales_Data[[#This Row],[Total Revenue]]&gt;20000,"High Value", IF(Pharma_Sales_Data[[#This Row],[Total Revenue]]&gt;=10000,"Medium Value","Low Value"))</f>
        <v>Medium Value</v>
      </c>
    </row>
    <row r="1778" spans="1:16" x14ac:dyDescent="0.35">
      <c r="A1778" s="1">
        <v>43417</v>
      </c>
      <c r="B1778">
        <v>6.33</v>
      </c>
      <c r="C1778">
        <v>5.35</v>
      </c>
      <c r="D1778">
        <v>6</v>
      </c>
      <c r="E1778">
        <v>29.7</v>
      </c>
      <c r="F1778">
        <v>18</v>
      </c>
      <c r="G1778">
        <v>0</v>
      </c>
      <c r="H1778">
        <v>18</v>
      </c>
      <c r="I1778">
        <v>3</v>
      </c>
      <c r="J1778">
        <v>2018</v>
      </c>
      <c r="K1778">
        <v>11</v>
      </c>
      <c r="L1778" t="s">
        <v>16</v>
      </c>
      <c r="M1778">
        <f>SUM(Pharma_Sales_Data[[#This Row],[M01AB]:[R06]])</f>
        <v>86.38</v>
      </c>
      <c r="N1778" s="2">
        <f>Pharma_Sales_Data[[#This Row],[Total Drug Sales]]*150</f>
        <v>12957</v>
      </c>
      <c r="O1778" s="2">
        <f>Pharma_Sales_Data[[#This Row],[Total Revenue]]*0.3</f>
        <v>3887.1</v>
      </c>
      <c r="P1778" t="str">
        <f>IF(Pharma_Sales_Data[[#This Row],[Total Revenue]]&gt;20000,"High Value", IF(Pharma_Sales_Data[[#This Row],[Total Revenue]]&gt;=10000,"Medium Value","Low Value"))</f>
        <v>Medium Value</v>
      </c>
    </row>
    <row r="1779" spans="1:16" x14ac:dyDescent="0.35">
      <c r="A1779" s="1">
        <v>43418</v>
      </c>
      <c r="B1779">
        <v>5.66</v>
      </c>
      <c r="C1779">
        <v>4.67</v>
      </c>
      <c r="D1779">
        <v>3</v>
      </c>
      <c r="E1779">
        <v>28.4</v>
      </c>
      <c r="F1779">
        <v>9</v>
      </c>
      <c r="G1779">
        <v>0</v>
      </c>
      <c r="H1779">
        <v>0</v>
      </c>
      <c r="I1779">
        <v>0</v>
      </c>
      <c r="J1779">
        <v>2018</v>
      </c>
      <c r="K1779">
        <v>11</v>
      </c>
      <c r="L1779" t="s">
        <v>17</v>
      </c>
      <c r="M1779">
        <f>SUM(Pharma_Sales_Data[[#This Row],[M01AB]:[R06]])</f>
        <v>50.73</v>
      </c>
      <c r="N1779" s="2">
        <f>Pharma_Sales_Data[[#This Row],[Total Drug Sales]]*150</f>
        <v>7609.4999999999991</v>
      </c>
      <c r="O1779" s="2">
        <f>Pharma_Sales_Data[[#This Row],[Total Revenue]]*0.3</f>
        <v>2282.8499999999995</v>
      </c>
      <c r="P1779" t="str">
        <f>IF(Pharma_Sales_Data[[#This Row],[Total Revenue]]&gt;20000,"High Value", IF(Pharma_Sales_Data[[#This Row],[Total Revenue]]&gt;=10000,"Medium Value","Low Value"))</f>
        <v>Low Value</v>
      </c>
    </row>
    <row r="1780" spans="1:16" x14ac:dyDescent="0.35">
      <c r="A1780" s="1">
        <v>43419</v>
      </c>
      <c r="B1780">
        <v>2</v>
      </c>
      <c r="C1780">
        <v>4.0830000000000002</v>
      </c>
      <c r="D1780">
        <v>2</v>
      </c>
      <c r="E1780">
        <v>49.6</v>
      </c>
      <c r="F1780">
        <v>3</v>
      </c>
      <c r="G1780">
        <v>2</v>
      </c>
      <c r="H1780">
        <v>29</v>
      </c>
      <c r="I1780">
        <v>0</v>
      </c>
      <c r="J1780">
        <v>2018</v>
      </c>
      <c r="K1780">
        <v>11</v>
      </c>
      <c r="L1780" t="s">
        <v>11</v>
      </c>
      <c r="M1780">
        <f>SUM(Pharma_Sales_Data[[#This Row],[M01AB]:[R06]])</f>
        <v>91.682999999999993</v>
      </c>
      <c r="N1780" s="2">
        <f>Pharma_Sales_Data[[#This Row],[Total Drug Sales]]*150</f>
        <v>13752.449999999999</v>
      </c>
      <c r="O1780" s="2">
        <f>Pharma_Sales_Data[[#This Row],[Total Revenue]]*0.3</f>
        <v>4125.7349999999997</v>
      </c>
      <c r="P1780" t="str">
        <f>IF(Pharma_Sales_Data[[#This Row],[Total Revenue]]&gt;20000,"High Value", IF(Pharma_Sales_Data[[#This Row],[Total Revenue]]&gt;=10000,"Medium Value","Low Value"))</f>
        <v>Medium Value</v>
      </c>
    </row>
    <row r="1781" spans="1:16" x14ac:dyDescent="0.35">
      <c r="A1781" s="1">
        <v>43420</v>
      </c>
      <c r="B1781">
        <v>8.33</v>
      </c>
      <c r="C1781">
        <v>2.66</v>
      </c>
      <c r="D1781">
        <v>4</v>
      </c>
      <c r="E1781">
        <v>21.5</v>
      </c>
      <c r="F1781">
        <v>6</v>
      </c>
      <c r="G1781">
        <v>0</v>
      </c>
      <c r="H1781">
        <v>6</v>
      </c>
      <c r="I1781">
        <v>0.4</v>
      </c>
      <c r="J1781">
        <v>2018</v>
      </c>
      <c r="K1781">
        <v>11</v>
      </c>
      <c r="L1781" t="s">
        <v>12</v>
      </c>
      <c r="M1781">
        <f>SUM(Pharma_Sales_Data[[#This Row],[M01AB]:[R06]])</f>
        <v>48.89</v>
      </c>
      <c r="N1781" s="2">
        <f>Pharma_Sales_Data[[#This Row],[Total Drug Sales]]*150</f>
        <v>7333.5</v>
      </c>
      <c r="O1781" s="2">
        <f>Pharma_Sales_Data[[#This Row],[Total Revenue]]*0.3</f>
        <v>2200.0499999999997</v>
      </c>
      <c r="P1781" t="str">
        <f>IF(Pharma_Sales_Data[[#This Row],[Total Revenue]]&gt;20000,"High Value", IF(Pharma_Sales_Data[[#This Row],[Total Revenue]]&gt;=10000,"Medium Value","Low Value"))</f>
        <v>Low Value</v>
      </c>
    </row>
    <row r="1782" spans="1:16" x14ac:dyDescent="0.35">
      <c r="A1782" s="1">
        <v>43421</v>
      </c>
      <c r="B1782">
        <v>8</v>
      </c>
      <c r="C1782">
        <v>2.34</v>
      </c>
      <c r="D1782">
        <v>1</v>
      </c>
      <c r="E1782">
        <v>39</v>
      </c>
      <c r="F1782">
        <v>5</v>
      </c>
      <c r="G1782">
        <v>0</v>
      </c>
      <c r="H1782">
        <v>13</v>
      </c>
      <c r="I1782">
        <v>2</v>
      </c>
      <c r="J1782">
        <v>2018</v>
      </c>
      <c r="K1782">
        <v>11</v>
      </c>
      <c r="L1782" t="s">
        <v>13</v>
      </c>
      <c r="M1782">
        <f>SUM(Pharma_Sales_Data[[#This Row],[M01AB]:[R06]])</f>
        <v>70.34</v>
      </c>
      <c r="N1782" s="2">
        <f>Pharma_Sales_Data[[#This Row],[Total Drug Sales]]*150</f>
        <v>10551</v>
      </c>
      <c r="O1782" s="2">
        <f>Pharma_Sales_Data[[#This Row],[Total Revenue]]*0.3</f>
        <v>3165.2999999999997</v>
      </c>
      <c r="P1782" t="str">
        <f>IF(Pharma_Sales_Data[[#This Row],[Total Revenue]]&gt;20000,"High Value", IF(Pharma_Sales_Data[[#This Row],[Total Revenue]]&gt;=10000,"Medium Value","Low Value"))</f>
        <v>Medium Value</v>
      </c>
    </row>
    <row r="1783" spans="1:16" x14ac:dyDescent="0.35">
      <c r="A1783" s="1">
        <v>43422</v>
      </c>
      <c r="B1783">
        <v>4.68</v>
      </c>
      <c r="C1783">
        <v>4.68</v>
      </c>
      <c r="D1783">
        <v>5</v>
      </c>
      <c r="E1783">
        <v>32.9</v>
      </c>
      <c r="F1783">
        <v>7</v>
      </c>
      <c r="G1783">
        <v>1</v>
      </c>
      <c r="H1783">
        <v>10</v>
      </c>
      <c r="I1783">
        <v>1</v>
      </c>
      <c r="J1783">
        <v>2018</v>
      </c>
      <c r="K1783">
        <v>11</v>
      </c>
      <c r="L1783" t="s">
        <v>14</v>
      </c>
      <c r="M1783">
        <f>SUM(Pharma_Sales_Data[[#This Row],[M01AB]:[R06]])</f>
        <v>66.259999999999991</v>
      </c>
      <c r="N1783" s="2">
        <f>Pharma_Sales_Data[[#This Row],[Total Drug Sales]]*150</f>
        <v>9938.9999999999982</v>
      </c>
      <c r="O1783" s="2">
        <f>Pharma_Sales_Data[[#This Row],[Total Revenue]]*0.3</f>
        <v>2981.6999999999994</v>
      </c>
      <c r="P1783" t="str">
        <f>IF(Pharma_Sales_Data[[#This Row],[Total Revenue]]&gt;20000,"High Value", IF(Pharma_Sales_Data[[#This Row],[Total Revenue]]&gt;=10000,"Medium Value","Low Value"))</f>
        <v>Low Value</v>
      </c>
    </row>
    <row r="1784" spans="1:16" x14ac:dyDescent="0.35">
      <c r="A1784" s="1">
        <v>43423</v>
      </c>
      <c r="B1784">
        <v>6.01</v>
      </c>
      <c r="C1784">
        <v>2.44</v>
      </c>
      <c r="D1784">
        <v>2</v>
      </c>
      <c r="E1784">
        <v>47.2</v>
      </c>
      <c r="F1784">
        <v>6</v>
      </c>
      <c r="G1784">
        <v>3</v>
      </c>
      <c r="H1784">
        <v>3</v>
      </c>
      <c r="I1784">
        <v>0</v>
      </c>
      <c r="J1784">
        <v>2018</v>
      </c>
      <c r="K1784">
        <v>11</v>
      </c>
      <c r="L1784" t="s">
        <v>15</v>
      </c>
      <c r="M1784">
        <f>SUM(Pharma_Sales_Data[[#This Row],[M01AB]:[R06]])</f>
        <v>69.650000000000006</v>
      </c>
      <c r="N1784" s="2">
        <f>Pharma_Sales_Data[[#This Row],[Total Drug Sales]]*150</f>
        <v>10447.5</v>
      </c>
      <c r="O1784" s="2">
        <f>Pharma_Sales_Data[[#This Row],[Total Revenue]]*0.3</f>
        <v>3134.25</v>
      </c>
      <c r="P1784" t="str">
        <f>IF(Pharma_Sales_Data[[#This Row],[Total Revenue]]&gt;20000,"High Value", IF(Pharma_Sales_Data[[#This Row],[Total Revenue]]&gt;=10000,"Medium Value","Low Value"))</f>
        <v>Medium Value</v>
      </c>
    </row>
    <row r="1785" spans="1:16" x14ac:dyDescent="0.35">
      <c r="A1785" s="1">
        <v>43424</v>
      </c>
      <c r="B1785">
        <v>5.33</v>
      </c>
      <c r="C1785">
        <v>3.8029999999999999</v>
      </c>
      <c r="D1785">
        <v>4</v>
      </c>
      <c r="E1785">
        <v>31.5</v>
      </c>
      <c r="F1785">
        <v>4</v>
      </c>
      <c r="G1785">
        <v>1</v>
      </c>
      <c r="H1785">
        <v>10</v>
      </c>
      <c r="I1785">
        <v>3</v>
      </c>
      <c r="J1785">
        <v>2018</v>
      </c>
      <c r="K1785">
        <v>11</v>
      </c>
      <c r="L1785" t="s">
        <v>16</v>
      </c>
      <c r="M1785">
        <f>SUM(Pharma_Sales_Data[[#This Row],[M01AB]:[R06]])</f>
        <v>62.632999999999996</v>
      </c>
      <c r="N1785" s="2">
        <f>Pharma_Sales_Data[[#This Row],[Total Drug Sales]]*150</f>
        <v>9394.9499999999989</v>
      </c>
      <c r="O1785" s="2">
        <f>Pharma_Sales_Data[[#This Row],[Total Revenue]]*0.3</f>
        <v>2818.4849999999997</v>
      </c>
      <c r="P1785" t="str">
        <f>IF(Pharma_Sales_Data[[#This Row],[Total Revenue]]&gt;20000,"High Value", IF(Pharma_Sales_Data[[#This Row],[Total Revenue]]&gt;=10000,"Medium Value","Low Value"))</f>
        <v>Low Value</v>
      </c>
    </row>
    <row r="1786" spans="1:16" x14ac:dyDescent="0.35">
      <c r="A1786" s="1">
        <v>43425</v>
      </c>
      <c r="B1786">
        <v>7</v>
      </c>
      <c r="C1786">
        <v>2.34</v>
      </c>
      <c r="D1786">
        <v>3.25</v>
      </c>
      <c r="E1786">
        <v>22</v>
      </c>
      <c r="F1786">
        <v>5</v>
      </c>
      <c r="G1786">
        <v>0</v>
      </c>
      <c r="H1786">
        <v>5</v>
      </c>
      <c r="I1786">
        <v>1</v>
      </c>
      <c r="J1786">
        <v>2018</v>
      </c>
      <c r="K1786">
        <v>11</v>
      </c>
      <c r="L1786" t="s">
        <v>17</v>
      </c>
      <c r="M1786">
        <f>SUM(Pharma_Sales_Data[[#This Row],[M01AB]:[R06]])</f>
        <v>45.59</v>
      </c>
      <c r="N1786" s="2">
        <f>Pharma_Sales_Data[[#This Row],[Total Drug Sales]]*150</f>
        <v>6838.5000000000009</v>
      </c>
      <c r="O1786" s="2">
        <f>Pharma_Sales_Data[[#This Row],[Total Revenue]]*0.3</f>
        <v>2051.5500000000002</v>
      </c>
      <c r="P1786" t="str">
        <f>IF(Pharma_Sales_Data[[#This Row],[Total Revenue]]&gt;20000,"High Value", IF(Pharma_Sales_Data[[#This Row],[Total Revenue]]&gt;=10000,"Medium Value","Low Value"))</f>
        <v>Low Value</v>
      </c>
    </row>
    <row r="1787" spans="1:16" x14ac:dyDescent="0.35">
      <c r="A1787" s="1">
        <v>43426</v>
      </c>
      <c r="B1787">
        <v>8</v>
      </c>
      <c r="C1787">
        <v>7.0659999999999998</v>
      </c>
      <c r="D1787">
        <v>3</v>
      </c>
      <c r="E1787">
        <v>22.4</v>
      </c>
      <c r="F1787">
        <v>9</v>
      </c>
      <c r="G1787">
        <v>0</v>
      </c>
      <c r="H1787">
        <v>15</v>
      </c>
      <c r="I1787">
        <v>2</v>
      </c>
      <c r="J1787">
        <v>2018</v>
      </c>
      <c r="K1787">
        <v>11</v>
      </c>
      <c r="L1787" t="s">
        <v>11</v>
      </c>
      <c r="M1787">
        <f>SUM(Pharma_Sales_Data[[#This Row],[M01AB]:[R06]])</f>
        <v>66.465999999999994</v>
      </c>
      <c r="N1787" s="2">
        <f>Pharma_Sales_Data[[#This Row],[Total Drug Sales]]*150</f>
        <v>9969.9</v>
      </c>
      <c r="O1787" s="2">
        <f>Pharma_Sales_Data[[#This Row],[Total Revenue]]*0.3</f>
        <v>2990.97</v>
      </c>
      <c r="P1787" t="str">
        <f>IF(Pharma_Sales_Data[[#This Row],[Total Revenue]]&gt;20000,"High Value", IF(Pharma_Sales_Data[[#This Row],[Total Revenue]]&gt;=10000,"Medium Value","Low Value"))</f>
        <v>Low Value</v>
      </c>
    </row>
    <row r="1788" spans="1:16" x14ac:dyDescent="0.35">
      <c r="A1788" s="1">
        <v>43427</v>
      </c>
      <c r="B1788">
        <v>6</v>
      </c>
      <c r="C1788">
        <v>4.4720000000000004</v>
      </c>
      <c r="D1788">
        <v>3</v>
      </c>
      <c r="E1788">
        <v>29.6</v>
      </c>
      <c r="F1788">
        <v>13</v>
      </c>
      <c r="G1788">
        <v>1</v>
      </c>
      <c r="H1788">
        <v>24</v>
      </c>
      <c r="I1788">
        <v>3</v>
      </c>
      <c r="J1788">
        <v>2018</v>
      </c>
      <c r="K1788">
        <v>11</v>
      </c>
      <c r="L1788" t="s">
        <v>12</v>
      </c>
      <c r="M1788">
        <f>SUM(Pharma_Sales_Data[[#This Row],[M01AB]:[R06]])</f>
        <v>84.072000000000003</v>
      </c>
      <c r="N1788" s="2">
        <f>Pharma_Sales_Data[[#This Row],[Total Drug Sales]]*150</f>
        <v>12610.800000000001</v>
      </c>
      <c r="O1788" s="2">
        <f>Pharma_Sales_Data[[#This Row],[Total Revenue]]*0.3</f>
        <v>3783.2400000000002</v>
      </c>
      <c r="P1788" t="str">
        <f>IF(Pharma_Sales_Data[[#This Row],[Total Revenue]]&gt;20000,"High Value", IF(Pharma_Sales_Data[[#This Row],[Total Revenue]]&gt;=10000,"Medium Value","Low Value"))</f>
        <v>Medium Value</v>
      </c>
    </row>
    <row r="1789" spans="1:16" x14ac:dyDescent="0.35">
      <c r="A1789" s="1">
        <v>43428</v>
      </c>
      <c r="B1789">
        <v>5.66</v>
      </c>
      <c r="C1789">
        <v>5.78</v>
      </c>
      <c r="D1789">
        <v>5</v>
      </c>
      <c r="E1789">
        <v>29.2</v>
      </c>
      <c r="F1789">
        <v>11</v>
      </c>
      <c r="G1789">
        <v>0</v>
      </c>
      <c r="H1789">
        <v>7</v>
      </c>
      <c r="I1789">
        <v>0.3</v>
      </c>
      <c r="J1789">
        <v>2018</v>
      </c>
      <c r="K1789">
        <v>11</v>
      </c>
      <c r="L1789" t="s">
        <v>13</v>
      </c>
      <c r="M1789">
        <f>SUM(Pharma_Sales_Data[[#This Row],[M01AB]:[R06]])</f>
        <v>63.94</v>
      </c>
      <c r="N1789" s="2">
        <f>Pharma_Sales_Data[[#This Row],[Total Drug Sales]]*150</f>
        <v>9591</v>
      </c>
      <c r="O1789" s="2">
        <f>Pharma_Sales_Data[[#This Row],[Total Revenue]]*0.3</f>
        <v>2877.2999999999997</v>
      </c>
      <c r="P1789" t="str">
        <f>IF(Pharma_Sales_Data[[#This Row],[Total Revenue]]&gt;20000,"High Value", IF(Pharma_Sales_Data[[#This Row],[Total Revenue]]&gt;=10000,"Medium Value","Low Value"))</f>
        <v>Low Value</v>
      </c>
    </row>
    <row r="1790" spans="1:16" x14ac:dyDescent="0.35">
      <c r="A1790" s="1">
        <v>43429</v>
      </c>
      <c r="B1790">
        <v>5.33</v>
      </c>
      <c r="C1790">
        <v>3.593</v>
      </c>
      <c r="D1790">
        <v>3.15</v>
      </c>
      <c r="E1790">
        <v>19.100000000000001</v>
      </c>
      <c r="F1790">
        <v>6</v>
      </c>
      <c r="G1790">
        <v>1</v>
      </c>
      <c r="H1790">
        <v>3</v>
      </c>
      <c r="I1790">
        <v>2</v>
      </c>
      <c r="J1790">
        <v>2018</v>
      </c>
      <c r="K1790">
        <v>11</v>
      </c>
      <c r="L1790" t="s">
        <v>14</v>
      </c>
      <c r="M1790">
        <f>SUM(Pharma_Sales_Data[[#This Row],[M01AB]:[R06]])</f>
        <v>43.173000000000002</v>
      </c>
      <c r="N1790" s="2">
        <f>Pharma_Sales_Data[[#This Row],[Total Drug Sales]]*150</f>
        <v>6475.9500000000007</v>
      </c>
      <c r="O1790" s="2">
        <f>Pharma_Sales_Data[[#This Row],[Total Revenue]]*0.3</f>
        <v>1942.7850000000001</v>
      </c>
      <c r="P1790" t="str">
        <f>IF(Pharma_Sales_Data[[#This Row],[Total Revenue]]&gt;20000,"High Value", IF(Pharma_Sales_Data[[#This Row],[Total Revenue]]&gt;=10000,"Medium Value","Low Value"))</f>
        <v>Low Value</v>
      </c>
    </row>
    <row r="1791" spans="1:16" x14ac:dyDescent="0.35">
      <c r="A1791" s="1">
        <v>43430</v>
      </c>
      <c r="B1791">
        <v>5.33</v>
      </c>
      <c r="C1791">
        <v>2.34</v>
      </c>
      <c r="D1791">
        <v>2</v>
      </c>
      <c r="E1791">
        <v>36.299999999999997</v>
      </c>
      <c r="F1791">
        <v>15</v>
      </c>
      <c r="G1791">
        <v>1</v>
      </c>
      <c r="H1791">
        <v>16</v>
      </c>
      <c r="I1791">
        <v>3</v>
      </c>
      <c r="J1791">
        <v>2018</v>
      </c>
      <c r="K1791">
        <v>11</v>
      </c>
      <c r="L1791" t="s">
        <v>15</v>
      </c>
      <c r="M1791">
        <f>SUM(Pharma_Sales_Data[[#This Row],[M01AB]:[R06]])</f>
        <v>80.97</v>
      </c>
      <c r="N1791" s="2">
        <f>Pharma_Sales_Data[[#This Row],[Total Drug Sales]]*150</f>
        <v>12145.5</v>
      </c>
      <c r="O1791" s="2">
        <f>Pharma_Sales_Data[[#This Row],[Total Revenue]]*0.3</f>
        <v>3643.65</v>
      </c>
      <c r="P1791" t="str">
        <f>IF(Pharma_Sales_Data[[#This Row],[Total Revenue]]&gt;20000,"High Value", IF(Pharma_Sales_Data[[#This Row],[Total Revenue]]&gt;=10000,"Medium Value","Low Value"))</f>
        <v>Medium Value</v>
      </c>
    </row>
    <row r="1792" spans="1:16" x14ac:dyDescent="0.35">
      <c r="A1792" s="1">
        <v>43431</v>
      </c>
      <c r="B1792">
        <v>8</v>
      </c>
      <c r="C1792">
        <v>4.67</v>
      </c>
      <c r="D1792">
        <v>2</v>
      </c>
      <c r="E1792">
        <v>41.5</v>
      </c>
      <c r="F1792">
        <v>2</v>
      </c>
      <c r="G1792">
        <v>0</v>
      </c>
      <c r="H1792">
        <v>5</v>
      </c>
      <c r="I1792">
        <v>2</v>
      </c>
      <c r="J1792">
        <v>2018</v>
      </c>
      <c r="K1792">
        <v>11</v>
      </c>
      <c r="L1792" t="s">
        <v>16</v>
      </c>
      <c r="M1792">
        <f>SUM(Pharma_Sales_Data[[#This Row],[M01AB]:[R06]])</f>
        <v>65.17</v>
      </c>
      <c r="N1792" s="2">
        <f>Pharma_Sales_Data[[#This Row],[Total Drug Sales]]*150</f>
        <v>9775.5</v>
      </c>
      <c r="O1792" s="2">
        <f>Pharma_Sales_Data[[#This Row],[Total Revenue]]*0.3</f>
        <v>2932.65</v>
      </c>
      <c r="P1792" t="str">
        <f>IF(Pharma_Sales_Data[[#This Row],[Total Revenue]]&gt;20000,"High Value", IF(Pharma_Sales_Data[[#This Row],[Total Revenue]]&gt;=10000,"Medium Value","Low Value"))</f>
        <v>Low Value</v>
      </c>
    </row>
    <row r="1793" spans="1:16" x14ac:dyDescent="0.35">
      <c r="A1793" s="1">
        <v>43432</v>
      </c>
      <c r="B1793">
        <v>3</v>
      </c>
      <c r="C1793">
        <v>5.67</v>
      </c>
      <c r="D1793">
        <v>1</v>
      </c>
      <c r="E1793">
        <v>24.4</v>
      </c>
      <c r="F1793">
        <v>15</v>
      </c>
      <c r="G1793">
        <v>2</v>
      </c>
      <c r="H1793">
        <v>8</v>
      </c>
      <c r="I1793">
        <v>4</v>
      </c>
      <c r="J1793">
        <v>2018</v>
      </c>
      <c r="K1793">
        <v>11</v>
      </c>
      <c r="L1793" t="s">
        <v>17</v>
      </c>
      <c r="M1793">
        <f>SUM(Pharma_Sales_Data[[#This Row],[M01AB]:[R06]])</f>
        <v>63.07</v>
      </c>
      <c r="N1793" s="2">
        <f>Pharma_Sales_Data[[#This Row],[Total Drug Sales]]*150</f>
        <v>9460.5</v>
      </c>
      <c r="O1793" s="2">
        <f>Pharma_Sales_Data[[#This Row],[Total Revenue]]*0.3</f>
        <v>2838.15</v>
      </c>
      <c r="P1793" t="str">
        <f>IF(Pharma_Sales_Data[[#This Row],[Total Revenue]]&gt;20000,"High Value", IF(Pharma_Sales_Data[[#This Row],[Total Revenue]]&gt;=10000,"Medium Value","Low Value"))</f>
        <v>Low Value</v>
      </c>
    </row>
    <row r="1794" spans="1:16" x14ac:dyDescent="0.35">
      <c r="A1794" s="1">
        <v>43433</v>
      </c>
      <c r="B1794">
        <v>4.33</v>
      </c>
      <c r="C1794">
        <v>4.32</v>
      </c>
      <c r="D1794">
        <v>1</v>
      </c>
      <c r="E1794">
        <v>22.6</v>
      </c>
      <c r="F1794">
        <v>7</v>
      </c>
      <c r="G1794">
        <v>0</v>
      </c>
      <c r="H1794">
        <v>1</v>
      </c>
      <c r="I1794">
        <v>3</v>
      </c>
      <c r="J1794">
        <v>2018</v>
      </c>
      <c r="K1794">
        <v>11</v>
      </c>
      <c r="L1794" t="s">
        <v>11</v>
      </c>
      <c r="M1794">
        <f>SUM(Pharma_Sales_Data[[#This Row],[M01AB]:[R06]])</f>
        <v>43.25</v>
      </c>
      <c r="N1794" s="2">
        <f>Pharma_Sales_Data[[#This Row],[Total Drug Sales]]*150</f>
        <v>6487.5</v>
      </c>
      <c r="O1794" s="2">
        <f>Pharma_Sales_Data[[#This Row],[Total Revenue]]*0.3</f>
        <v>1946.25</v>
      </c>
      <c r="P1794" t="str">
        <f>IF(Pharma_Sales_Data[[#This Row],[Total Revenue]]&gt;20000,"High Value", IF(Pharma_Sales_Data[[#This Row],[Total Revenue]]&gt;=10000,"Medium Value","Low Value"))</f>
        <v>Low Value</v>
      </c>
    </row>
    <row r="1795" spans="1:16" x14ac:dyDescent="0.35">
      <c r="A1795" s="1">
        <v>43434</v>
      </c>
      <c r="B1795">
        <v>1</v>
      </c>
      <c r="C1795">
        <v>3.01</v>
      </c>
      <c r="D1795">
        <v>1</v>
      </c>
      <c r="E1795">
        <v>22.4</v>
      </c>
      <c r="F1795">
        <v>3</v>
      </c>
      <c r="G1795">
        <v>0</v>
      </c>
      <c r="H1795">
        <v>0</v>
      </c>
      <c r="I1795">
        <v>2.5</v>
      </c>
      <c r="J1795">
        <v>2018</v>
      </c>
      <c r="K1795">
        <v>11</v>
      </c>
      <c r="L1795" t="s">
        <v>12</v>
      </c>
      <c r="M1795">
        <f>SUM(Pharma_Sales_Data[[#This Row],[M01AB]:[R06]])</f>
        <v>32.909999999999997</v>
      </c>
      <c r="N1795" s="2">
        <f>Pharma_Sales_Data[[#This Row],[Total Drug Sales]]*150</f>
        <v>4936.4999999999991</v>
      </c>
      <c r="O1795" s="2">
        <f>Pharma_Sales_Data[[#This Row],[Total Revenue]]*0.3</f>
        <v>1480.9499999999996</v>
      </c>
      <c r="P1795" t="str">
        <f>IF(Pharma_Sales_Data[[#This Row],[Total Revenue]]&gt;20000,"High Value", IF(Pharma_Sales_Data[[#This Row],[Total Revenue]]&gt;=10000,"Medium Value","Low Value"))</f>
        <v>Low Value</v>
      </c>
    </row>
    <row r="1796" spans="1:16" x14ac:dyDescent="0.35">
      <c r="A1796" s="1">
        <v>43435</v>
      </c>
      <c r="B1796">
        <v>7</v>
      </c>
      <c r="C1796">
        <v>8.7789999999999999</v>
      </c>
      <c r="D1796">
        <v>2.0499999999999998</v>
      </c>
      <c r="E1796">
        <v>41</v>
      </c>
      <c r="F1796">
        <v>7</v>
      </c>
      <c r="G1796">
        <v>3</v>
      </c>
      <c r="H1796">
        <v>13</v>
      </c>
      <c r="I1796">
        <v>2</v>
      </c>
      <c r="J1796">
        <v>2018</v>
      </c>
      <c r="K1796">
        <v>12</v>
      </c>
      <c r="L1796" t="s">
        <v>13</v>
      </c>
      <c r="M1796">
        <f>SUM(Pharma_Sales_Data[[#This Row],[M01AB]:[R06]])</f>
        <v>83.829000000000008</v>
      </c>
      <c r="N1796" s="2">
        <f>Pharma_Sales_Data[[#This Row],[Total Drug Sales]]*150</f>
        <v>12574.35</v>
      </c>
      <c r="O1796" s="2">
        <f>Pharma_Sales_Data[[#This Row],[Total Revenue]]*0.3</f>
        <v>3772.3049999999998</v>
      </c>
      <c r="P1796" t="str">
        <f>IF(Pharma_Sales_Data[[#This Row],[Total Revenue]]&gt;20000,"High Value", IF(Pharma_Sales_Data[[#This Row],[Total Revenue]]&gt;=10000,"Medium Value","Low Value"))</f>
        <v>Medium Value</v>
      </c>
    </row>
    <row r="1797" spans="1:16" x14ac:dyDescent="0.35">
      <c r="A1797" s="1">
        <v>43436</v>
      </c>
      <c r="B1797">
        <v>3.17</v>
      </c>
      <c r="C1797">
        <v>5.7789999999999999</v>
      </c>
      <c r="D1797">
        <v>10</v>
      </c>
      <c r="E1797">
        <v>65.7</v>
      </c>
      <c r="F1797">
        <v>6</v>
      </c>
      <c r="G1797">
        <v>0</v>
      </c>
      <c r="H1797">
        <v>27</v>
      </c>
      <c r="I1797">
        <v>8</v>
      </c>
      <c r="J1797">
        <v>2018</v>
      </c>
      <c r="K1797">
        <v>12</v>
      </c>
      <c r="L1797" t="s">
        <v>14</v>
      </c>
      <c r="M1797">
        <f>SUM(Pharma_Sales_Data[[#This Row],[M01AB]:[R06]])</f>
        <v>125.649</v>
      </c>
      <c r="N1797" s="2">
        <f>Pharma_Sales_Data[[#This Row],[Total Drug Sales]]*150</f>
        <v>18847.349999999999</v>
      </c>
      <c r="O1797" s="2">
        <f>Pharma_Sales_Data[[#This Row],[Total Revenue]]*0.3</f>
        <v>5654.204999999999</v>
      </c>
      <c r="P1797" t="str">
        <f>IF(Pharma_Sales_Data[[#This Row],[Total Revenue]]&gt;20000,"High Value", IF(Pharma_Sales_Data[[#This Row],[Total Revenue]]&gt;=10000,"Medium Value","Low Value"))</f>
        <v>Medium Value</v>
      </c>
    </row>
    <row r="1798" spans="1:16" x14ac:dyDescent="0.35">
      <c r="A1798" s="1">
        <v>43437</v>
      </c>
      <c r="B1798">
        <v>6</v>
      </c>
      <c r="C1798">
        <v>5.0830000000000002</v>
      </c>
      <c r="D1798">
        <v>2.1</v>
      </c>
      <c r="E1798">
        <v>44</v>
      </c>
      <c r="F1798">
        <v>13</v>
      </c>
      <c r="G1798">
        <v>0</v>
      </c>
      <c r="H1798">
        <v>13</v>
      </c>
      <c r="I1798">
        <v>1</v>
      </c>
      <c r="J1798">
        <v>2018</v>
      </c>
      <c r="K1798">
        <v>12</v>
      </c>
      <c r="L1798" t="s">
        <v>15</v>
      </c>
      <c r="M1798">
        <f>SUM(Pharma_Sales_Data[[#This Row],[M01AB]:[R06]])</f>
        <v>84.182999999999993</v>
      </c>
      <c r="N1798" s="2">
        <f>Pharma_Sales_Data[[#This Row],[Total Drug Sales]]*150</f>
        <v>12627.449999999999</v>
      </c>
      <c r="O1798" s="2">
        <f>Pharma_Sales_Data[[#This Row],[Total Revenue]]*0.3</f>
        <v>3788.2349999999997</v>
      </c>
      <c r="P1798" t="str">
        <f>IF(Pharma_Sales_Data[[#This Row],[Total Revenue]]&gt;20000,"High Value", IF(Pharma_Sales_Data[[#This Row],[Total Revenue]]&gt;=10000,"Medium Value","Low Value"))</f>
        <v>Medium Value</v>
      </c>
    </row>
    <row r="1799" spans="1:16" x14ac:dyDescent="0.35">
      <c r="A1799" s="1">
        <v>43438</v>
      </c>
      <c r="B1799">
        <v>2.5</v>
      </c>
      <c r="C1799">
        <v>3</v>
      </c>
      <c r="D1799">
        <v>3</v>
      </c>
      <c r="E1799">
        <v>32.200000000000003</v>
      </c>
      <c r="F1799">
        <v>11</v>
      </c>
      <c r="G1799">
        <v>0</v>
      </c>
      <c r="H1799">
        <v>5</v>
      </c>
      <c r="I1799">
        <v>3</v>
      </c>
      <c r="J1799">
        <v>2018</v>
      </c>
      <c r="K1799">
        <v>12</v>
      </c>
      <c r="L1799" t="s">
        <v>16</v>
      </c>
      <c r="M1799">
        <f>SUM(Pharma_Sales_Data[[#This Row],[M01AB]:[R06]])</f>
        <v>59.7</v>
      </c>
      <c r="N1799" s="2">
        <f>Pharma_Sales_Data[[#This Row],[Total Drug Sales]]*150</f>
        <v>8955</v>
      </c>
      <c r="O1799" s="2">
        <f>Pharma_Sales_Data[[#This Row],[Total Revenue]]*0.3</f>
        <v>2686.5</v>
      </c>
      <c r="P1799" t="str">
        <f>IF(Pharma_Sales_Data[[#This Row],[Total Revenue]]&gt;20000,"High Value", IF(Pharma_Sales_Data[[#This Row],[Total Revenue]]&gt;=10000,"Medium Value","Low Value"))</f>
        <v>Low Value</v>
      </c>
    </row>
    <row r="1800" spans="1:16" x14ac:dyDescent="0.35">
      <c r="A1800" s="1">
        <v>43439</v>
      </c>
      <c r="B1800">
        <v>5.33</v>
      </c>
      <c r="C1800">
        <v>3.726</v>
      </c>
      <c r="D1800">
        <v>3.5</v>
      </c>
      <c r="E1800">
        <v>41.3</v>
      </c>
      <c r="F1800">
        <v>13</v>
      </c>
      <c r="G1800">
        <v>0</v>
      </c>
      <c r="H1800">
        <v>15</v>
      </c>
      <c r="I1800">
        <v>2</v>
      </c>
      <c r="J1800">
        <v>2018</v>
      </c>
      <c r="K1800">
        <v>12</v>
      </c>
      <c r="L1800" t="s">
        <v>17</v>
      </c>
      <c r="M1800">
        <f>SUM(Pharma_Sales_Data[[#This Row],[M01AB]:[R06]])</f>
        <v>83.855999999999995</v>
      </c>
      <c r="N1800" s="2">
        <f>Pharma_Sales_Data[[#This Row],[Total Drug Sales]]*150</f>
        <v>12578.4</v>
      </c>
      <c r="O1800" s="2">
        <f>Pharma_Sales_Data[[#This Row],[Total Revenue]]*0.3</f>
        <v>3773.5199999999995</v>
      </c>
      <c r="P1800" t="str">
        <f>IF(Pharma_Sales_Data[[#This Row],[Total Revenue]]&gt;20000,"High Value", IF(Pharma_Sales_Data[[#This Row],[Total Revenue]]&gt;=10000,"Medium Value","Low Value"))</f>
        <v>Medium Value</v>
      </c>
    </row>
    <row r="1801" spans="1:16" x14ac:dyDescent="0.35">
      <c r="A1801" s="1">
        <v>43440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2018</v>
      </c>
      <c r="K1801">
        <v>12</v>
      </c>
      <c r="L1801" t="s">
        <v>11</v>
      </c>
      <c r="M1801">
        <f>SUM(Pharma_Sales_Data[[#This Row],[M01AB]:[R06]])</f>
        <v>0</v>
      </c>
      <c r="N1801" s="2">
        <f>Pharma_Sales_Data[[#This Row],[Total Drug Sales]]*150</f>
        <v>0</v>
      </c>
      <c r="O1801" s="2">
        <f>Pharma_Sales_Data[[#This Row],[Total Revenue]]*0.3</f>
        <v>0</v>
      </c>
      <c r="P1801" t="str">
        <f>IF(Pharma_Sales_Data[[#This Row],[Total Revenue]]&gt;20000,"High Value", IF(Pharma_Sales_Data[[#This Row],[Total Revenue]]&gt;=10000,"Medium Value","Low Value"))</f>
        <v>Low Value</v>
      </c>
    </row>
    <row r="1802" spans="1:16" x14ac:dyDescent="0.35">
      <c r="A1802" s="1">
        <v>43441</v>
      </c>
      <c r="B1802">
        <v>5</v>
      </c>
      <c r="C1802">
        <v>3.01</v>
      </c>
      <c r="D1802">
        <v>3</v>
      </c>
      <c r="E1802">
        <v>47.4</v>
      </c>
      <c r="F1802">
        <v>14</v>
      </c>
      <c r="G1802">
        <v>0</v>
      </c>
      <c r="H1802">
        <v>12</v>
      </c>
      <c r="I1802">
        <v>3</v>
      </c>
      <c r="J1802">
        <v>2018</v>
      </c>
      <c r="K1802">
        <v>12</v>
      </c>
      <c r="L1802" t="s">
        <v>12</v>
      </c>
      <c r="M1802">
        <f>SUM(Pharma_Sales_Data[[#This Row],[M01AB]:[R06]])</f>
        <v>87.41</v>
      </c>
      <c r="N1802" s="2">
        <f>Pharma_Sales_Data[[#This Row],[Total Drug Sales]]*150</f>
        <v>13111.5</v>
      </c>
      <c r="O1802" s="2">
        <f>Pharma_Sales_Data[[#This Row],[Total Revenue]]*0.3</f>
        <v>3933.45</v>
      </c>
      <c r="P1802" t="str">
        <f>IF(Pharma_Sales_Data[[#This Row],[Total Revenue]]&gt;20000,"High Value", IF(Pharma_Sales_Data[[#This Row],[Total Revenue]]&gt;=10000,"Medium Value","Low Value"))</f>
        <v>Medium Value</v>
      </c>
    </row>
    <row r="1803" spans="1:16" x14ac:dyDescent="0.35">
      <c r="A1803" s="1">
        <v>43442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2018</v>
      </c>
      <c r="K1803">
        <v>12</v>
      </c>
      <c r="L1803" t="s">
        <v>13</v>
      </c>
      <c r="M1803">
        <f>SUM(Pharma_Sales_Data[[#This Row],[M01AB]:[R06]])</f>
        <v>0</v>
      </c>
      <c r="N1803" s="2">
        <f>Pharma_Sales_Data[[#This Row],[Total Drug Sales]]*150</f>
        <v>0</v>
      </c>
      <c r="O1803" s="2">
        <f>Pharma_Sales_Data[[#This Row],[Total Revenue]]*0.3</f>
        <v>0</v>
      </c>
      <c r="P1803" t="str">
        <f>IF(Pharma_Sales_Data[[#This Row],[Total Revenue]]&gt;20000,"High Value", IF(Pharma_Sales_Data[[#This Row],[Total Revenue]]&gt;=10000,"Medium Value","Low Value"))</f>
        <v>Low Value</v>
      </c>
    </row>
    <row r="1804" spans="1:16" x14ac:dyDescent="0.35">
      <c r="A1804" s="1">
        <v>43443</v>
      </c>
      <c r="B1804">
        <v>4.66</v>
      </c>
      <c r="C1804">
        <v>6.69</v>
      </c>
      <c r="D1804">
        <v>4.0999999999999996</v>
      </c>
      <c r="E1804">
        <v>57.7</v>
      </c>
      <c r="F1804">
        <v>9</v>
      </c>
      <c r="G1804">
        <v>0</v>
      </c>
      <c r="H1804">
        <v>11</v>
      </c>
      <c r="I1804">
        <v>0</v>
      </c>
      <c r="J1804">
        <v>2018</v>
      </c>
      <c r="K1804">
        <v>12</v>
      </c>
      <c r="L1804" t="s">
        <v>14</v>
      </c>
      <c r="M1804">
        <f>SUM(Pharma_Sales_Data[[#This Row],[M01AB]:[R06]])</f>
        <v>93.15</v>
      </c>
      <c r="N1804" s="2">
        <f>Pharma_Sales_Data[[#This Row],[Total Drug Sales]]*150</f>
        <v>13972.5</v>
      </c>
      <c r="O1804" s="2">
        <f>Pharma_Sales_Data[[#This Row],[Total Revenue]]*0.3</f>
        <v>4191.75</v>
      </c>
      <c r="P1804" t="str">
        <f>IF(Pharma_Sales_Data[[#This Row],[Total Revenue]]&gt;20000,"High Value", IF(Pharma_Sales_Data[[#This Row],[Total Revenue]]&gt;=10000,"Medium Value","Low Value"))</f>
        <v>Medium Value</v>
      </c>
    </row>
    <row r="1805" spans="1:16" x14ac:dyDescent="0.35">
      <c r="A1805" s="1">
        <v>43444</v>
      </c>
      <c r="B1805">
        <v>4</v>
      </c>
      <c r="C1805">
        <v>5</v>
      </c>
      <c r="D1805">
        <v>1.5</v>
      </c>
      <c r="E1805">
        <v>23.8</v>
      </c>
      <c r="F1805">
        <v>12</v>
      </c>
      <c r="G1805">
        <v>1</v>
      </c>
      <c r="H1805">
        <v>7</v>
      </c>
      <c r="I1805">
        <v>1</v>
      </c>
      <c r="J1805">
        <v>2018</v>
      </c>
      <c r="K1805">
        <v>12</v>
      </c>
      <c r="L1805" t="s">
        <v>15</v>
      </c>
      <c r="M1805">
        <f>SUM(Pharma_Sales_Data[[#This Row],[M01AB]:[R06]])</f>
        <v>55.3</v>
      </c>
      <c r="N1805" s="2">
        <f>Pharma_Sales_Data[[#This Row],[Total Drug Sales]]*150</f>
        <v>8295</v>
      </c>
      <c r="O1805" s="2">
        <f>Pharma_Sales_Data[[#This Row],[Total Revenue]]*0.3</f>
        <v>2488.5</v>
      </c>
      <c r="P1805" t="str">
        <f>IF(Pharma_Sales_Data[[#This Row],[Total Revenue]]&gt;20000,"High Value", IF(Pharma_Sales_Data[[#This Row],[Total Revenue]]&gt;=10000,"Medium Value","Low Value"))</f>
        <v>Low Value</v>
      </c>
    </row>
    <row r="1806" spans="1:16" x14ac:dyDescent="0.35">
      <c r="A1806" s="1">
        <v>43445</v>
      </c>
      <c r="B1806">
        <v>4</v>
      </c>
      <c r="C1806">
        <v>4.01</v>
      </c>
      <c r="D1806">
        <v>8.35</v>
      </c>
      <c r="E1806">
        <v>28</v>
      </c>
      <c r="F1806">
        <v>12</v>
      </c>
      <c r="G1806">
        <v>3</v>
      </c>
      <c r="H1806">
        <v>2</v>
      </c>
      <c r="I1806">
        <v>5.5</v>
      </c>
      <c r="J1806">
        <v>2018</v>
      </c>
      <c r="K1806">
        <v>12</v>
      </c>
      <c r="L1806" t="s">
        <v>16</v>
      </c>
      <c r="M1806">
        <f>SUM(Pharma_Sales_Data[[#This Row],[M01AB]:[R06]])</f>
        <v>66.86</v>
      </c>
      <c r="N1806" s="2">
        <f>Pharma_Sales_Data[[#This Row],[Total Drug Sales]]*150</f>
        <v>10029</v>
      </c>
      <c r="O1806" s="2">
        <f>Pharma_Sales_Data[[#This Row],[Total Revenue]]*0.3</f>
        <v>3008.7</v>
      </c>
      <c r="P1806" t="str">
        <f>IF(Pharma_Sales_Data[[#This Row],[Total Revenue]]&gt;20000,"High Value", IF(Pharma_Sales_Data[[#This Row],[Total Revenue]]&gt;=10000,"Medium Value","Low Value"))</f>
        <v>Medium Value</v>
      </c>
    </row>
    <row r="1807" spans="1:16" x14ac:dyDescent="0.35">
      <c r="A1807" s="1">
        <v>43446</v>
      </c>
      <c r="B1807">
        <v>4.33</v>
      </c>
      <c r="C1807">
        <v>2</v>
      </c>
      <c r="D1807">
        <v>3</v>
      </c>
      <c r="E1807">
        <v>37.6</v>
      </c>
      <c r="F1807">
        <v>11</v>
      </c>
      <c r="G1807">
        <v>0</v>
      </c>
      <c r="H1807">
        <v>21</v>
      </c>
      <c r="I1807">
        <v>0</v>
      </c>
      <c r="J1807">
        <v>2018</v>
      </c>
      <c r="K1807">
        <v>12</v>
      </c>
      <c r="L1807" t="s">
        <v>17</v>
      </c>
      <c r="M1807">
        <f>SUM(Pharma_Sales_Data[[#This Row],[M01AB]:[R06]])</f>
        <v>78.930000000000007</v>
      </c>
      <c r="N1807" s="2">
        <f>Pharma_Sales_Data[[#This Row],[Total Drug Sales]]*150</f>
        <v>11839.500000000002</v>
      </c>
      <c r="O1807" s="2">
        <f>Pharma_Sales_Data[[#This Row],[Total Revenue]]*0.3</f>
        <v>3551.8500000000004</v>
      </c>
      <c r="P1807" t="str">
        <f>IF(Pharma_Sales_Data[[#This Row],[Total Revenue]]&gt;20000,"High Value", IF(Pharma_Sales_Data[[#This Row],[Total Revenue]]&gt;=10000,"Medium Value","Low Value"))</f>
        <v>Medium Value</v>
      </c>
    </row>
    <row r="1808" spans="1:16" x14ac:dyDescent="0.35">
      <c r="A1808" s="1">
        <v>43447</v>
      </c>
      <c r="B1808">
        <v>3.68</v>
      </c>
      <c r="C1808">
        <v>2.2429999999999999</v>
      </c>
      <c r="D1808">
        <v>3</v>
      </c>
      <c r="E1808">
        <v>47.5</v>
      </c>
      <c r="F1808">
        <v>6</v>
      </c>
      <c r="G1808">
        <v>0</v>
      </c>
      <c r="H1808">
        <v>6</v>
      </c>
      <c r="I1808">
        <v>0</v>
      </c>
      <c r="J1808">
        <v>2018</v>
      </c>
      <c r="K1808">
        <v>12</v>
      </c>
      <c r="L1808" t="s">
        <v>11</v>
      </c>
      <c r="M1808">
        <f>SUM(Pharma_Sales_Data[[#This Row],[M01AB]:[R06]])</f>
        <v>68.423000000000002</v>
      </c>
      <c r="N1808" s="2">
        <f>Pharma_Sales_Data[[#This Row],[Total Drug Sales]]*150</f>
        <v>10263.450000000001</v>
      </c>
      <c r="O1808" s="2">
        <f>Pharma_Sales_Data[[#This Row],[Total Revenue]]*0.3</f>
        <v>3079.0350000000003</v>
      </c>
      <c r="P1808" t="str">
        <f>IF(Pharma_Sales_Data[[#This Row],[Total Revenue]]&gt;20000,"High Value", IF(Pharma_Sales_Data[[#This Row],[Total Revenue]]&gt;=10000,"Medium Value","Low Value"))</f>
        <v>Medium Value</v>
      </c>
    </row>
    <row r="1809" spans="1:16" x14ac:dyDescent="0.35">
      <c r="A1809" s="1">
        <v>43448</v>
      </c>
      <c r="B1809">
        <v>2</v>
      </c>
      <c r="C1809">
        <v>2</v>
      </c>
      <c r="D1809">
        <v>0.2</v>
      </c>
      <c r="E1809">
        <v>23.4</v>
      </c>
      <c r="F1809">
        <v>2</v>
      </c>
      <c r="G1809">
        <v>1</v>
      </c>
      <c r="H1809">
        <v>29</v>
      </c>
      <c r="I1809">
        <v>1</v>
      </c>
      <c r="J1809">
        <v>2018</v>
      </c>
      <c r="K1809">
        <v>12</v>
      </c>
      <c r="L1809" t="s">
        <v>12</v>
      </c>
      <c r="M1809">
        <f>SUM(Pharma_Sales_Data[[#This Row],[M01AB]:[R06]])</f>
        <v>60.599999999999994</v>
      </c>
      <c r="N1809" s="2">
        <f>Pharma_Sales_Data[[#This Row],[Total Drug Sales]]*150</f>
        <v>9090</v>
      </c>
      <c r="O1809" s="2">
        <f>Pharma_Sales_Data[[#This Row],[Total Revenue]]*0.3</f>
        <v>2727</v>
      </c>
      <c r="P1809" t="str">
        <f>IF(Pharma_Sales_Data[[#This Row],[Total Revenue]]&gt;20000,"High Value", IF(Pharma_Sales_Data[[#This Row],[Total Revenue]]&gt;=10000,"Medium Value","Low Value"))</f>
        <v>Low Value</v>
      </c>
    </row>
    <row r="1810" spans="1:16" x14ac:dyDescent="0.35">
      <c r="A1810" s="1">
        <v>43449</v>
      </c>
      <c r="B1810">
        <v>4</v>
      </c>
      <c r="C1810">
        <v>2.34</v>
      </c>
      <c r="D1810">
        <v>3.45</v>
      </c>
      <c r="E1810">
        <v>62.4</v>
      </c>
      <c r="F1810">
        <v>5</v>
      </c>
      <c r="G1810">
        <v>0</v>
      </c>
      <c r="H1810">
        <v>26</v>
      </c>
      <c r="I1810">
        <v>2.2999999999999998</v>
      </c>
      <c r="J1810">
        <v>2018</v>
      </c>
      <c r="K1810">
        <v>12</v>
      </c>
      <c r="L1810" t="s">
        <v>13</v>
      </c>
      <c r="M1810">
        <f>SUM(Pharma_Sales_Data[[#This Row],[M01AB]:[R06]])</f>
        <v>105.49</v>
      </c>
      <c r="N1810" s="2">
        <f>Pharma_Sales_Data[[#This Row],[Total Drug Sales]]*150</f>
        <v>15823.5</v>
      </c>
      <c r="O1810" s="2">
        <f>Pharma_Sales_Data[[#This Row],[Total Revenue]]*0.3</f>
        <v>4747.05</v>
      </c>
      <c r="P1810" t="str">
        <f>IF(Pharma_Sales_Data[[#This Row],[Total Revenue]]&gt;20000,"High Value", IF(Pharma_Sales_Data[[#This Row],[Total Revenue]]&gt;=10000,"Medium Value","Low Value"))</f>
        <v>Medium Value</v>
      </c>
    </row>
    <row r="1811" spans="1:16" x14ac:dyDescent="0.35">
      <c r="A1811" s="1">
        <v>43450</v>
      </c>
      <c r="B1811">
        <v>1.33</v>
      </c>
      <c r="C1811">
        <v>4.32</v>
      </c>
      <c r="D1811">
        <v>0.2</v>
      </c>
      <c r="E1811">
        <v>27</v>
      </c>
      <c r="F1811">
        <v>3</v>
      </c>
      <c r="G1811">
        <v>0</v>
      </c>
      <c r="H1811">
        <v>7</v>
      </c>
      <c r="I1811">
        <v>1</v>
      </c>
      <c r="J1811">
        <v>2018</v>
      </c>
      <c r="K1811">
        <v>12</v>
      </c>
      <c r="L1811" t="s">
        <v>14</v>
      </c>
      <c r="M1811">
        <f>SUM(Pharma_Sales_Data[[#This Row],[M01AB]:[R06]])</f>
        <v>43.85</v>
      </c>
      <c r="N1811" s="2">
        <f>Pharma_Sales_Data[[#This Row],[Total Drug Sales]]*150</f>
        <v>6577.5</v>
      </c>
      <c r="O1811" s="2">
        <f>Pharma_Sales_Data[[#This Row],[Total Revenue]]*0.3</f>
        <v>1973.25</v>
      </c>
      <c r="P1811" t="str">
        <f>IF(Pharma_Sales_Data[[#This Row],[Total Revenue]]&gt;20000,"High Value", IF(Pharma_Sales_Data[[#This Row],[Total Revenue]]&gt;=10000,"Medium Value","Low Value"))</f>
        <v>Low Value</v>
      </c>
    </row>
    <row r="1812" spans="1:16" x14ac:dyDescent="0.35">
      <c r="A1812" s="1">
        <v>43451</v>
      </c>
      <c r="B1812">
        <v>6.34</v>
      </c>
      <c r="C1812">
        <v>2.0099999999999998</v>
      </c>
      <c r="D1812">
        <v>5</v>
      </c>
      <c r="E1812">
        <v>53</v>
      </c>
      <c r="F1812">
        <v>6</v>
      </c>
      <c r="G1812">
        <v>1</v>
      </c>
      <c r="H1812">
        <v>22</v>
      </c>
      <c r="I1812">
        <v>2</v>
      </c>
      <c r="J1812">
        <v>2018</v>
      </c>
      <c r="K1812">
        <v>12</v>
      </c>
      <c r="L1812" t="s">
        <v>15</v>
      </c>
      <c r="M1812">
        <f>SUM(Pharma_Sales_Data[[#This Row],[M01AB]:[R06]])</f>
        <v>97.35</v>
      </c>
      <c r="N1812" s="2">
        <f>Pharma_Sales_Data[[#This Row],[Total Drug Sales]]*150</f>
        <v>14602.5</v>
      </c>
      <c r="O1812" s="2">
        <f>Pharma_Sales_Data[[#This Row],[Total Revenue]]*0.3</f>
        <v>4380.75</v>
      </c>
      <c r="P1812" t="str">
        <f>IF(Pharma_Sales_Data[[#This Row],[Total Revenue]]&gt;20000,"High Value", IF(Pharma_Sales_Data[[#This Row],[Total Revenue]]&gt;=10000,"Medium Value","Low Value"))</f>
        <v>Medium Value</v>
      </c>
    </row>
    <row r="1813" spans="1:16" x14ac:dyDescent="0.35">
      <c r="A1813" s="1">
        <v>43452</v>
      </c>
      <c r="B1813">
        <v>0.33</v>
      </c>
      <c r="C1813">
        <v>2.4729999999999999</v>
      </c>
      <c r="D1813">
        <v>1</v>
      </c>
      <c r="E1813">
        <v>34.5</v>
      </c>
      <c r="F1813">
        <v>12</v>
      </c>
      <c r="G1813">
        <v>3</v>
      </c>
      <c r="H1813">
        <v>9</v>
      </c>
      <c r="I1813">
        <v>2</v>
      </c>
      <c r="J1813">
        <v>2018</v>
      </c>
      <c r="K1813">
        <v>12</v>
      </c>
      <c r="L1813" t="s">
        <v>16</v>
      </c>
      <c r="M1813">
        <f>SUM(Pharma_Sales_Data[[#This Row],[M01AB]:[R06]])</f>
        <v>64.302999999999997</v>
      </c>
      <c r="N1813" s="2">
        <f>Pharma_Sales_Data[[#This Row],[Total Drug Sales]]*150</f>
        <v>9645.4499999999989</v>
      </c>
      <c r="O1813" s="2">
        <f>Pharma_Sales_Data[[#This Row],[Total Revenue]]*0.3</f>
        <v>2893.6349999999998</v>
      </c>
      <c r="P1813" t="str">
        <f>IF(Pharma_Sales_Data[[#This Row],[Total Revenue]]&gt;20000,"High Value", IF(Pharma_Sales_Data[[#This Row],[Total Revenue]]&gt;=10000,"Medium Value","Low Value"))</f>
        <v>Low Value</v>
      </c>
    </row>
    <row r="1814" spans="1:16" x14ac:dyDescent="0.35">
      <c r="A1814" s="1">
        <v>43453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2018</v>
      </c>
      <c r="K1814">
        <v>12</v>
      </c>
      <c r="L1814" t="s">
        <v>17</v>
      </c>
      <c r="M1814">
        <f>SUM(Pharma_Sales_Data[[#This Row],[M01AB]:[R06]])</f>
        <v>0</v>
      </c>
      <c r="N1814" s="2">
        <f>Pharma_Sales_Data[[#This Row],[Total Drug Sales]]*150</f>
        <v>0</v>
      </c>
      <c r="O1814" s="2">
        <f>Pharma_Sales_Data[[#This Row],[Total Revenue]]*0.3</f>
        <v>0</v>
      </c>
      <c r="P1814" t="str">
        <f>IF(Pharma_Sales_Data[[#This Row],[Total Revenue]]&gt;20000,"High Value", IF(Pharma_Sales_Data[[#This Row],[Total Revenue]]&gt;=10000,"Medium Value","Low Value"))</f>
        <v>Low Value</v>
      </c>
    </row>
    <row r="1815" spans="1:16" x14ac:dyDescent="0.35">
      <c r="A1815" s="1">
        <v>43454</v>
      </c>
      <c r="B1815">
        <v>8.34</v>
      </c>
      <c r="C1815">
        <v>1.66</v>
      </c>
      <c r="D1815">
        <v>1</v>
      </c>
      <c r="E1815">
        <v>27</v>
      </c>
      <c r="F1815">
        <v>12</v>
      </c>
      <c r="G1815">
        <v>3</v>
      </c>
      <c r="H1815">
        <v>1</v>
      </c>
      <c r="I1815">
        <v>0</v>
      </c>
      <c r="J1815">
        <v>2018</v>
      </c>
      <c r="K1815">
        <v>12</v>
      </c>
      <c r="L1815" t="s">
        <v>11</v>
      </c>
      <c r="M1815">
        <f>SUM(Pharma_Sales_Data[[#This Row],[M01AB]:[R06]])</f>
        <v>54</v>
      </c>
      <c r="N1815" s="2">
        <f>Pharma_Sales_Data[[#This Row],[Total Drug Sales]]*150</f>
        <v>8100</v>
      </c>
      <c r="O1815" s="2">
        <f>Pharma_Sales_Data[[#This Row],[Total Revenue]]*0.3</f>
        <v>2430</v>
      </c>
      <c r="P1815" t="str">
        <f>IF(Pharma_Sales_Data[[#This Row],[Total Revenue]]&gt;20000,"High Value", IF(Pharma_Sales_Data[[#This Row],[Total Revenue]]&gt;=10000,"Medium Value","Low Value"))</f>
        <v>Low Value</v>
      </c>
    </row>
    <row r="1816" spans="1:16" x14ac:dyDescent="0.35">
      <c r="A1816" s="1">
        <v>43455</v>
      </c>
      <c r="B1816">
        <v>2</v>
      </c>
      <c r="C1816">
        <v>1.35</v>
      </c>
      <c r="D1816">
        <v>0</v>
      </c>
      <c r="E1816">
        <v>35</v>
      </c>
      <c r="F1816">
        <v>12</v>
      </c>
      <c r="G1816">
        <v>1</v>
      </c>
      <c r="H1816">
        <v>13</v>
      </c>
      <c r="I1816">
        <v>1</v>
      </c>
      <c r="J1816">
        <v>2018</v>
      </c>
      <c r="K1816">
        <v>12</v>
      </c>
      <c r="L1816" t="s">
        <v>12</v>
      </c>
      <c r="M1816">
        <f>SUM(Pharma_Sales_Data[[#This Row],[M01AB]:[R06]])</f>
        <v>65.349999999999994</v>
      </c>
      <c r="N1816" s="2">
        <f>Pharma_Sales_Data[[#This Row],[Total Drug Sales]]*150</f>
        <v>9802.5</v>
      </c>
      <c r="O1816" s="2">
        <f>Pharma_Sales_Data[[#This Row],[Total Revenue]]*0.3</f>
        <v>2940.75</v>
      </c>
      <c r="P1816" t="str">
        <f>IF(Pharma_Sales_Data[[#This Row],[Total Revenue]]&gt;20000,"High Value", IF(Pharma_Sales_Data[[#This Row],[Total Revenue]]&gt;=10000,"Medium Value","Low Value"))</f>
        <v>Low Value</v>
      </c>
    </row>
    <row r="1817" spans="1:16" x14ac:dyDescent="0.35">
      <c r="A1817" s="1">
        <v>43456</v>
      </c>
      <c r="B1817">
        <v>8.34</v>
      </c>
      <c r="C1817">
        <v>3.34</v>
      </c>
      <c r="D1817">
        <v>4.5</v>
      </c>
      <c r="E1817">
        <v>43.4</v>
      </c>
      <c r="F1817">
        <v>3</v>
      </c>
      <c r="G1817">
        <v>1</v>
      </c>
      <c r="H1817">
        <v>0</v>
      </c>
      <c r="I1817">
        <v>0</v>
      </c>
      <c r="J1817">
        <v>2018</v>
      </c>
      <c r="K1817">
        <v>12</v>
      </c>
      <c r="L1817" t="s">
        <v>13</v>
      </c>
      <c r="M1817">
        <f>SUM(Pharma_Sales_Data[[#This Row],[M01AB]:[R06]])</f>
        <v>63.58</v>
      </c>
      <c r="N1817" s="2">
        <f>Pharma_Sales_Data[[#This Row],[Total Drug Sales]]*150</f>
        <v>9537</v>
      </c>
      <c r="O1817" s="2">
        <f>Pharma_Sales_Data[[#This Row],[Total Revenue]]*0.3</f>
        <v>2861.1</v>
      </c>
      <c r="P1817" t="str">
        <f>IF(Pharma_Sales_Data[[#This Row],[Total Revenue]]&gt;20000,"High Value", IF(Pharma_Sales_Data[[#This Row],[Total Revenue]]&gt;=10000,"Medium Value","Low Value"))</f>
        <v>Low Value</v>
      </c>
    </row>
    <row r="1818" spans="1:16" x14ac:dyDescent="0.35">
      <c r="A1818" s="1">
        <v>43457</v>
      </c>
      <c r="B1818">
        <v>12.33</v>
      </c>
      <c r="C1818">
        <v>6.4059999999999997</v>
      </c>
      <c r="D1818">
        <v>2.2999999999999998</v>
      </c>
      <c r="E1818">
        <v>47.7</v>
      </c>
      <c r="F1818">
        <v>8</v>
      </c>
      <c r="G1818">
        <v>0</v>
      </c>
      <c r="H1818">
        <v>13</v>
      </c>
      <c r="I1818">
        <v>4</v>
      </c>
      <c r="J1818">
        <v>2018</v>
      </c>
      <c r="K1818">
        <v>12</v>
      </c>
      <c r="L1818" t="s">
        <v>14</v>
      </c>
      <c r="M1818">
        <f>SUM(Pharma_Sales_Data[[#This Row],[M01AB]:[R06]])</f>
        <v>93.736000000000004</v>
      </c>
      <c r="N1818" s="2">
        <f>Pharma_Sales_Data[[#This Row],[Total Drug Sales]]*150</f>
        <v>14060.400000000001</v>
      </c>
      <c r="O1818" s="2">
        <f>Pharma_Sales_Data[[#This Row],[Total Revenue]]*0.3</f>
        <v>4218.12</v>
      </c>
      <c r="P1818" t="str">
        <f>IF(Pharma_Sales_Data[[#This Row],[Total Revenue]]&gt;20000,"High Value", IF(Pharma_Sales_Data[[#This Row],[Total Revenue]]&gt;=10000,"Medium Value","Low Value"))</f>
        <v>Medium Value</v>
      </c>
    </row>
    <row r="1819" spans="1:16" x14ac:dyDescent="0.35">
      <c r="A1819" s="1">
        <v>43458</v>
      </c>
      <c r="B1819">
        <v>8.67</v>
      </c>
      <c r="C1819">
        <v>4.3499999999999996</v>
      </c>
      <c r="D1819">
        <v>1</v>
      </c>
      <c r="E1819">
        <v>32</v>
      </c>
      <c r="F1819">
        <v>20</v>
      </c>
      <c r="G1819">
        <v>0</v>
      </c>
      <c r="H1819">
        <v>8</v>
      </c>
      <c r="I1819">
        <v>1</v>
      </c>
      <c r="J1819">
        <v>2018</v>
      </c>
      <c r="K1819">
        <v>12</v>
      </c>
      <c r="L1819" t="s">
        <v>15</v>
      </c>
      <c r="M1819">
        <f>SUM(Pharma_Sales_Data[[#This Row],[M01AB]:[R06]])</f>
        <v>75.02</v>
      </c>
      <c r="N1819" s="2">
        <f>Pharma_Sales_Data[[#This Row],[Total Drug Sales]]*150</f>
        <v>11253</v>
      </c>
      <c r="O1819" s="2">
        <f>Pharma_Sales_Data[[#This Row],[Total Revenue]]*0.3</f>
        <v>3375.9</v>
      </c>
      <c r="P1819" t="str">
        <f>IF(Pharma_Sales_Data[[#This Row],[Total Revenue]]&gt;20000,"High Value", IF(Pharma_Sales_Data[[#This Row],[Total Revenue]]&gt;=10000,"Medium Value","Low Value"))</f>
        <v>Medium Value</v>
      </c>
    </row>
    <row r="1820" spans="1:16" x14ac:dyDescent="0.35">
      <c r="A1820" s="1">
        <v>43459</v>
      </c>
      <c r="B1820">
        <v>8</v>
      </c>
      <c r="C1820">
        <v>6.0759999999999996</v>
      </c>
      <c r="D1820">
        <v>5.0999999999999996</v>
      </c>
      <c r="E1820">
        <v>42.6</v>
      </c>
      <c r="F1820">
        <v>9</v>
      </c>
      <c r="G1820">
        <v>3</v>
      </c>
      <c r="H1820">
        <v>21</v>
      </c>
      <c r="I1820">
        <v>2</v>
      </c>
      <c r="J1820">
        <v>2018</v>
      </c>
      <c r="K1820">
        <v>12</v>
      </c>
      <c r="L1820" t="s">
        <v>16</v>
      </c>
      <c r="M1820">
        <f>SUM(Pharma_Sales_Data[[#This Row],[M01AB]:[R06]])</f>
        <v>96.77600000000001</v>
      </c>
      <c r="N1820" s="2">
        <f>Pharma_Sales_Data[[#This Row],[Total Drug Sales]]*150</f>
        <v>14516.400000000001</v>
      </c>
      <c r="O1820" s="2">
        <f>Pharma_Sales_Data[[#This Row],[Total Revenue]]*0.3</f>
        <v>4354.92</v>
      </c>
      <c r="P1820" t="str">
        <f>IF(Pharma_Sales_Data[[#This Row],[Total Revenue]]&gt;20000,"High Value", IF(Pharma_Sales_Data[[#This Row],[Total Revenue]]&gt;=10000,"Medium Value","Low Value"))</f>
        <v>Medium Value</v>
      </c>
    </row>
    <row r="1821" spans="1:16" x14ac:dyDescent="0.35">
      <c r="A1821" s="1">
        <v>43460</v>
      </c>
      <c r="B1821">
        <v>1</v>
      </c>
      <c r="C1821">
        <v>0.66</v>
      </c>
      <c r="D1821">
        <v>2.15</v>
      </c>
      <c r="E1821">
        <v>50</v>
      </c>
      <c r="F1821">
        <v>8</v>
      </c>
      <c r="G1821">
        <v>1</v>
      </c>
      <c r="H1821">
        <v>13</v>
      </c>
      <c r="I1821">
        <v>2</v>
      </c>
      <c r="J1821">
        <v>2018</v>
      </c>
      <c r="K1821">
        <v>12</v>
      </c>
      <c r="L1821" t="s">
        <v>17</v>
      </c>
      <c r="M1821">
        <f>SUM(Pharma_Sales_Data[[#This Row],[M01AB]:[R06]])</f>
        <v>77.81</v>
      </c>
      <c r="N1821" s="2">
        <f>Pharma_Sales_Data[[#This Row],[Total Drug Sales]]*150</f>
        <v>11671.5</v>
      </c>
      <c r="O1821" s="2">
        <f>Pharma_Sales_Data[[#This Row],[Total Revenue]]*0.3</f>
        <v>3501.45</v>
      </c>
      <c r="P1821" t="str">
        <f>IF(Pharma_Sales_Data[[#This Row],[Total Revenue]]&gt;20000,"High Value", IF(Pharma_Sales_Data[[#This Row],[Total Revenue]]&gt;=10000,"Medium Value","Low Value"))</f>
        <v>Medium Value</v>
      </c>
    </row>
    <row r="1822" spans="1:16" x14ac:dyDescent="0.35">
      <c r="A1822" s="1">
        <v>43461</v>
      </c>
      <c r="B1822">
        <v>3.68</v>
      </c>
      <c r="C1822">
        <v>3.01</v>
      </c>
      <c r="D1822">
        <v>3.05</v>
      </c>
      <c r="E1822">
        <v>40.6</v>
      </c>
      <c r="F1822">
        <v>8</v>
      </c>
      <c r="G1822">
        <v>0</v>
      </c>
      <c r="H1822">
        <v>7</v>
      </c>
      <c r="I1822">
        <v>0</v>
      </c>
      <c r="J1822">
        <v>2018</v>
      </c>
      <c r="K1822">
        <v>12</v>
      </c>
      <c r="L1822" t="s">
        <v>11</v>
      </c>
      <c r="M1822">
        <f>SUM(Pharma_Sales_Data[[#This Row],[M01AB]:[R06]])</f>
        <v>65.34</v>
      </c>
      <c r="N1822" s="2">
        <f>Pharma_Sales_Data[[#This Row],[Total Drug Sales]]*150</f>
        <v>9801</v>
      </c>
      <c r="O1822" s="2">
        <f>Pharma_Sales_Data[[#This Row],[Total Revenue]]*0.3</f>
        <v>2940.2999999999997</v>
      </c>
      <c r="P1822" t="str">
        <f>IF(Pharma_Sales_Data[[#This Row],[Total Revenue]]&gt;20000,"High Value", IF(Pharma_Sales_Data[[#This Row],[Total Revenue]]&gt;=10000,"Medium Value","Low Value"))</f>
        <v>Low Value</v>
      </c>
    </row>
    <row r="1823" spans="1:16" x14ac:dyDescent="0.35">
      <c r="A1823" s="1">
        <v>43462</v>
      </c>
      <c r="B1823">
        <v>11.67</v>
      </c>
      <c r="C1823">
        <v>5.8449999999999998</v>
      </c>
      <c r="D1823">
        <v>1</v>
      </c>
      <c r="E1823">
        <v>56.4</v>
      </c>
      <c r="F1823">
        <v>11</v>
      </c>
      <c r="G1823">
        <v>6</v>
      </c>
      <c r="H1823">
        <v>9</v>
      </c>
      <c r="I1823">
        <v>0</v>
      </c>
      <c r="J1823">
        <v>2018</v>
      </c>
      <c r="K1823">
        <v>12</v>
      </c>
      <c r="L1823" t="s">
        <v>12</v>
      </c>
      <c r="M1823">
        <f>SUM(Pharma_Sales_Data[[#This Row],[M01AB]:[R06]])</f>
        <v>100.91499999999999</v>
      </c>
      <c r="N1823" s="2">
        <f>Pharma_Sales_Data[[#This Row],[Total Drug Sales]]*150</f>
        <v>15137.249999999998</v>
      </c>
      <c r="O1823" s="2">
        <f>Pharma_Sales_Data[[#This Row],[Total Revenue]]*0.3</f>
        <v>4541.1749999999993</v>
      </c>
      <c r="P1823" t="str">
        <f>IF(Pharma_Sales_Data[[#This Row],[Total Revenue]]&gt;20000,"High Value", IF(Pharma_Sales_Data[[#This Row],[Total Revenue]]&gt;=10000,"Medium Value","Low Value"))</f>
        <v>Medium Value</v>
      </c>
    </row>
    <row r="1824" spans="1:16" x14ac:dyDescent="0.35">
      <c r="A1824" s="1">
        <v>43463</v>
      </c>
      <c r="B1824">
        <v>6.68</v>
      </c>
      <c r="C1824">
        <v>5.6109999999999998</v>
      </c>
      <c r="D1824">
        <v>1</v>
      </c>
      <c r="E1824">
        <v>68.349999999999994</v>
      </c>
      <c r="F1824">
        <v>5</v>
      </c>
      <c r="G1824">
        <v>0</v>
      </c>
      <c r="H1824">
        <v>7</v>
      </c>
      <c r="I1824">
        <v>2</v>
      </c>
      <c r="J1824">
        <v>2018</v>
      </c>
      <c r="K1824">
        <v>12</v>
      </c>
      <c r="L1824" t="s">
        <v>13</v>
      </c>
      <c r="M1824">
        <f>SUM(Pharma_Sales_Data[[#This Row],[M01AB]:[R06]])</f>
        <v>95.640999999999991</v>
      </c>
      <c r="N1824" s="2">
        <f>Pharma_Sales_Data[[#This Row],[Total Drug Sales]]*150</f>
        <v>14346.149999999998</v>
      </c>
      <c r="O1824" s="2">
        <f>Pharma_Sales_Data[[#This Row],[Total Revenue]]*0.3</f>
        <v>4303.8449999999993</v>
      </c>
      <c r="P1824" t="str">
        <f>IF(Pharma_Sales_Data[[#This Row],[Total Revenue]]&gt;20000,"High Value", IF(Pharma_Sales_Data[[#This Row],[Total Revenue]]&gt;=10000,"Medium Value","Low Value"))</f>
        <v>Medium Value</v>
      </c>
    </row>
    <row r="1825" spans="1:16" x14ac:dyDescent="0.35">
      <c r="A1825" s="1">
        <v>43464</v>
      </c>
      <c r="B1825">
        <v>5.33</v>
      </c>
      <c r="C1825">
        <v>7.593</v>
      </c>
      <c r="D1825">
        <v>5</v>
      </c>
      <c r="E1825">
        <v>59.9</v>
      </c>
      <c r="F1825">
        <v>6</v>
      </c>
      <c r="G1825">
        <v>0</v>
      </c>
      <c r="H1825">
        <v>31</v>
      </c>
      <c r="I1825">
        <v>3.3</v>
      </c>
      <c r="J1825">
        <v>2018</v>
      </c>
      <c r="K1825">
        <v>12</v>
      </c>
      <c r="L1825" t="s">
        <v>14</v>
      </c>
      <c r="M1825">
        <f>SUM(Pharma_Sales_Data[[#This Row],[M01AB]:[R06]])</f>
        <v>118.123</v>
      </c>
      <c r="N1825" s="2">
        <f>Pharma_Sales_Data[[#This Row],[Total Drug Sales]]*150</f>
        <v>17718.45</v>
      </c>
      <c r="O1825" s="2">
        <f>Pharma_Sales_Data[[#This Row],[Total Revenue]]*0.3</f>
        <v>5315.5349999999999</v>
      </c>
      <c r="P1825" t="str">
        <f>IF(Pharma_Sales_Data[[#This Row],[Total Revenue]]&gt;20000,"High Value", IF(Pharma_Sales_Data[[#This Row],[Total Revenue]]&gt;=10000,"Medium Value","Low Value"))</f>
        <v>Medium Value</v>
      </c>
    </row>
    <row r="1826" spans="1:16" x14ac:dyDescent="0.35">
      <c r="A1826" s="1">
        <v>43465</v>
      </c>
      <c r="B1826">
        <v>8</v>
      </c>
      <c r="C1826">
        <v>4.66</v>
      </c>
      <c r="D1826">
        <v>5.2</v>
      </c>
      <c r="E1826">
        <v>44.5</v>
      </c>
      <c r="F1826">
        <v>10</v>
      </c>
      <c r="G1826">
        <v>0</v>
      </c>
      <c r="H1826">
        <v>6</v>
      </c>
      <c r="I1826">
        <v>4</v>
      </c>
      <c r="J1826">
        <v>2018</v>
      </c>
      <c r="K1826">
        <v>12</v>
      </c>
      <c r="L1826" t="s">
        <v>15</v>
      </c>
      <c r="M1826">
        <f>SUM(Pharma_Sales_Data[[#This Row],[M01AB]:[R06]])</f>
        <v>82.36</v>
      </c>
      <c r="N1826" s="2">
        <f>Pharma_Sales_Data[[#This Row],[Total Drug Sales]]*150</f>
        <v>12354</v>
      </c>
      <c r="O1826" s="2">
        <f>Pharma_Sales_Data[[#This Row],[Total Revenue]]*0.3</f>
        <v>3706.2</v>
      </c>
      <c r="P1826" t="str">
        <f>IF(Pharma_Sales_Data[[#This Row],[Total Revenue]]&gt;20000,"High Value", IF(Pharma_Sales_Data[[#This Row],[Total Revenue]]&gt;=10000,"Medium Value","Low Value"))</f>
        <v>Medium Value</v>
      </c>
    </row>
    <row r="1827" spans="1:16" x14ac:dyDescent="0.35">
      <c r="A1827" s="1">
        <v>43466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2019</v>
      </c>
      <c r="K1827">
        <v>1</v>
      </c>
      <c r="L1827" t="s">
        <v>16</v>
      </c>
      <c r="M1827">
        <f>SUM(Pharma_Sales_Data[[#This Row],[M01AB]:[R06]])</f>
        <v>0</v>
      </c>
      <c r="N1827" s="2">
        <f>Pharma_Sales_Data[[#This Row],[Total Drug Sales]]*150</f>
        <v>0</v>
      </c>
      <c r="O1827" s="2">
        <f>Pharma_Sales_Data[[#This Row],[Total Revenue]]*0.3</f>
        <v>0</v>
      </c>
      <c r="P1827" t="str">
        <f>IF(Pharma_Sales_Data[[#This Row],[Total Revenue]]&gt;20000,"High Value", IF(Pharma_Sales_Data[[#This Row],[Total Revenue]]&gt;=10000,"Medium Value","Low Value"))</f>
        <v>Low Value</v>
      </c>
    </row>
    <row r="1828" spans="1:16" x14ac:dyDescent="0.35">
      <c r="A1828" s="1">
        <v>43467</v>
      </c>
      <c r="B1828">
        <v>5.33</v>
      </c>
      <c r="C1828">
        <v>4.3970000000000002</v>
      </c>
      <c r="D1828">
        <v>4.1500000000000004</v>
      </c>
      <c r="E1828">
        <v>36.799999999999997</v>
      </c>
      <c r="F1828">
        <v>4</v>
      </c>
      <c r="G1828">
        <v>0</v>
      </c>
      <c r="H1828">
        <v>9</v>
      </c>
      <c r="I1828">
        <v>2</v>
      </c>
      <c r="J1828">
        <v>2019</v>
      </c>
      <c r="K1828">
        <v>1</v>
      </c>
      <c r="L1828" t="s">
        <v>17</v>
      </c>
      <c r="M1828">
        <f>SUM(Pharma_Sales_Data[[#This Row],[M01AB]:[R06]])</f>
        <v>65.676999999999992</v>
      </c>
      <c r="N1828" s="2">
        <f>Pharma_Sales_Data[[#This Row],[Total Drug Sales]]*150</f>
        <v>9851.5499999999993</v>
      </c>
      <c r="O1828" s="2">
        <f>Pharma_Sales_Data[[#This Row],[Total Revenue]]*0.3</f>
        <v>2955.4649999999997</v>
      </c>
      <c r="P1828" t="str">
        <f>IF(Pharma_Sales_Data[[#This Row],[Total Revenue]]&gt;20000,"High Value", IF(Pharma_Sales_Data[[#This Row],[Total Revenue]]&gt;=10000,"Medium Value","Low Value"))</f>
        <v>Low Value</v>
      </c>
    </row>
    <row r="1829" spans="1:16" x14ac:dyDescent="0.35">
      <c r="A1829" s="1">
        <v>43468</v>
      </c>
      <c r="B1829">
        <v>4.33</v>
      </c>
      <c r="C1829">
        <v>4.8360000000000003</v>
      </c>
      <c r="D1829">
        <v>6.25</v>
      </c>
      <c r="E1829">
        <v>42.4</v>
      </c>
      <c r="F1829">
        <v>6</v>
      </c>
      <c r="G1829">
        <v>0</v>
      </c>
      <c r="H1829">
        <v>9</v>
      </c>
      <c r="I1829">
        <v>0</v>
      </c>
      <c r="J1829">
        <v>2019</v>
      </c>
      <c r="K1829">
        <v>1</v>
      </c>
      <c r="L1829" t="s">
        <v>11</v>
      </c>
      <c r="M1829">
        <f>SUM(Pharma_Sales_Data[[#This Row],[M01AB]:[R06]])</f>
        <v>72.816000000000003</v>
      </c>
      <c r="N1829" s="2">
        <f>Pharma_Sales_Data[[#This Row],[Total Drug Sales]]*150</f>
        <v>10922.4</v>
      </c>
      <c r="O1829" s="2">
        <f>Pharma_Sales_Data[[#This Row],[Total Revenue]]*0.3</f>
        <v>3276.72</v>
      </c>
      <c r="P1829" t="str">
        <f>IF(Pharma_Sales_Data[[#This Row],[Total Revenue]]&gt;20000,"High Value", IF(Pharma_Sales_Data[[#This Row],[Total Revenue]]&gt;=10000,"Medium Value","Low Value"))</f>
        <v>Medium Value</v>
      </c>
    </row>
    <row r="1830" spans="1:16" x14ac:dyDescent="0.35">
      <c r="A1830" s="1">
        <v>43469</v>
      </c>
      <c r="B1830">
        <v>7</v>
      </c>
      <c r="C1830">
        <v>3.67</v>
      </c>
      <c r="D1830">
        <v>2.6</v>
      </c>
      <c r="E1830">
        <v>55.8</v>
      </c>
      <c r="F1830">
        <v>10</v>
      </c>
      <c r="G1830">
        <v>0</v>
      </c>
      <c r="H1830">
        <v>0</v>
      </c>
      <c r="I1830">
        <v>1</v>
      </c>
      <c r="J1830">
        <v>2019</v>
      </c>
      <c r="K1830">
        <v>1</v>
      </c>
      <c r="L1830" t="s">
        <v>12</v>
      </c>
      <c r="M1830">
        <f>SUM(Pharma_Sales_Data[[#This Row],[M01AB]:[R06]])</f>
        <v>80.069999999999993</v>
      </c>
      <c r="N1830" s="2">
        <f>Pharma_Sales_Data[[#This Row],[Total Drug Sales]]*150</f>
        <v>12010.499999999998</v>
      </c>
      <c r="O1830" s="2">
        <f>Pharma_Sales_Data[[#This Row],[Total Revenue]]*0.3</f>
        <v>3603.1499999999992</v>
      </c>
      <c r="P1830" t="str">
        <f>IF(Pharma_Sales_Data[[#This Row],[Total Revenue]]&gt;20000,"High Value", IF(Pharma_Sales_Data[[#This Row],[Total Revenue]]&gt;=10000,"Medium Value","Low Value"))</f>
        <v>Medium Value</v>
      </c>
    </row>
    <row r="1831" spans="1:16" x14ac:dyDescent="0.35">
      <c r="A1831" s="1">
        <v>43470</v>
      </c>
      <c r="B1831">
        <v>8.01</v>
      </c>
      <c r="C1831">
        <v>3.69</v>
      </c>
      <c r="D1831">
        <v>3.1</v>
      </c>
      <c r="E1831">
        <v>62.75</v>
      </c>
      <c r="F1831">
        <v>10</v>
      </c>
      <c r="G1831">
        <v>0</v>
      </c>
      <c r="H1831">
        <v>30</v>
      </c>
      <c r="I1831">
        <v>1</v>
      </c>
      <c r="J1831">
        <v>2019</v>
      </c>
      <c r="K1831">
        <v>1</v>
      </c>
      <c r="L1831" t="s">
        <v>13</v>
      </c>
      <c r="M1831">
        <f>SUM(Pharma_Sales_Data[[#This Row],[M01AB]:[R06]])</f>
        <v>118.55</v>
      </c>
      <c r="N1831" s="2">
        <f>Pharma_Sales_Data[[#This Row],[Total Drug Sales]]*150</f>
        <v>17782.5</v>
      </c>
      <c r="O1831" s="2">
        <f>Pharma_Sales_Data[[#This Row],[Total Revenue]]*0.3</f>
        <v>5334.75</v>
      </c>
      <c r="P1831" t="str">
        <f>IF(Pharma_Sales_Data[[#This Row],[Total Revenue]]&gt;20000,"High Value", IF(Pharma_Sales_Data[[#This Row],[Total Revenue]]&gt;=10000,"Medium Value","Low Value"))</f>
        <v>Medium Value</v>
      </c>
    </row>
    <row r="1832" spans="1:16" x14ac:dyDescent="0.35">
      <c r="A1832" s="1">
        <v>43471</v>
      </c>
      <c r="B1832">
        <v>8.33</v>
      </c>
      <c r="C1832">
        <v>10.01</v>
      </c>
      <c r="D1832">
        <v>2.25</v>
      </c>
      <c r="E1832">
        <v>47.4</v>
      </c>
      <c r="F1832">
        <v>11</v>
      </c>
      <c r="G1832">
        <v>2</v>
      </c>
      <c r="H1832">
        <v>0</v>
      </c>
      <c r="I1832">
        <v>3</v>
      </c>
      <c r="J1832">
        <v>2019</v>
      </c>
      <c r="K1832">
        <v>1</v>
      </c>
      <c r="L1832" t="s">
        <v>14</v>
      </c>
      <c r="M1832">
        <f>SUM(Pharma_Sales_Data[[#This Row],[M01AB]:[R06]])</f>
        <v>83.99</v>
      </c>
      <c r="N1832" s="2">
        <f>Pharma_Sales_Data[[#This Row],[Total Drug Sales]]*150</f>
        <v>12598.5</v>
      </c>
      <c r="O1832" s="2">
        <f>Pharma_Sales_Data[[#This Row],[Total Revenue]]*0.3</f>
        <v>3779.5499999999997</v>
      </c>
      <c r="P1832" t="str">
        <f>IF(Pharma_Sales_Data[[#This Row],[Total Revenue]]&gt;20000,"High Value", IF(Pharma_Sales_Data[[#This Row],[Total Revenue]]&gt;=10000,"Medium Value","Low Value"))</f>
        <v>Medium Value</v>
      </c>
    </row>
    <row r="1833" spans="1:16" x14ac:dyDescent="0.35">
      <c r="A1833" s="1">
        <v>43472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2019</v>
      </c>
      <c r="K1833">
        <v>1</v>
      </c>
      <c r="L1833" t="s">
        <v>15</v>
      </c>
      <c r="M1833">
        <f>SUM(Pharma_Sales_Data[[#This Row],[M01AB]:[R06]])</f>
        <v>0</v>
      </c>
      <c r="N1833" s="2">
        <f>Pharma_Sales_Data[[#This Row],[Total Drug Sales]]*150</f>
        <v>0</v>
      </c>
      <c r="O1833" s="2">
        <f>Pharma_Sales_Data[[#This Row],[Total Revenue]]*0.3</f>
        <v>0</v>
      </c>
      <c r="P1833" t="str">
        <f>IF(Pharma_Sales_Data[[#This Row],[Total Revenue]]&gt;20000,"High Value", IF(Pharma_Sales_Data[[#This Row],[Total Revenue]]&gt;=10000,"Medium Value","Low Value"))</f>
        <v>Low Value</v>
      </c>
    </row>
    <row r="1834" spans="1:16" x14ac:dyDescent="0.35">
      <c r="A1834" s="1">
        <v>43473</v>
      </c>
      <c r="B1834">
        <v>4.34</v>
      </c>
      <c r="C1834">
        <v>3.32</v>
      </c>
      <c r="D1834">
        <v>0</v>
      </c>
      <c r="E1834">
        <v>41.8</v>
      </c>
      <c r="F1834">
        <v>6</v>
      </c>
      <c r="G1834">
        <v>0</v>
      </c>
      <c r="H1834">
        <v>10</v>
      </c>
      <c r="I1834">
        <v>2</v>
      </c>
      <c r="J1834">
        <v>2019</v>
      </c>
      <c r="K1834">
        <v>1</v>
      </c>
      <c r="L1834" t="s">
        <v>16</v>
      </c>
      <c r="M1834">
        <f>SUM(Pharma_Sales_Data[[#This Row],[M01AB]:[R06]])</f>
        <v>67.459999999999994</v>
      </c>
      <c r="N1834" s="2">
        <f>Pharma_Sales_Data[[#This Row],[Total Drug Sales]]*150</f>
        <v>10118.999999999998</v>
      </c>
      <c r="O1834" s="2">
        <f>Pharma_Sales_Data[[#This Row],[Total Revenue]]*0.3</f>
        <v>3035.6999999999994</v>
      </c>
      <c r="P1834" t="str">
        <f>IF(Pharma_Sales_Data[[#This Row],[Total Revenue]]&gt;20000,"High Value", IF(Pharma_Sales_Data[[#This Row],[Total Revenue]]&gt;=10000,"Medium Value","Low Value"))</f>
        <v>Medium Value</v>
      </c>
    </row>
    <row r="1835" spans="1:16" x14ac:dyDescent="0.35">
      <c r="A1835" s="1">
        <v>43474</v>
      </c>
      <c r="B1835">
        <v>3</v>
      </c>
      <c r="C1835">
        <v>1.33</v>
      </c>
      <c r="D1835">
        <v>2</v>
      </c>
      <c r="E1835">
        <v>64.8</v>
      </c>
      <c r="F1835">
        <v>24</v>
      </c>
      <c r="G1835">
        <v>3</v>
      </c>
      <c r="H1835">
        <v>10</v>
      </c>
      <c r="I1835">
        <v>1</v>
      </c>
      <c r="J1835">
        <v>2019</v>
      </c>
      <c r="K1835">
        <v>1</v>
      </c>
      <c r="L1835" t="s">
        <v>17</v>
      </c>
      <c r="M1835">
        <f>SUM(Pharma_Sales_Data[[#This Row],[M01AB]:[R06]])</f>
        <v>109.13</v>
      </c>
      <c r="N1835" s="2">
        <f>Pharma_Sales_Data[[#This Row],[Total Drug Sales]]*150</f>
        <v>16369.5</v>
      </c>
      <c r="O1835" s="2">
        <f>Pharma_Sales_Data[[#This Row],[Total Revenue]]*0.3</f>
        <v>4910.8499999999995</v>
      </c>
      <c r="P1835" t="str">
        <f>IF(Pharma_Sales_Data[[#This Row],[Total Revenue]]&gt;20000,"High Value", IF(Pharma_Sales_Data[[#This Row],[Total Revenue]]&gt;=10000,"Medium Value","Low Value"))</f>
        <v>Medium Value</v>
      </c>
    </row>
    <row r="1836" spans="1:16" x14ac:dyDescent="0.35">
      <c r="A1836" s="1">
        <v>43475</v>
      </c>
      <c r="B1836">
        <v>8</v>
      </c>
      <c r="C1836">
        <v>3.58</v>
      </c>
      <c r="D1836">
        <v>5.6</v>
      </c>
      <c r="E1836">
        <v>39.1</v>
      </c>
      <c r="F1836">
        <v>12</v>
      </c>
      <c r="G1836">
        <v>2</v>
      </c>
      <c r="H1836">
        <v>13</v>
      </c>
      <c r="I1836">
        <v>1</v>
      </c>
      <c r="J1836">
        <v>2019</v>
      </c>
      <c r="K1836">
        <v>1</v>
      </c>
      <c r="L1836" t="s">
        <v>11</v>
      </c>
      <c r="M1836">
        <f>SUM(Pharma_Sales_Data[[#This Row],[M01AB]:[R06]])</f>
        <v>84.28</v>
      </c>
      <c r="N1836" s="2">
        <f>Pharma_Sales_Data[[#This Row],[Total Drug Sales]]*150</f>
        <v>12642</v>
      </c>
      <c r="O1836" s="2">
        <f>Pharma_Sales_Data[[#This Row],[Total Revenue]]*0.3</f>
        <v>3792.6</v>
      </c>
      <c r="P1836" t="str">
        <f>IF(Pharma_Sales_Data[[#This Row],[Total Revenue]]&gt;20000,"High Value", IF(Pharma_Sales_Data[[#This Row],[Total Revenue]]&gt;=10000,"Medium Value","Low Value"))</f>
        <v>Medium Value</v>
      </c>
    </row>
    <row r="1837" spans="1:16" x14ac:dyDescent="0.35">
      <c r="A1837" s="1">
        <v>43476</v>
      </c>
      <c r="B1837">
        <v>5.33</v>
      </c>
      <c r="C1837">
        <v>7.34</v>
      </c>
      <c r="D1837">
        <v>3</v>
      </c>
      <c r="E1837">
        <v>61.6</v>
      </c>
      <c r="F1837">
        <v>12</v>
      </c>
      <c r="G1837">
        <v>0</v>
      </c>
      <c r="H1837">
        <v>6</v>
      </c>
      <c r="I1837">
        <v>0</v>
      </c>
      <c r="J1837">
        <v>2019</v>
      </c>
      <c r="K1837">
        <v>1</v>
      </c>
      <c r="L1837" t="s">
        <v>12</v>
      </c>
      <c r="M1837">
        <f>SUM(Pharma_Sales_Data[[#This Row],[M01AB]:[R06]])</f>
        <v>95.27</v>
      </c>
      <c r="N1837" s="2">
        <f>Pharma_Sales_Data[[#This Row],[Total Drug Sales]]*150</f>
        <v>14290.5</v>
      </c>
      <c r="O1837" s="2">
        <f>Pharma_Sales_Data[[#This Row],[Total Revenue]]*0.3</f>
        <v>4287.1499999999996</v>
      </c>
      <c r="P1837" t="str">
        <f>IF(Pharma_Sales_Data[[#This Row],[Total Revenue]]&gt;20000,"High Value", IF(Pharma_Sales_Data[[#This Row],[Total Revenue]]&gt;=10000,"Medium Value","Low Value"))</f>
        <v>Medium Value</v>
      </c>
    </row>
    <row r="1838" spans="1:16" x14ac:dyDescent="0.35">
      <c r="A1838" s="1">
        <v>43477</v>
      </c>
      <c r="B1838">
        <v>6.66</v>
      </c>
      <c r="C1838">
        <v>7.02</v>
      </c>
      <c r="D1838">
        <v>5</v>
      </c>
      <c r="E1838">
        <v>74.5</v>
      </c>
      <c r="F1838">
        <v>21.2</v>
      </c>
      <c r="G1838">
        <v>0</v>
      </c>
      <c r="H1838">
        <v>10</v>
      </c>
      <c r="I1838">
        <v>0</v>
      </c>
      <c r="J1838">
        <v>2019</v>
      </c>
      <c r="K1838">
        <v>1</v>
      </c>
      <c r="L1838" t="s">
        <v>13</v>
      </c>
      <c r="M1838">
        <f>SUM(Pharma_Sales_Data[[#This Row],[M01AB]:[R06]])</f>
        <v>124.38000000000001</v>
      </c>
      <c r="N1838" s="2">
        <f>Pharma_Sales_Data[[#This Row],[Total Drug Sales]]*150</f>
        <v>18657</v>
      </c>
      <c r="O1838" s="2">
        <f>Pharma_Sales_Data[[#This Row],[Total Revenue]]*0.3</f>
        <v>5597.0999999999995</v>
      </c>
      <c r="P1838" t="str">
        <f>IF(Pharma_Sales_Data[[#This Row],[Total Revenue]]&gt;20000,"High Value", IF(Pharma_Sales_Data[[#This Row],[Total Revenue]]&gt;=10000,"Medium Value","Low Value"))</f>
        <v>Medium Value</v>
      </c>
    </row>
    <row r="1839" spans="1:16" x14ac:dyDescent="0.35">
      <c r="A1839" s="1">
        <v>43478</v>
      </c>
      <c r="B1839">
        <v>8.33</v>
      </c>
      <c r="C1839">
        <v>5.8140000000000001</v>
      </c>
      <c r="D1839">
        <v>4.5999999999999996</v>
      </c>
      <c r="E1839">
        <v>73</v>
      </c>
      <c r="F1839">
        <v>4</v>
      </c>
      <c r="G1839">
        <v>1</v>
      </c>
      <c r="H1839">
        <v>1</v>
      </c>
      <c r="I1839">
        <v>2</v>
      </c>
      <c r="J1839">
        <v>2019</v>
      </c>
      <c r="K1839">
        <v>1</v>
      </c>
      <c r="L1839" t="s">
        <v>14</v>
      </c>
      <c r="M1839">
        <f>SUM(Pharma_Sales_Data[[#This Row],[M01AB]:[R06]])</f>
        <v>99.744</v>
      </c>
      <c r="N1839" s="2">
        <f>Pharma_Sales_Data[[#This Row],[Total Drug Sales]]*150</f>
        <v>14961.6</v>
      </c>
      <c r="O1839" s="2">
        <f>Pharma_Sales_Data[[#This Row],[Total Revenue]]*0.3</f>
        <v>4488.4799999999996</v>
      </c>
      <c r="P1839" t="str">
        <f>IF(Pharma_Sales_Data[[#This Row],[Total Revenue]]&gt;20000,"High Value", IF(Pharma_Sales_Data[[#This Row],[Total Revenue]]&gt;=10000,"Medium Value","Low Value"))</f>
        <v>Medium Value</v>
      </c>
    </row>
    <row r="1840" spans="1:16" x14ac:dyDescent="0.35">
      <c r="A1840" s="1">
        <v>43479</v>
      </c>
      <c r="B1840">
        <v>9</v>
      </c>
      <c r="C1840">
        <v>9.6999999999999993</v>
      </c>
      <c r="D1840">
        <v>3</v>
      </c>
      <c r="E1840">
        <v>51</v>
      </c>
      <c r="F1840">
        <v>10</v>
      </c>
      <c r="G1840">
        <v>0</v>
      </c>
      <c r="H1840">
        <v>18</v>
      </c>
      <c r="I1840">
        <v>0</v>
      </c>
      <c r="J1840">
        <v>2019</v>
      </c>
      <c r="K1840">
        <v>1</v>
      </c>
      <c r="L1840" t="s">
        <v>15</v>
      </c>
      <c r="M1840">
        <f>SUM(Pharma_Sales_Data[[#This Row],[M01AB]:[R06]])</f>
        <v>100.7</v>
      </c>
      <c r="N1840" s="2">
        <f>Pharma_Sales_Data[[#This Row],[Total Drug Sales]]*150</f>
        <v>15105</v>
      </c>
      <c r="O1840" s="2">
        <f>Pharma_Sales_Data[[#This Row],[Total Revenue]]*0.3</f>
        <v>4531.5</v>
      </c>
      <c r="P1840" t="str">
        <f>IF(Pharma_Sales_Data[[#This Row],[Total Revenue]]&gt;20000,"High Value", IF(Pharma_Sales_Data[[#This Row],[Total Revenue]]&gt;=10000,"Medium Value","Low Value"))</f>
        <v>Medium Value</v>
      </c>
    </row>
    <row r="1841" spans="1:16" x14ac:dyDescent="0.35">
      <c r="A1841" s="1">
        <v>43480</v>
      </c>
      <c r="B1841">
        <v>4.33</v>
      </c>
      <c r="C1841">
        <v>4.33</v>
      </c>
      <c r="D1841">
        <v>3.65</v>
      </c>
      <c r="E1841">
        <v>30.4</v>
      </c>
      <c r="F1841">
        <v>9</v>
      </c>
      <c r="G1841">
        <v>0</v>
      </c>
      <c r="H1841">
        <v>19</v>
      </c>
      <c r="I1841">
        <v>1</v>
      </c>
      <c r="J1841">
        <v>2019</v>
      </c>
      <c r="K1841">
        <v>1</v>
      </c>
      <c r="L1841" t="s">
        <v>16</v>
      </c>
      <c r="M1841">
        <f>SUM(Pharma_Sales_Data[[#This Row],[M01AB]:[R06]])</f>
        <v>71.710000000000008</v>
      </c>
      <c r="N1841" s="2">
        <f>Pharma_Sales_Data[[#This Row],[Total Drug Sales]]*150</f>
        <v>10756.500000000002</v>
      </c>
      <c r="O1841" s="2">
        <f>Pharma_Sales_Data[[#This Row],[Total Revenue]]*0.3</f>
        <v>3226.9500000000003</v>
      </c>
      <c r="P1841" t="str">
        <f>IF(Pharma_Sales_Data[[#This Row],[Total Revenue]]&gt;20000,"High Value", IF(Pharma_Sales_Data[[#This Row],[Total Revenue]]&gt;=10000,"Medium Value","Low Value"))</f>
        <v>Medium Value</v>
      </c>
    </row>
    <row r="1842" spans="1:16" x14ac:dyDescent="0.35">
      <c r="A1842" s="1">
        <v>43481</v>
      </c>
      <c r="B1842">
        <v>7.5</v>
      </c>
      <c r="C1842">
        <v>5.0659999999999998</v>
      </c>
      <c r="D1842">
        <v>6</v>
      </c>
      <c r="E1842">
        <v>48.8</v>
      </c>
      <c r="F1842">
        <v>12</v>
      </c>
      <c r="G1842">
        <v>0</v>
      </c>
      <c r="H1842">
        <v>17</v>
      </c>
      <c r="I1842">
        <v>5</v>
      </c>
      <c r="J1842">
        <v>2019</v>
      </c>
      <c r="K1842">
        <v>1</v>
      </c>
      <c r="L1842" t="s">
        <v>17</v>
      </c>
      <c r="M1842">
        <f>SUM(Pharma_Sales_Data[[#This Row],[M01AB]:[R06]])</f>
        <v>101.366</v>
      </c>
      <c r="N1842" s="2">
        <f>Pharma_Sales_Data[[#This Row],[Total Drug Sales]]*150</f>
        <v>15204.9</v>
      </c>
      <c r="O1842" s="2">
        <f>Pharma_Sales_Data[[#This Row],[Total Revenue]]*0.3</f>
        <v>4561.4699999999993</v>
      </c>
      <c r="P1842" t="str">
        <f>IF(Pharma_Sales_Data[[#This Row],[Total Revenue]]&gt;20000,"High Value", IF(Pharma_Sales_Data[[#This Row],[Total Revenue]]&gt;=10000,"Medium Value","Low Value"))</f>
        <v>Medium Value</v>
      </c>
    </row>
    <row r="1843" spans="1:16" x14ac:dyDescent="0.35">
      <c r="A1843" s="1">
        <v>43482</v>
      </c>
      <c r="B1843">
        <v>5.34</v>
      </c>
      <c r="C1843">
        <v>3.68</v>
      </c>
      <c r="D1843">
        <v>3.7</v>
      </c>
      <c r="E1843">
        <v>55.6</v>
      </c>
      <c r="F1843">
        <v>10</v>
      </c>
      <c r="G1843">
        <v>3</v>
      </c>
      <c r="H1843">
        <v>8</v>
      </c>
      <c r="I1843">
        <v>1</v>
      </c>
      <c r="J1843">
        <v>2019</v>
      </c>
      <c r="K1843">
        <v>1</v>
      </c>
      <c r="L1843" t="s">
        <v>11</v>
      </c>
      <c r="M1843">
        <f>SUM(Pharma_Sales_Data[[#This Row],[M01AB]:[R06]])</f>
        <v>90.32</v>
      </c>
      <c r="N1843" s="2">
        <f>Pharma_Sales_Data[[#This Row],[Total Drug Sales]]*150</f>
        <v>13547.999999999998</v>
      </c>
      <c r="O1843" s="2">
        <f>Pharma_Sales_Data[[#This Row],[Total Revenue]]*0.3</f>
        <v>4064.3999999999992</v>
      </c>
      <c r="P1843" t="str">
        <f>IF(Pharma_Sales_Data[[#This Row],[Total Revenue]]&gt;20000,"High Value", IF(Pharma_Sales_Data[[#This Row],[Total Revenue]]&gt;=10000,"Medium Value","Low Value"))</f>
        <v>Medium Value</v>
      </c>
    </row>
    <row r="1844" spans="1:16" x14ac:dyDescent="0.35">
      <c r="A1844" s="1">
        <v>43483</v>
      </c>
      <c r="B1844">
        <v>6.33</v>
      </c>
      <c r="C1844">
        <v>6.4390000000000001</v>
      </c>
      <c r="D1844">
        <v>4</v>
      </c>
      <c r="E1844">
        <v>27.8</v>
      </c>
      <c r="F1844">
        <v>13</v>
      </c>
      <c r="G1844">
        <v>0</v>
      </c>
      <c r="H1844">
        <v>24</v>
      </c>
      <c r="I1844">
        <v>2</v>
      </c>
      <c r="J1844">
        <v>2019</v>
      </c>
      <c r="K1844">
        <v>1</v>
      </c>
      <c r="L1844" t="s">
        <v>12</v>
      </c>
      <c r="M1844">
        <f>SUM(Pharma_Sales_Data[[#This Row],[M01AB]:[R06]])</f>
        <v>83.569000000000003</v>
      </c>
      <c r="N1844" s="2">
        <f>Pharma_Sales_Data[[#This Row],[Total Drug Sales]]*150</f>
        <v>12535.35</v>
      </c>
      <c r="O1844" s="2">
        <f>Pharma_Sales_Data[[#This Row],[Total Revenue]]*0.3</f>
        <v>3760.605</v>
      </c>
      <c r="P1844" t="str">
        <f>IF(Pharma_Sales_Data[[#This Row],[Total Revenue]]&gt;20000,"High Value", IF(Pharma_Sales_Data[[#This Row],[Total Revenue]]&gt;=10000,"Medium Value","Low Value"))</f>
        <v>Medium Value</v>
      </c>
    </row>
    <row r="1845" spans="1:16" x14ac:dyDescent="0.35">
      <c r="A1845" s="1">
        <v>43484</v>
      </c>
      <c r="B1845">
        <v>7.02</v>
      </c>
      <c r="C1845">
        <v>8.391</v>
      </c>
      <c r="D1845">
        <v>5.5</v>
      </c>
      <c r="E1845">
        <v>77.400000000000006</v>
      </c>
      <c r="F1845">
        <v>9</v>
      </c>
      <c r="G1845">
        <v>0</v>
      </c>
      <c r="H1845">
        <v>1</v>
      </c>
      <c r="I1845">
        <v>3</v>
      </c>
      <c r="J1845">
        <v>2019</v>
      </c>
      <c r="K1845">
        <v>1</v>
      </c>
      <c r="L1845" t="s">
        <v>13</v>
      </c>
      <c r="M1845">
        <f>SUM(Pharma_Sales_Data[[#This Row],[M01AB]:[R06]])</f>
        <v>111.31100000000001</v>
      </c>
      <c r="N1845" s="2">
        <f>Pharma_Sales_Data[[#This Row],[Total Drug Sales]]*150</f>
        <v>16696.650000000001</v>
      </c>
      <c r="O1845" s="2">
        <f>Pharma_Sales_Data[[#This Row],[Total Revenue]]*0.3</f>
        <v>5008.9949999999999</v>
      </c>
      <c r="P1845" t="str">
        <f>IF(Pharma_Sales_Data[[#This Row],[Total Revenue]]&gt;20000,"High Value", IF(Pharma_Sales_Data[[#This Row],[Total Revenue]]&gt;=10000,"Medium Value","Low Value"))</f>
        <v>Medium Value</v>
      </c>
    </row>
    <row r="1846" spans="1:16" x14ac:dyDescent="0.35">
      <c r="A1846" s="1">
        <v>43485</v>
      </c>
      <c r="B1846">
        <v>11.67</v>
      </c>
      <c r="C1846">
        <v>14.462999999999999</v>
      </c>
      <c r="D1846">
        <v>2.1</v>
      </c>
      <c r="E1846">
        <v>93.05</v>
      </c>
      <c r="F1846">
        <v>6</v>
      </c>
      <c r="G1846">
        <v>0</v>
      </c>
      <c r="H1846">
        <v>34</v>
      </c>
      <c r="I1846">
        <v>1</v>
      </c>
      <c r="J1846">
        <v>2019</v>
      </c>
      <c r="K1846">
        <v>1</v>
      </c>
      <c r="L1846" t="s">
        <v>14</v>
      </c>
      <c r="M1846">
        <f>SUM(Pharma_Sales_Data[[#This Row],[M01AB]:[R06]])</f>
        <v>162.28300000000002</v>
      </c>
      <c r="N1846" s="2">
        <f>Pharma_Sales_Data[[#This Row],[Total Drug Sales]]*150</f>
        <v>24342.45</v>
      </c>
      <c r="O1846" s="2">
        <f>Pharma_Sales_Data[[#This Row],[Total Revenue]]*0.3</f>
        <v>7302.7349999999997</v>
      </c>
      <c r="P1846" t="str">
        <f>IF(Pharma_Sales_Data[[#This Row],[Total Revenue]]&gt;20000,"High Value", IF(Pharma_Sales_Data[[#This Row],[Total Revenue]]&gt;=10000,"Medium Value","Low Value"))</f>
        <v>High Value</v>
      </c>
    </row>
    <row r="1847" spans="1:16" x14ac:dyDescent="0.35">
      <c r="A1847" s="1">
        <v>43486</v>
      </c>
      <c r="B1847">
        <v>4.34</v>
      </c>
      <c r="C1847">
        <v>5.8250000000000002</v>
      </c>
      <c r="D1847">
        <v>0</v>
      </c>
      <c r="E1847">
        <v>67.150000000000006</v>
      </c>
      <c r="F1847">
        <v>11</v>
      </c>
      <c r="G1847">
        <v>0</v>
      </c>
      <c r="H1847">
        <v>31</v>
      </c>
      <c r="I1847">
        <v>0</v>
      </c>
      <c r="J1847">
        <v>2019</v>
      </c>
      <c r="K1847">
        <v>1</v>
      </c>
      <c r="L1847" t="s">
        <v>15</v>
      </c>
      <c r="M1847">
        <f>SUM(Pharma_Sales_Data[[#This Row],[M01AB]:[R06]])</f>
        <v>119.315</v>
      </c>
      <c r="N1847" s="2">
        <f>Pharma_Sales_Data[[#This Row],[Total Drug Sales]]*150</f>
        <v>17897.25</v>
      </c>
      <c r="O1847" s="2">
        <f>Pharma_Sales_Data[[#This Row],[Total Revenue]]*0.3</f>
        <v>5369.1750000000002</v>
      </c>
      <c r="P1847" t="str">
        <f>IF(Pharma_Sales_Data[[#This Row],[Total Revenue]]&gt;20000,"High Value", IF(Pharma_Sales_Data[[#This Row],[Total Revenue]]&gt;=10000,"Medium Value","Low Value"))</f>
        <v>Medium Value</v>
      </c>
    </row>
    <row r="1848" spans="1:16" x14ac:dyDescent="0.35">
      <c r="A1848" s="1">
        <v>43487</v>
      </c>
      <c r="B1848">
        <v>6.83</v>
      </c>
      <c r="C1848">
        <v>7.0759999999999996</v>
      </c>
      <c r="D1848">
        <v>1</v>
      </c>
      <c r="E1848">
        <v>74.900000000000006</v>
      </c>
      <c r="F1848">
        <v>13</v>
      </c>
      <c r="G1848">
        <v>1</v>
      </c>
      <c r="H1848">
        <v>7</v>
      </c>
      <c r="I1848">
        <v>0</v>
      </c>
      <c r="J1848">
        <v>2019</v>
      </c>
      <c r="K1848">
        <v>1</v>
      </c>
      <c r="L1848" t="s">
        <v>16</v>
      </c>
      <c r="M1848">
        <f>SUM(Pharma_Sales_Data[[#This Row],[M01AB]:[R06]])</f>
        <v>110.80600000000001</v>
      </c>
      <c r="N1848" s="2">
        <f>Pharma_Sales_Data[[#This Row],[Total Drug Sales]]*150</f>
        <v>16620.900000000001</v>
      </c>
      <c r="O1848" s="2">
        <f>Pharma_Sales_Data[[#This Row],[Total Revenue]]*0.3</f>
        <v>4986.2700000000004</v>
      </c>
      <c r="P1848" t="str">
        <f>IF(Pharma_Sales_Data[[#This Row],[Total Revenue]]&gt;20000,"High Value", IF(Pharma_Sales_Data[[#This Row],[Total Revenue]]&gt;=10000,"Medium Value","Low Value"))</f>
        <v>Medium Value</v>
      </c>
    </row>
    <row r="1849" spans="1:16" x14ac:dyDescent="0.35">
      <c r="A1849" s="1">
        <v>43488</v>
      </c>
      <c r="B1849">
        <v>3.33</v>
      </c>
      <c r="C1849">
        <v>8.4629999999999992</v>
      </c>
      <c r="D1849">
        <v>7.1</v>
      </c>
      <c r="E1849">
        <v>58.4</v>
      </c>
      <c r="F1849">
        <v>4</v>
      </c>
      <c r="G1849">
        <v>0</v>
      </c>
      <c r="H1849">
        <v>23</v>
      </c>
      <c r="I1849">
        <v>2</v>
      </c>
      <c r="J1849">
        <v>2019</v>
      </c>
      <c r="K1849">
        <v>1</v>
      </c>
      <c r="L1849" t="s">
        <v>17</v>
      </c>
      <c r="M1849">
        <f>SUM(Pharma_Sales_Data[[#This Row],[M01AB]:[R06]])</f>
        <v>106.29300000000001</v>
      </c>
      <c r="N1849" s="2">
        <f>Pharma_Sales_Data[[#This Row],[Total Drug Sales]]*150</f>
        <v>15943.95</v>
      </c>
      <c r="O1849" s="2">
        <f>Pharma_Sales_Data[[#This Row],[Total Revenue]]*0.3</f>
        <v>4783.1850000000004</v>
      </c>
      <c r="P1849" t="str">
        <f>IF(Pharma_Sales_Data[[#This Row],[Total Revenue]]&gt;20000,"High Value", IF(Pharma_Sales_Data[[#This Row],[Total Revenue]]&gt;=10000,"Medium Value","Low Value"))</f>
        <v>Medium Value</v>
      </c>
    </row>
    <row r="1850" spans="1:16" x14ac:dyDescent="0.35">
      <c r="A1850" s="1">
        <v>43489</v>
      </c>
      <c r="B1850">
        <v>4</v>
      </c>
      <c r="C1850">
        <v>4.4950000000000001</v>
      </c>
      <c r="D1850">
        <v>6</v>
      </c>
      <c r="E1850">
        <v>47.3</v>
      </c>
      <c r="F1850">
        <v>7</v>
      </c>
      <c r="G1850">
        <v>4</v>
      </c>
      <c r="H1850">
        <v>2</v>
      </c>
      <c r="I1850">
        <v>3</v>
      </c>
      <c r="J1850">
        <v>2019</v>
      </c>
      <c r="K1850">
        <v>1</v>
      </c>
      <c r="L1850" t="s">
        <v>11</v>
      </c>
      <c r="M1850">
        <f>SUM(Pharma_Sales_Data[[#This Row],[M01AB]:[R06]])</f>
        <v>77.795000000000002</v>
      </c>
      <c r="N1850" s="2">
        <f>Pharma_Sales_Data[[#This Row],[Total Drug Sales]]*150</f>
        <v>11669.25</v>
      </c>
      <c r="O1850" s="2">
        <f>Pharma_Sales_Data[[#This Row],[Total Revenue]]*0.3</f>
        <v>3500.7750000000001</v>
      </c>
      <c r="P1850" t="str">
        <f>IF(Pharma_Sales_Data[[#This Row],[Total Revenue]]&gt;20000,"High Value", IF(Pharma_Sales_Data[[#This Row],[Total Revenue]]&gt;=10000,"Medium Value","Low Value"))</f>
        <v>Medium Value</v>
      </c>
    </row>
    <row r="1851" spans="1:16" x14ac:dyDescent="0.35">
      <c r="A1851" s="1">
        <v>43490</v>
      </c>
      <c r="B1851">
        <v>2.33</v>
      </c>
      <c r="C1851">
        <v>7.18</v>
      </c>
      <c r="D1851">
        <v>4</v>
      </c>
      <c r="E1851">
        <v>32.65</v>
      </c>
      <c r="F1851">
        <v>11</v>
      </c>
      <c r="G1851">
        <v>2</v>
      </c>
      <c r="H1851">
        <v>11</v>
      </c>
      <c r="I1851">
        <v>1</v>
      </c>
      <c r="J1851">
        <v>2019</v>
      </c>
      <c r="K1851">
        <v>1</v>
      </c>
      <c r="L1851" t="s">
        <v>12</v>
      </c>
      <c r="M1851">
        <f>SUM(Pharma_Sales_Data[[#This Row],[M01AB]:[R06]])</f>
        <v>71.16</v>
      </c>
      <c r="N1851" s="2">
        <f>Pharma_Sales_Data[[#This Row],[Total Drug Sales]]*150</f>
        <v>10674</v>
      </c>
      <c r="O1851" s="2">
        <f>Pharma_Sales_Data[[#This Row],[Total Revenue]]*0.3</f>
        <v>3202.2</v>
      </c>
      <c r="P1851" t="str">
        <f>IF(Pharma_Sales_Data[[#This Row],[Total Revenue]]&gt;20000,"High Value", IF(Pharma_Sales_Data[[#This Row],[Total Revenue]]&gt;=10000,"Medium Value","Low Value"))</f>
        <v>Medium Value</v>
      </c>
    </row>
    <row r="1852" spans="1:16" x14ac:dyDescent="0.35">
      <c r="A1852" s="1">
        <v>43491</v>
      </c>
      <c r="B1852">
        <v>7</v>
      </c>
      <c r="C1852">
        <v>8.4589999999999996</v>
      </c>
      <c r="D1852">
        <v>2.4</v>
      </c>
      <c r="E1852">
        <v>97.8</v>
      </c>
      <c r="F1852">
        <v>11</v>
      </c>
      <c r="G1852">
        <v>1</v>
      </c>
      <c r="H1852">
        <v>13</v>
      </c>
      <c r="I1852">
        <v>1</v>
      </c>
      <c r="J1852">
        <v>2019</v>
      </c>
      <c r="K1852">
        <v>1</v>
      </c>
      <c r="L1852" t="s">
        <v>13</v>
      </c>
      <c r="M1852">
        <f>SUM(Pharma_Sales_Data[[#This Row],[M01AB]:[R06]])</f>
        <v>141.65899999999999</v>
      </c>
      <c r="N1852" s="2">
        <f>Pharma_Sales_Data[[#This Row],[Total Drug Sales]]*150</f>
        <v>21248.85</v>
      </c>
      <c r="O1852" s="2">
        <f>Pharma_Sales_Data[[#This Row],[Total Revenue]]*0.3</f>
        <v>6374.6549999999997</v>
      </c>
      <c r="P1852" t="str">
        <f>IF(Pharma_Sales_Data[[#This Row],[Total Revenue]]&gt;20000,"High Value", IF(Pharma_Sales_Data[[#This Row],[Total Revenue]]&gt;=10000,"Medium Value","Low Value"))</f>
        <v>High Value</v>
      </c>
    </row>
    <row r="1853" spans="1:16" x14ac:dyDescent="0.35">
      <c r="A1853" s="1">
        <v>43492</v>
      </c>
      <c r="B1853">
        <v>10.52</v>
      </c>
      <c r="C1853">
        <v>11.744999999999999</v>
      </c>
      <c r="D1853">
        <v>2</v>
      </c>
      <c r="E1853">
        <v>100.1</v>
      </c>
      <c r="F1853">
        <v>12</v>
      </c>
      <c r="G1853">
        <v>1</v>
      </c>
      <c r="H1853">
        <v>6</v>
      </c>
      <c r="I1853">
        <v>2</v>
      </c>
      <c r="J1853">
        <v>2019</v>
      </c>
      <c r="K1853">
        <v>1</v>
      </c>
      <c r="L1853" t="s">
        <v>14</v>
      </c>
      <c r="M1853">
        <f>SUM(Pharma_Sales_Data[[#This Row],[M01AB]:[R06]])</f>
        <v>145.36500000000001</v>
      </c>
      <c r="N1853" s="2">
        <f>Pharma_Sales_Data[[#This Row],[Total Drug Sales]]*150</f>
        <v>21804.75</v>
      </c>
      <c r="O1853" s="2">
        <f>Pharma_Sales_Data[[#This Row],[Total Revenue]]*0.3</f>
        <v>6541.4250000000002</v>
      </c>
      <c r="P1853" t="str">
        <f>IF(Pharma_Sales_Data[[#This Row],[Total Revenue]]&gt;20000,"High Value", IF(Pharma_Sales_Data[[#This Row],[Total Revenue]]&gt;=10000,"Medium Value","Low Value"))</f>
        <v>High Value</v>
      </c>
    </row>
    <row r="1854" spans="1:16" x14ac:dyDescent="0.35">
      <c r="A1854" s="1">
        <v>43493</v>
      </c>
      <c r="B1854">
        <v>8.5</v>
      </c>
      <c r="C1854">
        <v>7.109</v>
      </c>
      <c r="D1854">
        <v>3</v>
      </c>
      <c r="E1854">
        <v>45</v>
      </c>
      <c r="F1854">
        <v>11</v>
      </c>
      <c r="G1854">
        <v>0</v>
      </c>
      <c r="H1854">
        <v>28</v>
      </c>
      <c r="I1854">
        <v>3</v>
      </c>
      <c r="J1854">
        <v>2019</v>
      </c>
      <c r="K1854">
        <v>1</v>
      </c>
      <c r="L1854" t="s">
        <v>15</v>
      </c>
      <c r="M1854">
        <f>SUM(Pharma_Sales_Data[[#This Row],[M01AB]:[R06]])</f>
        <v>105.60900000000001</v>
      </c>
      <c r="N1854" s="2">
        <f>Pharma_Sales_Data[[#This Row],[Total Drug Sales]]*150</f>
        <v>15841.350000000002</v>
      </c>
      <c r="O1854" s="2">
        <f>Pharma_Sales_Data[[#This Row],[Total Revenue]]*0.3</f>
        <v>4752.4050000000007</v>
      </c>
      <c r="P1854" t="str">
        <f>IF(Pharma_Sales_Data[[#This Row],[Total Revenue]]&gt;20000,"High Value", IF(Pharma_Sales_Data[[#This Row],[Total Revenue]]&gt;=10000,"Medium Value","Low Value"))</f>
        <v>Medium Value</v>
      </c>
    </row>
    <row r="1855" spans="1:16" x14ac:dyDescent="0.35">
      <c r="A1855" s="1">
        <v>43494</v>
      </c>
      <c r="B1855">
        <v>5</v>
      </c>
      <c r="C1855">
        <v>5</v>
      </c>
      <c r="D1855">
        <v>3.45</v>
      </c>
      <c r="E1855">
        <v>38.799999999999997</v>
      </c>
      <c r="F1855">
        <v>10</v>
      </c>
      <c r="G1855">
        <v>2</v>
      </c>
      <c r="H1855">
        <v>15</v>
      </c>
      <c r="I1855">
        <v>0</v>
      </c>
      <c r="J1855">
        <v>2019</v>
      </c>
      <c r="K1855">
        <v>1</v>
      </c>
      <c r="L1855" t="s">
        <v>16</v>
      </c>
      <c r="M1855">
        <f>SUM(Pharma_Sales_Data[[#This Row],[M01AB]:[R06]])</f>
        <v>79.25</v>
      </c>
      <c r="N1855" s="2">
        <f>Pharma_Sales_Data[[#This Row],[Total Drug Sales]]*150</f>
        <v>11887.5</v>
      </c>
      <c r="O1855" s="2">
        <f>Pharma_Sales_Data[[#This Row],[Total Revenue]]*0.3</f>
        <v>3566.25</v>
      </c>
      <c r="P1855" t="str">
        <f>IF(Pharma_Sales_Data[[#This Row],[Total Revenue]]&gt;20000,"High Value", IF(Pharma_Sales_Data[[#This Row],[Total Revenue]]&gt;=10000,"Medium Value","Low Value"))</f>
        <v>Medium Value</v>
      </c>
    </row>
    <row r="1856" spans="1:16" x14ac:dyDescent="0.35">
      <c r="A1856" s="1">
        <v>43495</v>
      </c>
      <c r="B1856">
        <v>6.33</v>
      </c>
      <c r="C1856">
        <v>5.7130000000000001</v>
      </c>
      <c r="D1856">
        <v>2.25</v>
      </c>
      <c r="E1856">
        <v>52.311999999999998</v>
      </c>
      <c r="F1856">
        <v>8</v>
      </c>
      <c r="G1856">
        <v>0</v>
      </c>
      <c r="H1856">
        <v>11</v>
      </c>
      <c r="I1856">
        <v>1.3</v>
      </c>
      <c r="J1856">
        <v>2019</v>
      </c>
      <c r="K1856">
        <v>1</v>
      </c>
      <c r="L1856" t="s">
        <v>17</v>
      </c>
      <c r="M1856">
        <f>SUM(Pharma_Sales_Data[[#This Row],[M01AB]:[R06]])</f>
        <v>86.904999999999987</v>
      </c>
      <c r="N1856" s="2">
        <f>Pharma_Sales_Data[[#This Row],[Total Drug Sales]]*150</f>
        <v>13035.749999999998</v>
      </c>
      <c r="O1856" s="2">
        <f>Pharma_Sales_Data[[#This Row],[Total Revenue]]*0.3</f>
        <v>3910.7249999999995</v>
      </c>
      <c r="P1856" t="str">
        <f>IF(Pharma_Sales_Data[[#This Row],[Total Revenue]]&gt;20000,"High Value", IF(Pharma_Sales_Data[[#This Row],[Total Revenue]]&gt;=10000,"Medium Value","Low Value"))</f>
        <v>Medium Value</v>
      </c>
    </row>
    <row r="1857" spans="1:16" x14ac:dyDescent="0.35">
      <c r="A1857" s="1">
        <v>43496</v>
      </c>
      <c r="B1857">
        <v>1.67</v>
      </c>
      <c r="C1857">
        <v>11.505000000000001</v>
      </c>
      <c r="D1857">
        <v>2</v>
      </c>
      <c r="E1857">
        <v>62.2</v>
      </c>
      <c r="F1857">
        <v>8</v>
      </c>
      <c r="G1857">
        <v>1</v>
      </c>
      <c r="H1857">
        <v>20</v>
      </c>
      <c r="I1857">
        <v>2</v>
      </c>
      <c r="J1857">
        <v>2019</v>
      </c>
      <c r="K1857">
        <v>1</v>
      </c>
      <c r="L1857" t="s">
        <v>11</v>
      </c>
      <c r="M1857">
        <f>SUM(Pharma_Sales_Data[[#This Row],[M01AB]:[R06]])</f>
        <v>108.375</v>
      </c>
      <c r="N1857" s="2">
        <f>Pharma_Sales_Data[[#This Row],[Total Drug Sales]]*150</f>
        <v>16256.25</v>
      </c>
      <c r="O1857" s="2">
        <f>Pharma_Sales_Data[[#This Row],[Total Revenue]]*0.3</f>
        <v>4876.875</v>
      </c>
      <c r="P1857" t="str">
        <f>IF(Pharma_Sales_Data[[#This Row],[Total Revenue]]&gt;20000,"High Value", IF(Pharma_Sales_Data[[#This Row],[Total Revenue]]&gt;=10000,"Medium Value","Low Value"))</f>
        <v>Medium Value</v>
      </c>
    </row>
    <row r="1858" spans="1:16" x14ac:dyDescent="0.35">
      <c r="A1858" s="1">
        <v>43497</v>
      </c>
      <c r="B1858">
        <v>11.34</v>
      </c>
      <c r="C1858">
        <v>1.726</v>
      </c>
      <c r="D1858">
        <v>8</v>
      </c>
      <c r="E1858">
        <v>38.9</v>
      </c>
      <c r="F1858">
        <v>9</v>
      </c>
      <c r="G1858">
        <v>0</v>
      </c>
      <c r="H1858">
        <v>7</v>
      </c>
      <c r="I1858">
        <v>3</v>
      </c>
      <c r="J1858">
        <v>2019</v>
      </c>
      <c r="K1858">
        <v>2</v>
      </c>
      <c r="L1858" t="s">
        <v>12</v>
      </c>
      <c r="M1858">
        <f>SUM(Pharma_Sales_Data[[#This Row],[M01AB]:[R06]])</f>
        <v>78.965999999999994</v>
      </c>
      <c r="N1858" s="2">
        <f>Pharma_Sales_Data[[#This Row],[Total Drug Sales]]*150</f>
        <v>11844.9</v>
      </c>
      <c r="O1858" s="2">
        <f>Pharma_Sales_Data[[#This Row],[Total Revenue]]*0.3</f>
        <v>3553.47</v>
      </c>
      <c r="P1858" t="str">
        <f>IF(Pharma_Sales_Data[[#This Row],[Total Revenue]]&gt;20000,"High Value", IF(Pharma_Sales_Data[[#This Row],[Total Revenue]]&gt;=10000,"Medium Value","Low Value"))</f>
        <v>Medium Value</v>
      </c>
    </row>
    <row r="1859" spans="1:16" x14ac:dyDescent="0.35">
      <c r="A1859" s="1">
        <v>43498</v>
      </c>
      <c r="B1859">
        <v>13.34</v>
      </c>
      <c r="C1859">
        <v>12.706</v>
      </c>
      <c r="D1859">
        <v>6.2</v>
      </c>
      <c r="E1859">
        <v>64.262</v>
      </c>
      <c r="F1859">
        <v>8</v>
      </c>
      <c r="G1859">
        <v>1</v>
      </c>
      <c r="H1859">
        <v>45</v>
      </c>
      <c r="I1859">
        <v>0</v>
      </c>
      <c r="J1859">
        <v>2019</v>
      </c>
      <c r="K1859">
        <v>2</v>
      </c>
      <c r="L1859" t="s">
        <v>13</v>
      </c>
      <c r="M1859">
        <f>SUM(Pharma_Sales_Data[[#This Row],[M01AB]:[R06]])</f>
        <v>150.50800000000001</v>
      </c>
      <c r="N1859" s="2">
        <f>Pharma_Sales_Data[[#This Row],[Total Drug Sales]]*150</f>
        <v>22576.2</v>
      </c>
      <c r="O1859" s="2">
        <f>Pharma_Sales_Data[[#This Row],[Total Revenue]]*0.3</f>
        <v>6772.86</v>
      </c>
      <c r="P1859" t="str">
        <f>IF(Pharma_Sales_Data[[#This Row],[Total Revenue]]&gt;20000,"High Value", IF(Pharma_Sales_Data[[#This Row],[Total Revenue]]&gt;=10000,"Medium Value","Low Value"))</f>
        <v>High Value</v>
      </c>
    </row>
    <row r="1860" spans="1:16" x14ac:dyDescent="0.35">
      <c r="A1860" s="1">
        <v>43499</v>
      </c>
      <c r="B1860">
        <v>6</v>
      </c>
      <c r="C1860">
        <v>9.8119999999999994</v>
      </c>
      <c r="D1860">
        <v>5.75</v>
      </c>
      <c r="E1860">
        <v>47.088000000000001</v>
      </c>
      <c r="F1860">
        <v>10</v>
      </c>
      <c r="G1860">
        <v>1</v>
      </c>
      <c r="H1860">
        <v>5</v>
      </c>
      <c r="I1860">
        <v>4.4000000000000004</v>
      </c>
      <c r="J1860">
        <v>2019</v>
      </c>
      <c r="K1860">
        <v>2</v>
      </c>
      <c r="L1860" t="s">
        <v>14</v>
      </c>
      <c r="M1860">
        <f>SUM(Pharma_Sales_Data[[#This Row],[M01AB]:[R06]])</f>
        <v>89.050000000000011</v>
      </c>
      <c r="N1860" s="2">
        <f>Pharma_Sales_Data[[#This Row],[Total Drug Sales]]*150</f>
        <v>13357.500000000002</v>
      </c>
      <c r="O1860" s="2">
        <f>Pharma_Sales_Data[[#This Row],[Total Revenue]]*0.3</f>
        <v>4007.2500000000005</v>
      </c>
      <c r="P1860" t="str">
        <f>IF(Pharma_Sales_Data[[#This Row],[Total Revenue]]&gt;20000,"High Value", IF(Pharma_Sales_Data[[#This Row],[Total Revenue]]&gt;=10000,"Medium Value","Low Value"))</f>
        <v>Medium Value</v>
      </c>
    </row>
    <row r="1861" spans="1:16" x14ac:dyDescent="0.35">
      <c r="A1861" s="1">
        <v>43500</v>
      </c>
      <c r="B1861">
        <v>6.33</v>
      </c>
      <c r="C1861">
        <v>6.68</v>
      </c>
      <c r="D1861">
        <v>3</v>
      </c>
      <c r="E1861">
        <v>47</v>
      </c>
      <c r="F1861">
        <v>5</v>
      </c>
      <c r="G1861">
        <v>1</v>
      </c>
      <c r="H1861">
        <v>12</v>
      </c>
      <c r="I1861">
        <v>2</v>
      </c>
      <c r="J1861">
        <v>2019</v>
      </c>
      <c r="K1861">
        <v>2</v>
      </c>
      <c r="L1861" t="s">
        <v>15</v>
      </c>
      <c r="M1861">
        <f>SUM(Pharma_Sales_Data[[#This Row],[M01AB]:[R06]])</f>
        <v>83.009999999999991</v>
      </c>
      <c r="N1861" s="2">
        <f>Pharma_Sales_Data[[#This Row],[Total Drug Sales]]*150</f>
        <v>12451.499999999998</v>
      </c>
      <c r="O1861" s="2">
        <f>Pharma_Sales_Data[[#This Row],[Total Revenue]]*0.3</f>
        <v>3735.4499999999994</v>
      </c>
      <c r="P1861" t="str">
        <f>IF(Pharma_Sales_Data[[#This Row],[Total Revenue]]&gt;20000,"High Value", IF(Pharma_Sales_Data[[#This Row],[Total Revenue]]&gt;=10000,"Medium Value","Low Value"))</f>
        <v>Medium Value</v>
      </c>
    </row>
    <row r="1862" spans="1:16" x14ac:dyDescent="0.35">
      <c r="A1862" s="1">
        <v>43501</v>
      </c>
      <c r="B1862">
        <v>5.33</v>
      </c>
      <c r="C1862">
        <v>10.385999999999999</v>
      </c>
      <c r="D1862">
        <v>3.65</v>
      </c>
      <c r="E1862">
        <v>33.799999999999997</v>
      </c>
      <c r="F1862">
        <v>2</v>
      </c>
      <c r="G1862">
        <v>0</v>
      </c>
      <c r="H1862">
        <v>1</v>
      </c>
      <c r="I1862">
        <v>4</v>
      </c>
      <c r="J1862">
        <v>2019</v>
      </c>
      <c r="K1862">
        <v>2</v>
      </c>
      <c r="L1862" t="s">
        <v>16</v>
      </c>
      <c r="M1862">
        <f>SUM(Pharma_Sales_Data[[#This Row],[M01AB]:[R06]])</f>
        <v>60.165999999999997</v>
      </c>
      <c r="N1862" s="2">
        <f>Pharma_Sales_Data[[#This Row],[Total Drug Sales]]*150</f>
        <v>9024.9</v>
      </c>
      <c r="O1862" s="2">
        <f>Pharma_Sales_Data[[#This Row],[Total Revenue]]*0.3</f>
        <v>2707.47</v>
      </c>
      <c r="P1862" t="str">
        <f>IF(Pharma_Sales_Data[[#This Row],[Total Revenue]]&gt;20000,"High Value", IF(Pharma_Sales_Data[[#This Row],[Total Revenue]]&gt;=10000,"Medium Value","Low Value"))</f>
        <v>Low Value</v>
      </c>
    </row>
    <row r="1863" spans="1:16" x14ac:dyDescent="0.35">
      <c r="A1863" s="1">
        <v>43502</v>
      </c>
      <c r="B1863">
        <v>6.34</v>
      </c>
      <c r="C1863">
        <v>4.1779999999999999</v>
      </c>
      <c r="D1863">
        <v>2.2000000000000002</v>
      </c>
      <c r="E1863">
        <v>29</v>
      </c>
      <c r="F1863">
        <v>4</v>
      </c>
      <c r="G1863">
        <v>0</v>
      </c>
      <c r="H1863">
        <v>4</v>
      </c>
      <c r="I1863">
        <v>1.5</v>
      </c>
      <c r="J1863">
        <v>2019</v>
      </c>
      <c r="K1863">
        <v>2</v>
      </c>
      <c r="L1863" t="s">
        <v>17</v>
      </c>
      <c r="M1863">
        <f>SUM(Pharma_Sales_Data[[#This Row],[M01AB]:[R06]])</f>
        <v>51.218000000000004</v>
      </c>
      <c r="N1863" s="2">
        <f>Pharma_Sales_Data[[#This Row],[Total Drug Sales]]*150</f>
        <v>7682.7000000000007</v>
      </c>
      <c r="O1863" s="2">
        <f>Pharma_Sales_Data[[#This Row],[Total Revenue]]*0.3</f>
        <v>2304.81</v>
      </c>
      <c r="P1863" t="str">
        <f>IF(Pharma_Sales_Data[[#This Row],[Total Revenue]]&gt;20000,"High Value", IF(Pharma_Sales_Data[[#This Row],[Total Revenue]]&gt;=10000,"Medium Value","Low Value"))</f>
        <v>Low Value</v>
      </c>
    </row>
    <row r="1864" spans="1:16" x14ac:dyDescent="0.35">
      <c r="A1864" s="1">
        <v>43503</v>
      </c>
      <c r="B1864">
        <v>2.33</v>
      </c>
      <c r="C1864">
        <v>5.1319999999999997</v>
      </c>
      <c r="D1864">
        <v>4.5</v>
      </c>
      <c r="E1864">
        <v>42.6</v>
      </c>
      <c r="F1864">
        <v>11</v>
      </c>
      <c r="G1864">
        <v>0</v>
      </c>
      <c r="H1864">
        <v>22</v>
      </c>
      <c r="I1864">
        <v>1</v>
      </c>
      <c r="J1864">
        <v>2019</v>
      </c>
      <c r="K1864">
        <v>2</v>
      </c>
      <c r="L1864" t="s">
        <v>11</v>
      </c>
      <c r="M1864">
        <f>SUM(Pharma_Sales_Data[[#This Row],[M01AB]:[R06]])</f>
        <v>88.561999999999998</v>
      </c>
      <c r="N1864" s="2">
        <f>Pharma_Sales_Data[[#This Row],[Total Drug Sales]]*150</f>
        <v>13284.3</v>
      </c>
      <c r="O1864" s="2">
        <f>Pharma_Sales_Data[[#This Row],[Total Revenue]]*0.3</f>
        <v>3985.2899999999995</v>
      </c>
      <c r="P1864" t="str">
        <f>IF(Pharma_Sales_Data[[#This Row],[Total Revenue]]&gt;20000,"High Value", IF(Pharma_Sales_Data[[#This Row],[Total Revenue]]&gt;=10000,"Medium Value","Low Value"))</f>
        <v>Medium Value</v>
      </c>
    </row>
    <row r="1865" spans="1:16" x14ac:dyDescent="0.35">
      <c r="A1865" s="1">
        <v>43504</v>
      </c>
      <c r="B1865">
        <v>2</v>
      </c>
      <c r="C1865">
        <v>6.3730000000000002</v>
      </c>
      <c r="D1865">
        <v>7</v>
      </c>
      <c r="E1865">
        <v>50.2</v>
      </c>
      <c r="F1865">
        <v>9</v>
      </c>
      <c r="G1865">
        <v>3</v>
      </c>
      <c r="H1865">
        <v>12</v>
      </c>
      <c r="I1865">
        <v>5</v>
      </c>
      <c r="J1865">
        <v>2019</v>
      </c>
      <c r="K1865">
        <v>2</v>
      </c>
      <c r="L1865" t="s">
        <v>12</v>
      </c>
      <c r="M1865">
        <f>SUM(Pharma_Sales_Data[[#This Row],[M01AB]:[R06]])</f>
        <v>94.573000000000008</v>
      </c>
      <c r="N1865" s="2">
        <f>Pharma_Sales_Data[[#This Row],[Total Drug Sales]]*150</f>
        <v>14185.95</v>
      </c>
      <c r="O1865" s="2">
        <f>Pharma_Sales_Data[[#This Row],[Total Revenue]]*0.3</f>
        <v>4255.7849999999999</v>
      </c>
      <c r="P1865" t="str">
        <f>IF(Pharma_Sales_Data[[#This Row],[Total Revenue]]&gt;20000,"High Value", IF(Pharma_Sales_Data[[#This Row],[Total Revenue]]&gt;=10000,"Medium Value","Low Value"))</f>
        <v>Medium Value</v>
      </c>
    </row>
    <row r="1866" spans="1:16" x14ac:dyDescent="0.35">
      <c r="A1866" s="1">
        <v>43505</v>
      </c>
      <c r="B1866">
        <v>6.68</v>
      </c>
      <c r="C1866">
        <v>7.383</v>
      </c>
      <c r="D1866">
        <v>5</v>
      </c>
      <c r="E1866">
        <v>51.65</v>
      </c>
      <c r="F1866">
        <v>10</v>
      </c>
      <c r="G1866">
        <v>0</v>
      </c>
      <c r="H1866">
        <v>11</v>
      </c>
      <c r="I1866">
        <v>1</v>
      </c>
      <c r="J1866">
        <v>2019</v>
      </c>
      <c r="K1866">
        <v>2</v>
      </c>
      <c r="L1866" t="s">
        <v>13</v>
      </c>
      <c r="M1866">
        <f>SUM(Pharma_Sales_Data[[#This Row],[M01AB]:[R06]])</f>
        <v>92.712999999999994</v>
      </c>
      <c r="N1866" s="2">
        <f>Pharma_Sales_Data[[#This Row],[Total Drug Sales]]*150</f>
        <v>13906.949999999999</v>
      </c>
      <c r="O1866" s="2">
        <f>Pharma_Sales_Data[[#This Row],[Total Revenue]]*0.3</f>
        <v>4172.0849999999991</v>
      </c>
      <c r="P1866" t="str">
        <f>IF(Pharma_Sales_Data[[#This Row],[Total Revenue]]&gt;20000,"High Value", IF(Pharma_Sales_Data[[#This Row],[Total Revenue]]&gt;=10000,"Medium Value","Low Value"))</f>
        <v>Medium Value</v>
      </c>
    </row>
    <row r="1867" spans="1:16" x14ac:dyDescent="0.35">
      <c r="A1867" s="1">
        <v>43506</v>
      </c>
      <c r="B1867">
        <v>3.34</v>
      </c>
      <c r="C1867">
        <v>7.1189999999999998</v>
      </c>
      <c r="D1867">
        <v>3.35</v>
      </c>
      <c r="E1867">
        <v>43.2</v>
      </c>
      <c r="F1867">
        <v>9</v>
      </c>
      <c r="G1867">
        <v>0</v>
      </c>
      <c r="H1867">
        <v>0</v>
      </c>
      <c r="I1867">
        <v>1.2</v>
      </c>
      <c r="J1867">
        <v>2019</v>
      </c>
      <c r="K1867">
        <v>2</v>
      </c>
      <c r="L1867" t="s">
        <v>14</v>
      </c>
      <c r="M1867">
        <f>SUM(Pharma_Sales_Data[[#This Row],[M01AB]:[R06]])</f>
        <v>67.209000000000003</v>
      </c>
      <c r="N1867" s="2">
        <f>Pharma_Sales_Data[[#This Row],[Total Drug Sales]]*150</f>
        <v>10081.35</v>
      </c>
      <c r="O1867" s="2">
        <f>Pharma_Sales_Data[[#This Row],[Total Revenue]]*0.3</f>
        <v>3024.4050000000002</v>
      </c>
      <c r="P1867" t="str">
        <f>IF(Pharma_Sales_Data[[#This Row],[Total Revenue]]&gt;20000,"High Value", IF(Pharma_Sales_Data[[#This Row],[Total Revenue]]&gt;=10000,"Medium Value","Low Value"))</f>
        <v>Medium Value</v>
      </c>
    </row>
    <row r="1868" spans="1:16" x14ac:dyDescent="0.35">
      <c r="A1868" s="1">
        <v>43507</v>
      </c>
      <c r="B1868">
        <v>8</v>
      </c>
      <c r="C1868">
        <v>7.4690000000000003</v>
      </c>
      <c r="D1868">
        <v>6.15</v>
      </c>
      <c r="E1868">
        <v>30</v>
      </c>
      <c r="F1868">
        <v>10</v>
      </c>
      <c r="G1868">
        <v>0</v>
      </c>
      <c r="H1868">
        <v>5</v>
      </c>
      <c r="I1868">
        <v>3</v>
      </c>
      <c r="J1868">
        <v>2019</v>
      </c>
      <c r="K1868">
        <v>2</v>
      </c>
      <c r="L1868" t="s">
        <v>15</v>
      </c>
      <c r="M1868">
        <f>SUM(Pharma_Sales_Data[[#This Row],[M01AB]:[R06]])</f>
        <v>69.619</v>
      </c>
      <c r="N1868" s="2">
        <f>Pharma_Sales_Data[[#This Row],[Total Drug Sales]]*150</f>
        <v>10442.85</v>
      </c>
      <c r="O1868" s="2">
        <f>Pharma_Sales_Data[[#This Row],[Total Revenue]]*0.3</f>
        <v>3132.855</v>
      </c>
      <c r="P1868" t="str">
        <f>IF(Pharma_Sales_Data[[#This Row],[Total Revenue]]&gt;20000,"High Value", IF(Pharma_Sales_Data[[#This Row],[Total Revenue]]&gt;=10000,"Medium Value","Low Value"))</f>
        <v>Medium Value</v>
      </c>
    </row>
    <row r="1869" spans="1:16" x14ac:dyDescent="0.35">
      <c r="A1869" s="1">
        <v>43508</v>
      </c>
      <c r="B1869">
        <v>6.66</v>
      </c>
      <c r="C1869">
        <v>3.34</v>
      </c>
      <c r="D1869">
        <v>0</v>
      </c>
      <c r="E1869">
        <v>34.6</v>
      </c>
      <c r="F1869">
        <v>8.1999999999999993</v>
      </c>
      <c r="G1869">
        <v>0</v>
      </c>
      <c r="H1869">
        <v>6</v>
      </c>
      <c r="I1869">
        <v>0.5</v>
      </c>
      <c r="J1869">
        <v>2019</v>
      </c>
      <c r="K1869">
        <v>2</v>
      </c>
      <c r="L1869" t="s">
        <v>16</v>
      </c>
      <c r="M1869">
        <f>SUM(Pharma_Sales_Data[[#This Row],[M01AB]:[R06]])</f>
        <v>59.3</v>
      </c>
      <c r="N1869" s="2">
        <f>Pharma_Sales_Data[[#This Row],[Total Drug Sales]]*150</f>
        <v>8895</v>
      </c>
      <c r="O1869" s="2">
        <f>Pharma_Sales_Data[[#This Row],[Total Revenue]]*0.3</f>
        <v>2668.5</v>
      </c>
      <c r="P1869" t="str">
        <f>IF(Pharma_Sales_Data[[#This Row],[Total Revenue]]&gt;20000,"High Value", IF(Pharma_Sales_Data[[#This Row],[Total Revenue]]&gt;=10000,"Medium Value","Low Value"))</f>
        <v>Low Value</v>
      </c>
    </row>
    <row r="1870" spans="1:16" x14ac:dyDescent="0.35">
      <c r="A1870" s="1">
        <v>43509</v>
      </c>
      <c r="B1870">
        <v>4</v>
      </c>
      <c r="C1870">
        <v>4.01</v>
      </c>
      <c r="D1870">
        <v>1</v>
      </c>
      <c r="E1870">
        <v>27.2</v>
      </c>
      <c r="F1870">
        <v>16</v>
      </c>
      <c r="G1870">
        <v>0</v>
      </c>
      <c r="H1870">
        <v>8</v>
      </c>
      <c r="I1870">
        <v>2</v>
      </c>
      <c r="J1870">
        <v>2019</v>
      </c>
      <c r="K1870">
        <v>2</v>
      </c>
      <c r="L1870" t="s">
        <v>17</v>
      </c>
      <c r="M1870">
        <f>SUM(Pharma_Sales_Data[[#This Row],[M01AB]:[R06]])</f>
        <v>62.21</v>
      </c>
      <c r="N1870" s="2">
        <f>Pharma_Sales_Data[[#This Row],[Total Drug Sales]]*150</f>
        <v>9331.5</v>
      </c>
      <c r="O1870" s="2">
        <f>Pharma_Sales_Data[[#This Row],[Total Revenue]]*0.3</f>
        <v>2799.45</v>
      </c>
      <c r="P1870" t="str">
        <f>IF(Pharma_Sales_Data[[#This Row],[Total Revenue]]&gt;20000,"High Value", IF(Pharma_Sales_Data[[#This Row],[Total Revenue]]&gt;=10000,"Medium Value","Low Value"))</f>
        <v>Low Value</v>
      </c>
    </row>
    <row r="1871" spans="1:16" x14ac:dyDescent="0.35">
      <c r="A1871" s="1">
        <v>43510</v>
      </c>
      <c r="B1871">
        <v>2.33</v>
      </c>
      <c r="C1871">
        <v>6.5170000000000003</v>
      </c>
      <c r="D1871">
        <v>3.15</v>
      </c>
      <c r="E1871">
        <v>54.5</v>
      </c>
      <c r="F1871">
        <v>9</v>
      </c>
      <c r="G1871">
        <v>0</v>
      </c>
      <c r="H1871">
        <v>7</v>
      </c>
      <c r="I1871">
        <v>3</v>
      </c>
      <c r="J1871">
        <v>2019</v>
      </c>
      <c r="K1871">
        <v>2</v>
      </c>
      <c r="L1871" t="s">
        <v>11</v>
      </c>
      <c r="M1871">
        <f>SUM(Pharma_Sales_Data[[#This Row],[M01AB]:[R06]])</f>
        <v>85.497</v>
      </c>
      <c r="N1871" s="2">
        <f>Pharma_Sales_Data[[#This Row],[Total Drug Sales]]*150</f>
        <v>12824.55</v>
      </c>
      <c r="O1871" s="2">
        <f>Pharma_Sales_Data[[#This Row],[Total Revenue]]*0.3</f>
        <v>3847.3649999999998</v>
      </c>
      <c r="P1871" t="str">
        <f>IF(Pharma_Sales_Data[[#This Row],[Total Revenue]]&gt;20000,"High Value", IF(Pharma_Sales_Data[[#This Row],[Total Revenue]]&gt;=10000,"Medium Value","Low Value"))</f>
        <v>Medium Value</v>
      </c>
    </row>
    <row r="1872" spans="1:16" x14ac:dyDescent="0.35">
      <c r="A1872" s="1">
        <v>43511</v>
      </c>
      <c r="B1872">
        <v>5.34</v>
      </c>
      <c r="C1872">
        <v>5</v>
      </c>
      <c r="D1872">
        <v>12.5</v>
      </c>
      <c r="E1872">
        <v>52.05</v>
      </c>
      <c r="F1872">
        <v>16</v>
      </c>
      <c r="G1872">
        <v>0</v>
      </c>
      <c r="H1872">
        <v>3</v>
      </c>
      <c r="I1872">
        <v>2</v>
      </c>
      <c r="J1872">
        <v>2019</v>
      </c>
      <c r="K1872">
        <v>2</v>
      </c>
      <c r="L1872" t="s">
        <v>12</v>
      </c>
      <c r="M1872">
        <f>SUM(Pharma_Sales_Data[[#This Row],[M01AB]:[R06]])</f>
        <v>95.89</v>
      </c>
      <c r="N1872" s="2">
        <f>Pharma_Sales_Data[[#This Row],[Total Drug Sales]]*150</f>
        <v>14383.5</v>
      </c>
      <c r="O1872" s="2">
        <f>Pharma_Sales_Data[[#This Row],[Total Revenue]]*0.3</f>
        <v>4315.05</v>
      </c>
      <c r="P1872" t="str">
        <f>IF(Pharma_Sales_Data[[#This Row],[Total Revenue]]&gt;20000,"High Value", IF(Pharma_Sales_Data[[#This Row],[Total Revenue]]&gt;=10000,"Medium Value","Low Value"))</f>
        <v>Medium Value</v>
      </c>
    </row>
    <row r="1873" spans="1:16" x14ac:dyDescent="0.35">
      <c r="A1873" s="1">
        <v>43512</v>
      </c>
      <c r="B1873">
        <v>6.34</v>
      </c>
      <c r="C1873">
        <v>6.02</v>
      </c>
      <c r="D1873">
        <v>5</v>
      </c>
      <c r="E1873">
        <v>36.4</v>
      </c>
      <c r="F1873">
        <v>8</v>
      </c>
      <c r="G1873">
        <v>0</v>
      </c>
      <c r="H1873">
        <v>6</v>
      </c>
      <c r="I1873">
        <v>3</v>
      </c>
      <c r="J1873">
        <v>2019</v>
      </c>
      <c r="K1873">
        <v>2</v>
      </c>
      <c r="L1873" t="s">
        <v>13</v>
      </c>
      <c r="M1873">
        <f>SUM(Pharma_Sales_Data[[#This Row],[M01AB]:[R06]])</f>
        <v>70.759999999999991</v>
      </c>
      <c r="N1873" s="2">
        <f>Pharma_Sales_Data[[#This Row],[Total Drug Sales]]*150</f>
        <v>10613.999999999998</v>
      </c>
      <c r="O1873" s="2">
        <f>Pharma_Sales_Data[[#This Row],[Total Revenue]]*0.3</f>
        <v>3184.1999999999994</v>
      </c>
      <c r="P1873" t="str">
        <f>IF(Pharma_Sales_Data[[#This Row],[Total Revenue]]&gt;20000,"High Value", IF(Pharma_Sales_Data[[#This Row],[Total Revenue]]&gt;=10000,"Medium Value","Low Value"))</f>
        <v>Medium Value</v>
      </c>
    </row>
    <row r="1874" spans="1:16" x14ac:dyDescent="0.35">
      <c r="A1874" s="1">
        <v>43513</v>
      </c>
      <c r="B1874">
        <v>2.34</v>
      </c>
      <c r="C1874">
        <v>4.4160000000000004</v>
      </c>
      <c r="D1874">
        <v>4</v>
      </c>
      <c r="E1874">
        <v>15.162000000000001</v>
      </c>
      <c r="F1874">
        <v>11.2</v>
      </c>
      <c r="G1874">
        <v>0</v>
      </c>
      <c r="H1874">
        <v>0</v>
      </c>
      <c r="I1874">
        <v>3.1</v>
      </c>
      <c r="J1874">
        <v>2019</v>
      </c>
      <c r="K1874">
        <v>2</v>
      </c>
      <c r="L1874" t="s">
        <v>14</v>
      </c>
      <c r="M1874">
        <f>SUM(Pharma_Sales_Data[[#This Row],[M01AB]:[R06]])</f>
        <v>40.217999999999996</v>
      </c>
      <c r="N1874" s="2">
        <f>Pharma_Sales_Data[[#This Row],[Total Drug Sales]]*150</f>
        <v>6032.7</v>
      </c>
      <c r="O1874" s="2">
        <f>Pharma_Sales_Data[[#This Row],[Total Revenue]]*0.3</f>
        <v>1809.81</v>
      </c>
      <c r="P1874" t="str">
        <f>IF(Pharma_Sales_Data[[#This Row],[Total Revenue]]&gt;20000,"High Value", IF(Pharma_Sales_Data[[#This Row],[Total Revenue]]&gt;=10000,"Medium Value","Low Value"))</f>
        <v>Low Value</v>
      </c>
    </row>
    <row r="1875" spans="1:16" x14ac:dyDescent="0.35">
      <c r="A1875" s="1">
        <v>43514</v>
      </c>
      <c r="B1875">
        <v>3.34</v>
      </c>
      <c r="C1875">
        <v>2.0760000000000001</v>
      </c>
      <c r="D1875">
        <v>3.6</v>
      </c>
      <c r="E1875">
        <v>27.4</v>
      </c>
      <c r="F1875">
        <v>7</v>
      </c>
      <c r="G1875">
        <v>0</v>
      </c>
      <c r="H1875">
        <v>10</v>
      </c>
      <c r="I1875">
        <v>0</v>
      </c>
      <c r="J1875">
        <v>2019</v>
      </c>
      <c r="K1875">
        <v>2</v>
      </c>
      <c r="L1875" t="s">
        <v>15</v>
      </c>
      <c r="M1875">
        <f>SUM(Pharma_Sales_Data[[#This Row],[M01AB]:[R06]])</f>
        <v>53.415999999999997</v>
      </c>
      <c r="N1875" s="2">
        <f>Pharma_Sales_Data[[#This Row],[Total Drug Sales]]*150</f>
        <v>8012.4</v>
      </c>
      <c r="O1875" s="2">
        <f>Pharma_Sales_Data[[#This Row],[Total Revenue]]*0.3</f>
        <v>2403.7199999999998</v>
      </c>
      <c r="P1875" t="str">
        <f>IF(Pharma_Sales_Data[[#This Row],[Total Revenue]]&gt;20000,"High Value", IF(Pharma_Sales_Data[[#This Row],[Total Revenue]]&gt;=10000,"Medium Value","Low Value"))</f>
        <v>Low Value</v>
      </c>
    </row>
    <row r="1876" spans="1:16" x14ac:dyDescent="0.35">
      <c r="A1876" s="1">
        <v>43515</v>
      </c>
      <c r="B1876">
        <v>3.33</v>
      </c>
      <c r="C1876">
        <v>4.33</v>
      </c>
      <c r="D1876">
        <v>1.5</v>
      </c>
      <c r="E1876">
        <v>27.4</v>
      </c>
      <c r="F1876">
        <v>15</v>
      </c>
      <c r="G1876">
        <v>2</v>
      </c>
      <c r="H1876">
        <v>6</v>
      </c>
      <c r="I1876">
        <v>3</v>
      </c>
      <c r="J1876">
        <v>2019</v>
      </c>
      <c r="K1876">
        <v>2</v>
      </c>
      <c r="L1876" t="s">
        <v>16</v>
      </c>
      <c r="M1876">
        <f>SUM(Pharma_Sales_Data[[#This Row],[M01AB]:[R06]])</f>
        <v>62.56</v>
      </c>
      <c r="N1876" s="2">
        <f>Pharma_Sales_Data[[#This Row],[Total Drug Sales]]*150</f>
        <v>9384</v>
      </c>
      <c r="O1876" s="2">
        <f>Pharma_Sales_Data[[#This Row],[Total Revenue]]*0.3</f>
        <v>2815.2</v>
      </c>
      <c r="P1876" t="str">
        <f>IF(Pharma_Sales_Data[[#This Row],[Total Revenue]]&gt;20000,"High Value", IF(Pharma_Sales_Data[[#This Row],[Total Revenue]]&gt;=10000,"Medium Value","Low Value"))</f>
        <v>Low Value</v>
      </c>
    </row>
    <row r="1877" spans="1:16" x14ac:dyDescent="0.35">
      <c r="A1877" s="1">
        <v>43516</v>
      </c>
      <c r="B1877">
        <v>2.34</v>
      </c>
      <c r="C1877">
        <v>4.7789999999999999</v>
      </c>
      <c r="D1877">
        <v>3.3</v>
      </c>
      <c r="E1877">
        <v>30.6</v>
      </c>
      <c r="F1877">
        <v>14</v>
      </c>
      <c r="G1877">
        <v>0</v>
      </c>
      <c r="H1877">
        <v>7</v>
      </c>
      <c r="I1877">
        <v>3</v>
      </c>
      <c r="J1877">
        <v>2019</v>
      </c>
      <c r="K1877">
        <v>2</v>
      </c>
      <c r="L1877" t="s">
        <v>17</v>
      </c>
      <c r="M1877">
        <f>SUM(Pharma_Sales_Data[[#This Row],[M01AB]:[R06]])</f>
        <v>65.019000000000005</v>
      </c>
      <c r="N1877" s="2">
        <f>Pharma_Sales_Data[[#This Row],[Total Drug Sales]]*150</f>
        <v>9752.85</v>
      </c>
      <c r="O1877" s="2">
        <f>Pharma_Sales_Data[[#This Row],[Total Revenue]]*0.3</f>
        <v>2925.855</v>
      </c>
      <c r="P1877" t="str">
        <f>IF(Pharma_Sales_Data[[#This Row],[Total Revenue]]&gt;20000,"High Value", IF(Pharma_Sales_Data[[#This Row],[Total Revenue]]&gt;=10000,"Medium Value","Low Value"))</f>
        <v>Low Value</v>
      </c>
    </row>
    <row r="1878" spans="1:16" x14ac:dyDescent="0.35">
      <c r="A1878" s="1">
        <v>43517</v>
      </c>
      <c r="B1878">
        <v>1.66</v>
      </c>
      <c r="C1878">
        <v>5</v>
      </c>
      <c r="D1878">
        <v>2.1</v>
      </c>
      <c r="E1878">
        <v>45.4</v>
      </c>
      <c r="F1878">
        <v>15</v>
      </c>
      <c r="G1878">
        <v>1</v>
      </c>
      <c r="H1878">
        <v>5</v>
      </c>
      <c r="I1878">
        <v>2</v>
      </c>
      <c r="J1878">
        <v>2019</v>
      </c>
      <c r="K1878">
        <v>2</v>
      </c>
      <c r="L1878" t="s">
        <v>11</v>
      </c>
      <c r="M1878">
        <f>SUM(Pharma_Sales_Data[[#This Row],[M01AB]:[R06]])</f>
        <v>77.16</v>
      </c>
      <c r="N1878" s="2">
        <f>Pharma_Sales_Data[[#This Row],[Total Drug Sales]]*150</f>
        <v>11574</v>
      </c>
      <c r="O1878" s="2">
        <f>Pharma_Sales_Data[[#This Row],[Total Revenue]]*0.3</f>
        <v>3472.2</v>
      </c>
      <c r="P1878" t="str">
        <f>IF(Pharma_Sales_Data[[#This Row],[Total Revenue]]&gt;20000,"High Value", IF(Pharma_Sales_Data[[#This Row],[Total Revenue]]&gt;=10000,"Medium Value","Low Value"))</f>
        <v>Medium Value</v>
      </c>
    </row>
    <row r="1879" spans="1:16" x14ac:dyDescent="0.35">
      <c r="A1879" s="1">
        <v>43518</v>
      </c>
      <c r="B1879">
        <v>2.33</v>
      </c>
      <c r="C1879">
        <v>2</v>
      </c>
      <c r="D1879">
        <v>1.2</v>
      </c>
      <c r="E1879">
        <v>16</v>
      </c>
      <c r="F1879">
        <v>5</v>
      </c>
      <c r="G1879">
        <v>0</v>
      </c>
      <c r="H1879">
        <v>1</v>
      </c>
      <c r="I1879">
        <v>2</v>
      </c>
      <c r="J1879">
        <v>2019</v>
      </c>
      <c r="K1879">
        <v>2</v>
      </c>
      <c r="L1879" t="s">
        <v>12</v>
      </c>
      <c r="M1879">
        <f>SUM(Pharma_Sales_Data[[#This Row],[M01AB]:[R06]])</f>
        <v>29.53</v>
      </c>
      <c r="N1879" s="2">
        <f>Pharma_Sales_Data[[#This Row],[Total Drug Sales]]*150</f>
        <v>4429.5</v>
      </c>
      <c r="O1879" s="2">
        <f>Pharma_Sales_Data[[#This Row],[Total Revenue]]*0.3</f>
        <v>1328.85</v>
      </c>
      <c r="P1879" t="str">
        <f>IF(Pharma_Sales_Data[[#This Row],[Total Revenue]]&gt;20000,"High Value", IF(Pharma_Sales_Data[[#This Row],[Total Revenue]]&gt;=10000,"Medium Value","Low Value"))</f>
        <v>Low Value</v>
      </c>
    </row>
    <row r="1880" spans="1:16" x14ac:dyDescent="0.35">
      <c r="A1880" s="1">
        <v>43519</v>
      </c>
      <c r="B1880">
        <v>5.01</v>
      </c>
      <c r="C1880">
        <v>2.44</v>
      </c>
      <c r="D1880">
        <v>3.2</v>
      </c>
      <c r="E1880">
        <v>38.200000000000003</v>
      </c>
      <c r="F1880">
        <v>13</v>
      </c>
      <c r="G1880">
        <v>0</v>
      </c>
      <c r="H1880">
        <v>0</v>
      </c>
      <c r="I1880">
        <v>1.3</v>
      </c>
      <c r="J1880">
        <v>2019</v>
      </c>
      <c r="K1880">
        <v>2</v>
      </c>
      <c r="L1880" t="s">
        <v>13</v>
      </c>
      <c r="M1880">
        <f>SUM(Pharma_Sales_Data[[#This Row],[M01AB]:[R06]])</f>
        <v>63.15</v>
      </c>
      <c r="N1880" s="2">
        <f>Pharma_Sales_Data[[#This Row],[Total Drug Sales]]*150</f>
        <v>9472.5</v>
      </c>
      <c r="O1880" s="2">
        <f>Pharma_Sales_Data[[#This Row],[Total Revenue]]*0.3</f>
        <v>2841.75</v>
      </c>
      <c r="P1880" t="str">
        <f>IF(Pharma_Sales_Data[[#This Row],[Total Revenue]]&gt;20000,"High Value", IF(Pharma_Sales_Data[[#This Row],[Total Revenue]]&gt;=10000,"Medium Value","Low Value"))</f>
        <v>Low Value</v>
      </c>
    </row>
    <row r="1881" spans="1:16" x14ac:dyDescent="0.35">
      <c r="A1881" s="1">
        <v>43520</v>
      </c>
      <c r="B1881">
        <v>4.34</v>
      </c>
      <c r="C1881">
        <v>4.01</v>
      </c>
      <c r="D1881">
        <v>1.5</v>
      </c>
      <c r="E1881">
        <v>19</v>
      </c>
      <c r="F1881">
        <v>2</v>
      </c>
      <c r="G1881">
        <v>0</v>
      </c>
      <c r="H1881">
        <v>2</v>
      </c>
      <c r="I1881">
        <v>2</v>
      </c>
      <c r="J1881">
        <v>2019</v>
      </c>
      <c r="K1881">
        <v>2</v>
      </c>
      <c r="L1881" t="s">
        <v>14</v>
      </c>
      <c r="M1881">
        <f>SUM(Pharma_Sales_Data[[#This Row],[M01AB]:[R06]])</f>
        <v>34.85</v>
      </c>
      <c r="N1881" s="2">
        <f>Pharma_Sales_Data[[#This Row],[Total Drug Sales]]*150</f>
        <v>5227.5</v>
      </c>
      <c r="O1881" s="2">
        <f>Pharma_Sales_Data[[#This Row],[Total Revenue]]*0.3</f>
        <v>1568.25</v>
      </c>
      <c r="P1881" t="str">
        <f>IF(Pharma_Sales_Data[[#This Row],[Total Revenue]]&gt;20000,"High Value", IF(Pharma_Sales_Data[[#This Row],[Total Revenue]]&gt;=10000,"Medium Value","Low Value"))</f>
        <v>Low Value</v>
      </c>
    </row>
    <row r="1882" spans="1:16" x14ac:dyDescent="0.35">
      <c r="A1882" s="1">
        <v>43521</v>
      </c>
      <c r="B1882">
        <v>5.34</v>
      </c>
      <c r="C1882">
        <v>1.423</v>
      </c>
      <c r="D1882">
        <v>3</v>
      </c>
      <c r="E1882">
        <v>25.2</v>
      </c>
      <c r="F1882">
        <v>4</v>
      </c>
      <c r="G1882">
        <v>2</v>
      </c>
      <c r="H1882">
        <v>2</v>
      </c>
      <c r="I1882">
        <v>3</v>
      </c>
      <c r="J1882">
        <v>2019</v>
      </c>
      <c r="K1882">
        <v>2</v>
      </c>
      <c r="L1882" t="s">
        <v>15</v>
      </c>
      <c r="M1882">
        <f>SUM(Pharma_Sales_Data[[#This Row],[M01AB]:[R06]])</f>
        <v>45.963000000000001</v>
      </c>
      <c r="N1882" s="2">
        <f>Pharma_Sales_Data[[#This Row],[Total Drug Sales]]*150</f>
        <v>6894.45</v>
      </c>
      <c r="O1882" s="2">
        <f>Pharma_Sales_Data[[#This Row],[Total Revenue]]*0.3</f>
        <v>2068.335</v>
      </c>
      <c r="P1882" t="str">
        <f>IF(Pharma_Sales_Data[[#This Row],[Total Revenue]]&gt;20000,"High Value", IF(Pharma_Sales_Data[[#This Row],[Total Revenue]]&gt;=10000,"Medium Value","Low Value"))</f>
        <v>Low Value</v>
      </c>
    </row>
    <row r="1883" spans="1:16" x14ac:dyDescent="0.35">
      <c r="A1883" s="1">
        <v>43522</v>
      </c>
      <c r="B1883">
        <v>2.33</v>
      </c>
      <c r="C1883">
        <v>3.83</v>
      </c>
      <c r="D1883">
        <v>5.15</v>
      </c>
      <c r="E1883">
        <v>27</v>
      </c>
      <c r="F1883">
        <v>8</v>
      </c>
      <c r="G1883">
        <v>0</v>
      </c>
      <c r="H1883">
        <v>3</v>
      </c>
      <c r="I1883">
        <v>3</v>
      </c>
      <c r="J1883">
        <v>2019</v>
      </c>
      <c r="K1883">
        <v>2</v>
      </c>
      <c r="L1883" t="s">
        <v>16</v>
      </c>
      <c r="M1883">
        <f>SUM(Pharma_Sales_Data[[#This Row],[M01AB]:[R06]])</f>
        <v>52.31</v>
      </c>
      <c r="N1883" s="2">
        <f>Pharma_Sales_Data[[#This Row],[Total Drug Sales]]*150</f>
        <v>7846.5</v>
      </c>
      <c r="O1883" s="2">
        <f>Pharma_Sales_Data[[#This Row],[Total Revenue]]*0.3</f>
        <v>2353.9499999999998</v>
      </c>
      <c r="P1883" t="str">
        <f>IF(Pharma_Sales_Data[[#This Row],[Total Revenue]]&gt;20000,"High Value", IF(Pharma_Sales_Data[[#This Row],[Total Revenue]]&gt;=10000,"Medium Value","Low Value"))</f>
        <v>Low Value</v>
      </c>
    </row>
    <row r="1884" spans="1:16" x14ac:dyDescent="0.35">
      <c r="A1884" s="1">
        <v>43523</v>
      </c>
      <c r="B1884">
        <v>5</v>
      </c>
      <c r="C1884">
        <v>0.67</v>
      </c>
      <c r="D1884">
        <v>1.2</v>
      </c>
      <c r="E1884">
        <v>13.4</v>
      </c>
      <c r="F1884">
        <v>9</v>
      </c>
      <c r="G1884">
        <v>0</v>
      </c>
      <c r="H1884">
        <v>1</v>
      </c>
      <c r="I1884">
        <v>7.5</v>
      </c>
      <c r="J1884">
        <v>2019</v>
      </c>
      <c r="K1884">
        <v>2</v>
      </c>
      <c r="L1884" t="s">
        <v>17</v>
      </c>
      <c r="M1884">
        <f>SUM(Pharma_Sales_Data[[#This Row],[M01AB]:[R06]])</f>
        <v>37.769999999999996</v>
      </c>
      <c r="N1884" s="2">
        <f>Pharma_Sales_Data[[#This Row],[Total Drug Sales]]*150</f>
        <v>5665.4999999999991</v>
      </c>
      <c r="O1884" s="2">
        <f>Pharma_Sales_Data[[#This Row],[Total Revenue]]*0.3</f>
        <v>1699.6499999999996</v>
      </c>
      <c r="P1884" t="str">
        <f>IF(Pharma_Sales_Data[[#This Row],[Total Revenue]]&gt;20000,"High Value", IF(Pharma_Sales_Data[[#This Row],[Total Revenue]]&gt;=10000,"Medium Value","Low Value"))</f>
        <v>Low Value</v>
      </c>
    </row>
    <row r="1885" spans="1:16" x14ac:dyDescent="0.35">
      <c r="A1885" s="1">
        <v>43524</v>
      </c>
      <c r="B1885">
        <v>0.67</v>
      </c>
      <c r="C1885">
        <v>3.33</v>
      </c>
      <c r="D1885">
        <v>4</v>
      </c>
      <c r="E1885">
        <v>34</v>
      </c>
      <c r="F1885">
        <v>2</v>
      </c>
      <c r="G1885">
        <v>1</v>
      </c>
      <c r="H1885">
        <v>35</v>
      </c>
      <c r="I1885">
        <v>3</v>
      </c>
      <c r="J1885">
        <v>2019</v>
      </c>
      <c r="K1885">
        <v>2</v>
      </c>
      <c r="L1885" t="s">
        <v>11</v>
      </c>
      <c r="M1885">
        <f>SUM(Pharma_Sales_Data[[#This Row],[M01AB]:[R06]])</f>
        <v>83</v>
      </c>
      <c r="N1885" s="2">
        <f>Pharma_Sales_Data[[#This Row],[Total Drug Sales]]*150</f>
        <v>12450</v>
      </c>
      <c r="O1885" s="2">
        <f>Pharma_Sales_Data[[#This Row],[Total Revenue]]*0.3</f>
        <v>3735</v>
      </c>
      <c r="P1885" t="str">
        <f>IF(Pharma_Sales_Data[[#This Row],[Total Revenue]]&gt;20000,"High Value", IF(Pharma_Sales_Data[[#This Row],[Total Revenue]]&gt;=10000,"Medium Value","Low Value"))</f>
        <v>Medium Value</v>
      </c>
    </row>
    <row r="1886" spans="1:16" x14ac:dyDescent="0.35">
      <c r="A1886" s="1">
        <v>43525</v>
      </c>
      <c r="B1886">
        <v>1.33</v>
      </c>
      <c r="C1886">
        <v>3.8210000000000002</v>
      </c>
      <c r="D1886">
        <v>2.5</v>
      </c>
      <c r="E1886">
        <v>22.2</v>
      </c>
      <c r="F1886">
        <v>12</v>
      </c>
      <c r="G1886">
        <v>0</v>
      </c>
      <c r="H1886">
        <v>6</v>
      </c>
      <c r="I1886">
        <v>2</v>
      </c>
      <c r="J1886">
        <v>2019</v>
      </c>
      <c r="K1886">
        <v>3</v>
      </c>
      <c r="L1886" t="s">
        <v>12</v>
      </c>
      <c r="M1886">
        <f>SUM(Pharma_Sales_Data[[#This Row],[M01AB]:[R06]])</f>
        <v>49.850999999999999</v>
      </c>
      <c r="N1886" s="2">
        <f>Pharma_Sales_Data[[#This Row],[Total Drug Sales]]*150</f>
        <v>7477.65</v>
      </c>
      <c r="O1886" s="2">
        <f>Pharma_Sales_Data[[#This Row],[Total Revenue]]*0.3</f>
        <v>2243.2949999999996</v>
      </c>
      <c r="P1886" t="str">
        <f>IF(Pharma_Sales_Data[[#This Row],[Total Revenue]]&gt;20000,"High Value", IF(Pharma_Sales_Data[[#This Row],[Total Revenue]]&gt;=10000,"Medium Value","Low Value"))</f>
        <v>Low Value</v>
      </c>
    </row>
    <row r="1887" spans="1:16" x14ac:dyDescent="0.35">
      <c r="A1887" s="1">
        <v>43526</v>
      </c>
      <c r="B1887">
        <v>4.01</v>
      </c>
      <c r="C1887">
        <v>1.33</v>
      </c>
      <c r="D1887">
        <v>4</v>
      </c>
      <c r="E1887">
        <v>46</v>
      </c>
      <c r="F1887">
        <v>9</v>
      </c>
      <c r="G1887">
        <v>3</v>
      </c>
      <c r="H1887">
        <v>0</v>
      </c>
      <c r="I1887">
        <v>5</v>
      </c>
      <c r="J1887">
        <v>2019</v>
      </c>
      <c r="K1887">
        <v>3</v>
      </c>
      <c r="L1887" t="s">
        <v>13</v>
      </c>
      <c r="M1887">
        <f>SUM(Pharma_Sales_Data[[#This Row],[M01AB]:[R06]])</f>
        <v>72.34</v>
      </c>
      <c r="N1887" s="2">
        <f>Pharma_Sales_Data[[#This Row],[Total Drug Sales]]*150</f>
        <v>10851</v>
      </c>
      <c r="O1887" s="2">
        <f>Pharma_Sales_Data[[#This Row],[Total Revenue]]*0.3</f>
        <v>3255.2999999999997</v>
      </c>
      <c r="P1887" t="str">
        <f>IF(Pharma_Sales_Data[[#This Row],[Total Revenue]]&gt;20000,"High Value", IF(Pharma_Sales_Data[[#This Row],[Total Revenue]]&gt;=10000,"Medium Value","Low Value"))</f>
        <v>Medium Value</v>
      </c>
    </row>
    <row r="1888" spans="1:16" x14ac:dyDescent="0.35">
      <c r="A1888" s="1">
        <v>43527</v>
      </c>
      <c r="B1888">
        <v>8</v>
      </c>
      <c r="C1888">
        <v>4.01</v>
      </c>
      <c r="D1888">
        <v>1</v>
      </c>
      <c r="E1888">
        <v>20</v>
      </c>
      <c r="F1888">
        <v>5</v>
      </c>
      <c r="G1888">
        <v>0</v>
      </c>
      <c r="H1888">
        <v>10</v>
      </c>
      <c r="I1888">
        <v>0.4</v>
      </c>
      <c r="J1888">
        <v>2019</v>
      </c>
      <c r="K1888">
        <v>3</v>
      </c>
      <c r="L1888" t="s">
        <v>14</v>
      </c>
      <c r="M1888">
        <f>SUM(Pharma_Sales_Data[[#This Row],[M01AB]:[R06]])</f>
        <v>48.41</v>
      </c>
      <c r="N1888" s="2">
        <f>Pharma_Sales_Data[[#This Row],[Total Drug Sales]]*150</f>
        <v>7261.4999999999991</v>
      </c>
      <c r="O1888" s="2">
        <f>Pharma_Sales_Data[[#This Row],[Total Revenue]]*0.3</f>
        <v>2178.4499999999998</v>
      </c>
      <c r="P1888" t="str">
        <f>IF(Pharma_Sales_Data[[#This Row],[Total Revenue]]&gt;20000,"High Value", IF(Pharma_Sales_Data[[#This Row],[Total Revenue]]&gt;=10000,"Medium Value","Low Value"))</f>
        <v>Low Value</v>
      </c>
    </row>
    <row r="1889" spans="1:16" x14ac:dyDescent="0.35">
      <c r="A1889" s="1">
        <v>43528</v>
      </c>
      <c r="B1889">
        <v>5.33</v>
      </c>
      <c r="C1889">
        <v>2.67</v>
      </c>
      <c r="D1889">
        <v>7</v>
      </c>
      <c r="E1889">
        <v>41</v>
      </c>
      <c r="F1889">
        <v>3</v>
      </c>
      <c r="G1889">
        <v>0</v>
      </c>
      <c r="H1889">
        <v>5</v>
      </c>
      <c r="I1889">
        <v>2</v>
      </c>
      <c r="J1889">
        <v>2019</v>
      </c>
      <c r="K1889">
        <v>3</v>
      </c>
      <c r="L1889" t="s">
        <v>15</v>
      </c>
      <c r="M1889">
        <f>SUM(Pharma_Sales_Data[[#This Row],[M01AB]:[R06]])</f>
        <v>66</v>
      </c>
      <c r="N1889" s="2">
        <f>Pharma_Sales_Data[[#This Row],[Total Drug Sales]]*150</f>
        <v>9900</v>
      </c>
      <c r="O1889" s="2">
        <f>Pharma_Sales_Data[[#This Row],[Total Revenue]]*0.3</f>
        <v>2970</v>
      </c>
      <c r="P1889" t="str">
        <f>IF(Pharma_Sales_Data[[#This Row],[Total Revenue]]&gt;20000,"High Value", IF(Pharma_Sales_Data[[#This Row],[Total Revenue]]&gt;=10000,"Medium Value","Low Value"))</f>
        <v>Low Value</v>
      </c>
    </row>
    <row r="1890" spans="1:16" x14ac:dyDescent="0.35">
      <c r="A1890" s="1">
        <v>43529</v>
      </c>
      <c r="B1890">
        <v>3.01</v>
      </c>
      <c r="C1890">
        <v>2.33</v>
      </c>
      <c r="D1890">
        <v>0.2</v>
      </c>
      <c r="E1890">
        <v>20</v>
      </c>
      <c r="F1890">
        <v>8</v>
      </c>
      <c r="G1890">
        <v>3</v>
      </c>
      <c r="H1890">
        <v>6</v>
      </c>
      <c r="I1890">
        <v>5.3</v>
      </c>
      <c r="J1890">
        <v>2019</v>
      </c>
      <c r="K1890">
        <v>3</v>
      </c>
      <c r="L1890" t="s">
        <v>16</v>
      </c>
      <c r="M1890">
        <f>SUM(Pharma_Sales_Data[[#This Row],[M01AB]:[R06]])</f>
        <v>47.839999999999996</v>
      </c>
      <c r="N1890" s="2">
        <f>Pharma_Sales_Data[[#This Row],[Total Drug Sales]]*150</f>
        <v>7175.9999999999991</v>
      </c>
      <c r="O1890" s="2">
        <f>Pharma_Sales_Data[[#This Row],[Total Revenue]]*0.3</f>
        <v>2152.7999999999997</v>
      </c>
      <c r="P1890" t="str">
        <f>IF(Pharma_Sales_Data[[#This Row],[Total Revenue]]&gt;20000,"High Value", IF(Pharma_Sales_Data[[#This Row],[Total Revenue]]&gt;=10000,"Medium Value","Low Value"))</f>
        <v>Low Value</v>
      </c>
    </row>
    <row r="1891" spans="1:16" x14ac:dyDescent="0.35">
      <c r="A1891" s="1">
        <v>43530</v>
      </c>
      <c r="B1891">
        <v>0.34</v>
      </c>
      <c r="C1891">
        <v>1.3959999999999999</v>
      </c>
      <c r="D1891">
        <v>0.7</v>
      </c>
      <c r="E1891">
        <v>31</v>
      </c>
      <c r="F1891">
        <v>17</v>
      </c>
      <c r="G1891">
        <v>1</v>
      </c>
      <c r="H1891">
        <v>5</v>
      </c>
      <c r="I1891">
        <v>3</v>
      </c>
      <c r="J1891">
        <v>2019</v>
      </c>
      <c r="K1891">
        <v>3</v>
      </c>
      <c r="L1891" t="s">
        <v>17</v>
      </c>
      <c r="M1891">
        <f>SUM(Pharma_Sales_Data[[#This Row],[M01AB]:[R06]])</f>
        <v>59.436</v>
      </c>
      <c r="N1891" s="2">
        <f>Pharma_Sales_Data[[#This Row],[Total Drug Sales]]*150</f>
        <v>8915.4</v>
      </c>
      <c r="O1891" s="2">
        <f>Pharma_Sales_Data[[#This Row],[Total Revenue]]*0.3</f>
        <v>2674.62</v>
      </c>
      <c r="P1891" t="str">
        <f>IF(Pharma_Sales_Data[[#This Row],[Total Revenue]]&gt;20000,"High Value", IF(Pharma_Sales_Data[[#This Row],[Total Revenue]]&gt;=10000,"Medium Value","Low Value"))</f>
        <v>Low Value</v>
      </c>
    </row>
    <row r="1892" spans="1:16" x14ac:dyDescent="0.35">
      <c r="A1892" s="1">
        <v>43531</v>
      </c>
      <c r="B1892">
        <v>7.33</v>
      </c>
      <c r="C1892">
        <v>2.0760000000000001</v>
      </c>
      <c r="D1892">
        <v>4.25</v>
      </c>
      <c r="E1892">
        <v>10</v>
      </c>
      <c r="F1892">
        <v>24</v>
      </c>
      <c r="G1892">
        <v>0</v>
      </c>
      <c r="H1892">
        <v>0</v>
      </c>
      <c r="I1892">
        <v>4</v>
      </c>
      <c r="J1892">
        <v>2019</v>
      </c>
      <c r="K1892">
        <v>3</v>
      </c>
      <c r="L1892" t="s">
        <v>11</v>
      </c>
      <c r="M1892">
        <f>SUM(Pharma_Sales_Data[[#This Row],[M01AB]:[R06]])</f>
        <v>51.655999999999999</v>
      </c>
      <c r="N1892" s="2">
        <f>Pharma_Sales_Data[[#This Row],[Total Drug Sales]]*150</f>
        <v>7748.4</v>
      </c>
      <c r="O1892" s="2">
        <f>Pharma_Sales_Data[[#This Row],[Total Revenue]]*0.3</f>
        <v>2324.52</v>
      </c>
      <c r="P1892" t="str">
        <f>IF(Pharma_Sales_Data[[#This Row],[Total Revenue]]&gt;20000,"High Value", IF(Pharma_Sales_Data[[#This Row],[Total Revenue]]&gt;=10000,"Medium Value","Low Value"))</f>
        <v>Low Value</v>
      </c>
    </row>
    <row r="1893" spans="1:16" x14ac:dyDescent="0.35">
      <c r="A1893" s="1">
        <v>43532</v>
      </c>
      <c r="B1893">
        <v>2.33</v>
      </c>
      <c r="C1893">
        <v>3.34</v>
      </c>
      <c r="D1893">
        <v>0.2</v>
      </c>
      <c r="E1893">
        <v>33.700000000000003</v>
      </c>
      <c r="F1893">
        <v>4</v>
      </c>
      <c r="G1893">
        <v>1</v>
      </c>
      <c r="H1893">
        <v>0</v>
      </c>
      <c r="I1893">
        <v>4.3</v>
      </c>
      <c r="J1893">
        <v>2019</v>
      </c>
      <c r="K1893">
        <v>3</v>
      </c>
      <c r="L1893" t="s">
        <v>12</v>
      </c>
      <c r="M1893">
        <f>SUM(Pharma_Sales_Data[[#This Row],[M01AB]:[R06]])</f>
        <v>48.87</v>
      </c>
      <c r="N1893" s="2">
        <f>Pharma_Sales_Data[[#This Row],[Total Drug Sales]]*150</f>
        <v>7330.5</v>
      </c>
      <c r="O1893" s="2">
        <f>Pharma_Sales_Data[[#This Row],[Total Revenue]]*0.3</f>
        <v>2199.15</v>
      </c>
      <c r="P1893" t="str">
        <f>IF(Pharma_Sales_Data[[#This Row],[Total Revenue]]&gt;20000,"High Value", IF(Pharma_Sales_Data[[#This Row],[Total Revenue]]&gt;=10000,"Medium Value","Low Value"))</f>
        <v>Low Value</v>
      </c>
    </row>
    <row r="1894" spans="1:16" x14ac:dyDescent="0.35">
      <c r="A1894" s="1">
        <v>43533</v>
      </c>
      <c r="B1894">
        <v>6.34</v>
      </c>
      <c r="C1894">
        <v>1.67</v>
      </c>
      <c r="D1894">
        <v>4</v>
      </c>
      <c r="E1894">
        <v>45.2</v>
      </c>
      <c r="F1894">
        <v>11</v>
      </c>
      <c r="G1894">
        <v>0</v>
      </c>
      <c r="H1894">
        <v>7</v>
      </c>
      <c r="I1894">
        <v>5</v>
      </c>
      <c r="J1894">
        <v>2019</v>
      </c>
      <c r="K1894">
        <v>3</v>
      </c>
      <c r="L1894" t="s">
        <v>13</v>
      </c>
      <c r="M1894">
        <f>SUM(Pharma_Sales_Data[[#This Row],[M01AB]:[R06]])</f>
        <v>80.210000000000008</v>
      </c>
      <c r="N1894" s="2">
        <f>Pharma_Sales_Data[[#This Row],[Total Drug Sales]]*150</f>
        <v>12031.500000000002</v>
      </c>
      <c r="O1894" s="2">
        <f>Pharma_Sales_Data[[#This Row],[Total Revenue]]*0.3</f>
        <v>3609.4500000000003</v>
      </c>
      <c r="P1894" t="str">
        <f>IF(Pharma_Sales_Data[[#This Row],[Total Revenue]]&gt;20000,"High Value", IF(Pharma_Sales_Data[[#This Row],[Total Revenue]]&gt;=10000,"Medium Value","Low Value"))</f>
        <v>Medium Value</v>
      </c>
    </row>
    <row r="1895" spans="1:16" x14ac:dyDescent="0.35">
      <c r="A1895" s="1">
        <v>43534</v>
      </c>
      <c r="B1895">
        <v>5.83</v>
      </c>
      <c r="C1895">
        <v>3.0870000000000002</v>
      </c>
      <c r="D1895">
        <v>5.35</v>
      </c>
      <c r="E1895">
        <v>51</v>
      </c>
      <c r="F1895">
        <v>5</v>
      </c>
      <c r="G1895">
        <v>0</v>
      </c>
      <c r="H1895">
        <v>3</v>
      </c>
      <c r="I1895">
        <v>9</v>
      </c>
      <c r="J1895">
        <v>2019</v>
      </c>
      <c r="K1895">
        <v>3</v>
      </c>
      <c r="L1895" t="s">
        <v>14</v>
      </c>
      <c r="M1895">
        <f>SUM(Pharma_Sales_Data[[#This Row],[M01AB]:[R06]])</f>
        <v>82.266999999999996</v>
      </c>
      <c r="N1895" s="2">
        <f>Pharma_Sales_Data[[#This Row],[Total Drug Sales]]*150</f>
        <v>12340.05</v>
      </c>
      <c r="O1895" s="2">
        <f>Pharma_Sales_Data[[#This Row],[Total Revenue]]*0.3</f>
        <v>3702.0149999999994</v>
      </c>
      <c r="P1895" t="str">
        <f>IF(Pharma_Sales_Data[[#This Row],[Total Revenue]]&gt;20000,"High Value", IF(Pharma_Sales_Data[[#This Row],[Total Revenue]]&gt;=10000,"Medium Value","Low Value"))</f>
        <v>Medium Value</v>
      </c>
    </row>
    <row r="1896" spans="1:16" x14ac:dyDescent="0.35">
      <c r="A1896" s="1">
        <v>43535</v>
      </c>
      <c r="B1896">
        <v>14.66</v>
      </c>
      <c r="C1896">
        <v>3.67</v>
      </c>
      <c r="D1896">
        <v>2.5</v>
      </c>
      <c r="E1896">
        <v>26.4</v>
      </c>
      <c r="F1896">
        <v>10</v>
      </c>
      <c r="G1896">
        <v>3</v>
      </c>
      <c r="H1896">
        <v>11</v>
      </c>
      <c r="I1896">
        <v>3</v>
      </c>
      <c r="J1896">
        <v>2019</v>
      </c>
      <c r="K1896">
        <v>3</v>
      </c>
      <c r="L1896" t="s">
        <v>15</v>
      </c>
      <c r="M1896">
        <f>SUM(Pharma_Sales_Data[[#This Row],[M01AB]:[R06]])</f>
        <v>74.22999999999999</v>
      </c>
      <c r="N1896" s="2">
        <f>Pharma_Sales_Data[[#This Row],[Total Drug Sales]]*150</f>
        <v>11134.499999999998</v>
      </c>
      <c r="O1896" s="2">
        <f>Pharma_Sales_Data[[#This Row],[Total Revenue]]*0.3</f>
        <v>3340.3499999999995</v>
      </c>
      <c r="P1896" t="str">
        <f>IF(Pharma_Sales_Data[[#This Row],[Total Revenue]]&gt;20000,"High Value", IF(Pharma_Sales_Data[[#This Row],[Total Revenue]]&gt;=10000,"Medium Value","Low Value"))</f>
        <v>Medium Value</v>
      </c>
    </row>
    <row r="1897" spans="1:16" x14ac:dyDescent="0.35">
      <c r="A1897" s="1">
        <v>43536</v>
      </c>
      <c r="B1897">
        <v>4.33</v>
      </c>
      <c r="C1897">
        <v>3.3730000000000002</v>
      </c>
      <c r="D1897">
        <v>1.5</v>
      </c>
      <c r="E1897">
        <v>31.85</v>
      </c>
      <c r="F1897">
        <v>12</v>
      </c>
      <c r="G1897">
        <v>0</v>
      </c>
      <c r="H1897">
        <v>7</v>
      </c>
      <c r="I1897">
        <v>2</v>
      </c>
      <c r="J1897">
        <v>2019</v>
      </c>
      <c r="K1897">
        <v>3</v>
      </c>
      <c r="L1897" t="s">
        <v>16</v>
      </c>
      <c r="M1897">
        <f>SUM(Pharma_Sales_Data[[#This Row],[M01AB]:[R06]])</f>
        <v>62.052999999999997</v>
      </c>
      <c r="N1897" s="2">
        <f>Pharma_Sales_Data[[#This Row],[Total Drug Sales]]*150</f>
        <v>9307.9499999999989</v>
      </c>
      <c r="O1897" s="2">
        <f>Pharma_Sales_Data[[#This Row],[Total Revenue]]*0.3</f>
        <v>2792.3849999999998</v>
      </c>
      <c r="P1897" t="str">
        <f>IF(Pharma_Sales_Data[[#This Row],[Total Revenue]]&gt;20000,"High Value", IF(Pharma_Sales_Data[[#This Row],[Total Revenue]]&gt;=10000,"Medium Value","Low Value"))</f>
        <v>Low Value</v>
      </c>
    </row>
    <row r="1898" spans="1:16" x14ac:dyDescent="0.35">
      <c r="A1898" s="1">
        <v>43537</v>
      </c>
      <c r="B1898">
        <v>2.67</v>
      </c>
      <c r="C1898">
        <v>4.34</v>
      </c>
      <c r="D1898">
        <v>6</v>
      </c>
      <c r="E1898">
        <v>22</v>
      </c>
      <c r="F1898">
        <v>10</v>
      </c>
      <c r="G1898">
        <v>0</v>
      </c>
      <c r="H1898">
        <v>8</v>
      </c>
      <c r="I1898">
        <v>4</v>
      </c>
      <c r="J1898">
        <v>2019</v>
      </c>
      <c r="K1898">
        <v>3</v>
      </c>
      <c r="L1898" t="s">
        <v>17</v>
      </c>
      <c r="M1898">
        <f>SUM(Pharma_Sales_Data[[#This Row],[M01AB]:[R06]])</f>
        <v>57.01</v>
      </c>
      <c r="N1898" s="2">
        <f>Pharma_Sales_Data[[#This Row],[Total Drug Sales]]*150</f>
        <v>8551.5</v>
      </c>
      <c r="O1898" s="2">
        <f>Pharma_Sales_Data[[#This Row],[Total Revenue]]*0.3</f>
        <v>2565.4499999999998</v>
      </c>
      <c r="P1898" t="str">
        <f>IF(Pharma_Sales_Data[[#This Row],[Total Revenue]]&gt;20000,"High Value", IF(Pharma_Sales_Data[[#This Row],[Total Revenue]]&gt;=10000,"Medium Value","Low Value"))</f>
        <v>Low Value</v>
      </c>
    </row>
    <row r="1899" spans="1:16" x14ac:dyDescent="0.35">
      <c r="A1899" s="1">
        <v>43538</v>
      </c>
      <c r="B1899">
        <v>4</v>
      </c>
      <c r="C1899">
        <v>5.67</v>
      </c>
      <c r="D1899">
        <v>0.2</v>
      </c>
      <c r="E1899">
        <v>47.2</v>
      </c>
      <c r="F1899">
        <v>12</v>
      </c>
      <c r="G1899">
        <v>1</v>
      </c>
      <c r="H1899">
        <v>27</v>
      </c>
      <c r="I1899">
        <v>6</v>
      </c>
      <c r="J1899">
        <v>2019</v>
      </c>
      <c r="K1899">
        <v>3</v>
      </c>
      <c r="L1899" t="s">
        <v>11</v>
      </c>
      <c r="M1899">
        <f>SUM(Pharma_Sales_Data[[#This Row],[M01AB]:[R06]])</f>
        <v>103.07</v>
      </c>
      <c r="N1899" s="2">
        <f>Pharma_Sales_Data[[#This Row],[Total Drug Sales]]*150</f>
        <v>15460.499999999998</v>
      </c>
      <c r="O1899" s="2">
        <f>Pharma_Sales_Data[[#This Row],[Total Revenue]]*0.3</f>
        <v>4638.1499999999996</v>
      </c>
      <c r="P1899" t="str">
        <f>IF(Pharma_Sales_Data[[#This Row],[Total Revenue]]&gt;20000,"High Value", IF(Pharma_Sales_Data[[#This Row],[Total Revenue]]&gt;=10000,"Medium Value","Low Value"))</f>
        <v>Medium Value</v>
      </c>
    </row>
    <row r="1900" spans="1:16" x14ac:dyDescent="0.35">
      <c r="A1900" s="1">
        <v>43539</v>
      </c>
      <c r="B1900">
        <v>2.83</v>
      </c>
      <c r="C1900">
        <v>1.34</v>
      </c>
      <c r="D1900">
        <v>3</v>
      </c>
      <c r="E1900">
        <v>40</v>
      </c>
      <c r="F1900">
        <v>7</v>
      </c>
      <c r="G1900">
        <v>1</v>
      </c>
      <c r="H1900">
        <v>20</v>
      </c>
      <c r="I1900">
        <v>5</v>
      </c>
      <c r="J1900">
        <v>2019</v>
      </c>
      <c r="K1900">
        <v>3</v>
      </c>
      <c r="L1900" t="s">
        <v>12</v>
      </c>
      <c r="M1900">
        <f>SUM(Pharma_Sales_Data[[#This Row],[M01AB]:[R06]])</f>
        <v>80.17</v>
      </c>
      <c r="N1900" s="2">
        <f>Pharma_Sales_Data[[#This Row],[Total Drug Sales]]*150</f>
        <v>12025.5</v>
      </c>
      <c r="O1900" s="2">
        <f>Pharma_Sales_Data[[#This Row],[Total Revenue]]*0.3</f>
        <v>3607.65</v>
      </c>
      <c r="P1900" t="str">
        <f>IF(Pharma_Sales_Data[[#This Row],[Total Revenue]]&gt;20000,"High Value", IF(Pharma_Sales_Data[[#This Row],[Total Revenue]]&gt;=10000,"Medium Value","Low Value"))</f>
        <v>Medium Value</v>
      </c>
    </row>
    <row r="1901" spans="1:16" x14ac:dyDescent="0.35">
      <c r="A1901" s="1">
        <v>43540</v>
      </c>
      <c r="B1901">
        <v>8.34</v>
      </c>
      <c r="C1901">
        <v>0.83699999999999997</v>
      </c>
      <c r="D1901">
        <v>5</v>
      </c>
      <c r="E1901">
        <v>29</v>
      </c>
      <c r="F1901">
        <v>9</v>
      </c>
      <c r="G1901">
        <v>0</v>
      </c>
      <c r="H1901">
        <v>5</v>
      </c>
      <c r="I1901">
        <v>7</v>
      </c>
      <c r="J1901">
        <v>2019</v>
      </c>
      <c r="K1901">
        <v>3</v>
      </c>
      <c r="L1901" t="s">
        <v>13</v>
      </c>
      <c r="M1901">
        <f>SUM(Pharma_Sales_Data[[#This Row],[M01AB]:[R06]])</f>
        <v>64.176999999999992</v>
      </c>
      <c r="N1901" s="2">
        <f>Pharma_Sales_Data[[#This Row],[Total Drug Sales]]*150</f>
        <v>9626.5499999999993</v>
      </c>
      <c r="O1901" s="2">
        <f>Pharma_Sales_Data[[#This Row],[Total Revenue]]*0.3</f>
        <v>2887.9649999999997</v>
      </c>
      <c r="P1901" t="str">
        <f>IF(Pharma_Sales_Data[[#This Row],[Total Revenue]]&gt;20000,"High Value", IF(Pharma_Sales_Data[[#This Row],[Total Revenue]]&gt;=10000,"Medium Value","Low Value"))</f>
        <v>Low Value</v>
      </c>
    </row>
    <row r="1902" spans="1:16" x14ac:dyDescent="0.35">
      <c r="A1902" s="1">
        <v>43541</v>
      </c>
      <c r="B1902">
        <v>6.68</v>
      </c>
      <c r="C1902">
        <v>3.7229999999999999</v>
      </c>
      <c r="D1902">
        <v>2</v>
      </c>
      <c r="E1902">
        <v>55</v>
      </c>
      <c r="F1902">
        <v>6</v>
      </c>
      <c r="G1902">
        <v>0</v>
      </c>
      <c r="H1902">
        <v>10</v>
      </c>
      <c r="I1902">
        <v>5</v>
      </c>
      <c r="J1902">
        <v>2019</v>
      </c>
      <c r="K1902">
        <v>3</v>
      </c>
      <c r="L1902" t="s">
        <v>14</v>
      </c>
      <c r="M1902">
        <f>SUM(Pharma_Sales_Data[[#This Row],[M01AB]:[R06]])</f>
        <v>88.402999999999992</v>
      </c>
      <c r="N1902" s="2">
        <f>Pharma_Sales_Data[[#This Row],[Total Drug Sales]]*150</f>
        <v>13260.449999999999</v>
      </c>
      <c r="O1902" s="2">
        <f>Pharma_Sales_Data[[#This Row],[Total Revenue]]*0.3</f>
        <v>3978.1349999999993</v>
      </c>
      <c r="P1902" t="str">
        <f>IF(Pharma_Sales_Data[[#This Row],[Total Revenue]]&gt;20000,"High Value", IF(Pharma_Sales_Data[[#This Row],[Total Revenue]]&gt;=10000,"Medium Value","Low Value"))</f>
        <v>Medium Value</v>
      </c>
    </row>
    <row r="1903" spans="1:16" x14ac:dyDescent="0.35">
      <c r="A1903" s="1">
        <v>43542</v>
      </c>
      <c r="B1903">
        <v>2.33</v>
      </c>
      <c r="C1903">
        <v>0.83499999999999996</v>
      </c>
      <c r="D1903">
        <v>2.1</v>
      </c>
      <c r="E1903">
        <v>23</v>
      </c>
      <c r="F1903">
        <v>11</v>
      </c>
      <c r="G1903">
        <v>0</v>
      </c>
      <c r="H1903">
        <v>1</v>
      </c>
      <c r="I1903">
        <v>9</v>
      </c>
      <c r="J1903">
        <v>2019</v>
      </c>
      <c r="K1903">
        <v>3</v>
      </c>
      <c r="L1903" t="s">
        <v>15</v>
      </c>
      <c r="M1903">
        <f>SUM(Pharma_Sales_Data[[#This Row],[M01AB]:[R06]])</f>
        <v>49.265000000000001</v>
      </c>
      <c r="N1903" s="2">
        <f>Pharma_Sales_Data[[#This Row],[Total Drug Sales]]*150</f>
        <v>7389.75</v>
      </c>
      <c r="O1903" s="2">
        <f>Pharma_Sales_Data[[#This Row],[Total Revenue]]*0.3</f>
        <v>2216.9249999999997</v>
      </c>
      <c r="P1903" t="str">
        <f>IF(Pharma_Sales_Data[[#This Row],[Total Revenue]]&gt;20000,"High Value", IF(Pharma_Sales_Data[[#This Row],[Total Revenue]]&gt;=10000,"Medium Value","Low Value"))</f>
        <v>Low Value</v>
      </c>
    </row>
    <row r="1904" spans="1:16" x14ac:dyDescent="0.35">
      <c r="A1904" s="1">
        <v>43543</v>
      </c>
      <c r="B1904">
        <v>9</v>
      </c>
      <c r="C1904">
        <v>3.33</v>
      </c>
      <c r="D1904">
        <v>1.5</v>
      </c>
      <c r="E1904">
        <v>26.2</v>
      </c>
      <c r="F1904">
        <v>10</v>
      </c>
      <c r="G1904">
        <v>1</v>
      </c>
      <c r="H1904">
        <v>2</v>
      </c>
      <c r="I1904">
        <v>8</v>
      </c>
      <c r="J1904">
        <v>2019</v>
      </c>
      <c r="K1904">
        <v>3</v>
      </c>
      <c r="L1904" t="s">
        <v>16</v>
      </c>
      <c r="M1904">
        <f>SUM(Pharma_Sales_Data[[#This Row],[M01AB]:[R06]])</f>
        <v>61.03</v>
      </c>
      <c r="N1904" s="2">
        <f>Pharma_Sales_Data[[#This Row],[Total Drug Sales]]*150</f>
        <v>9154.5</v>
      </c>
      <c r="O1904" s="2">
        <f>Pharma_Sales_Data[[#This Row],[Total Revenue]]*0.3</f>
        <v>2746.35</v>
      </c>
      <c r="P1904" t="str">
        <f>IF(Pharma_Sales_Data[[#This Row],[Total Revenue]]&gt;20000,"High Value", IF(Pharma_Sales_Data[[#This Row],[Total Revenue]]&gt;=10000,"Medium Value","Low Value"))</f>
        <v>Low Value</v>
      </c>
    </row>
    <row r="1905" spans="1:16" x14ac:dyDescent="0.35">
      <c r="A1905" s="1">
        <v>43544</v>
      </c>
      <c r="B1905">
        <v>5.67</v>
      </c>
      <c r="C1905">
        <v>2</v>
      </c>
      <c r="D1905">
        <v>2</v>
      </c>
      <c r="E1905">
        <v>28.9</v>
      </c>
      <c r="F1905">
        <v>8.1999999999999993</v>
      </c>
      <c r="G1905">
        <v>0</v>
      </c>
      <c r="H1905">
        <v>19</v>
      </c>
      <c r="I1905">
        <v>5</v>
      </c>
      <c r="J1905">
        <v>2019</v>
      </c>
      <c r="K1905">
        <v>3</v>
      </c>
      <c r="L1905" t="s">
        <v>17</v>
      </c>
      <c r="M1905">
        <f>SUM(Pharma_Sales_Data[[#This Row],[M01AB]:[R06]])</f>
        <v>70.77</v>
      </c>
      <c r="N1905" s="2">
        <f>Pharma_Sales_Data[[#This Row],[Total Drug Sales]]*150</f>
        <v>10615.5</v>
      </c>
      <c r="O1905" s="2">
        <f>Pharma_Sales_Data[[#This Row],[Total Revenue]]*0.3</f>
        <v>3184.65</v>
      </c>
      <c r="P1905" t="str">
        <f>IF(Pharma_Sales_Data[[#This Row],[Total Revenue]]&gt;20000,"High Value", IF(Pharma_Sales_Data[[#This Row],[Total Revenue]]&gt;=10000,"Medium Value","Low Value"))</f>
        <v>Medium Value</v>
      </c>
    </row>
    <row r="1906" spans="1:16" x14ac:dyDescent="0.35">
      <c r="A1906" s="1">
        <v>43545</v>
      </c>
      <c r="B1906">
        <v>2.33</v>
      </c>
      <c r="C1906">
        <v>1.423</v>
      </c>
      <c r="D1906">
        <v>0</v>
      </c>
      <c r="E1906">
        <v>18.8</v>
      </c>
      <c r="F1906">
        <v>13</v>
      </c>
      <c r="G1906">
        <v>0</v>
      </c>
      <c r="H1906">
        <v>6</v>
      </c>
      <c r="I1906">
        <v>5</v>
      </c>
      <c r="J1906">
        <v>2019</v>
      </c>
      <c r="K1906">
        <v>3</v>
      </c>
      <c r="L1906" t="s">
        <v>11</v>
      </c>
      <c r="M1906">
        <f>SUM(Pharma_Sales_Data[[#This Row],[M01AB]:[R06]])</f>
        <v>46.552999999999997</v>
      </c>
      <c r="N1906" s="2">
        <f>Pharma_Sales_Data[[#This Row],[Total Drug Sales]]*150</f>
        <v>6982.95</v>
      </c>
      <c r="O1906" s="2">
        <f>Pharma_Sales_Data[[#This Row],[Total Revenue]]*0.3</f>
        <v>2094.8849999999998</v>
      </c>
      <c r="P1906" t="str">
        <f>IF(Pharma_Sales_Data[[#This Row],[Total Revenue]]&gt;20000,"High Value", IF(Pharma_Sales_Data[[#This Row],[Total Revenue]]&gt;=10000,"Medium Value","Low Value"))</f>
        <v>Low Value</v>
      </c>
    </row>
    <row r="1907" spans="1:16" x14ac:dyDescent="0.35">
      <c r="A1907" s="1">
        <v>43546</v>
      </c>
      <c r="B1907">
        <v>4.66</v>
      </c>
      <c r="C1907">
        <v>7.0430000000000001</v>
      </c>
      <c r="D1907">
        <v>1.1000000000000001</v>
      </c>
      <c r="E1907">
        <v>41</v>
      </c>
      <c r="F1907">
        <v>13</v>
      </c>
      <c r="G1907">
        <v>0</v>
      </c>
      <c r="H1907">
        <v>29</v>
      </c>
      <c r="I1907">
        <v>6</v>
      </c>
      <c r="J1907">
        <v>2019</v>
      </c>
      <c r="K1907">
        <v>3</v>
      </c>
      <c r="L1907" t="s">
        <v>12</v>
      </c>
      <c r="M1907">
        <f>SUM(Pharma_Sales_Data[[#This Row],[M01AB]:[R06]])</f>
        <v>101.803</v>
      </c>
      <c r="N1907" s="2">
        <f>Pharma_Sales_Data[[#This Row],[Total Drug Sales]]*150</f>
        <v>15270.449999999999</v>
      </c>
      <c r="O1907" s="2">
        <f>Pharma_Sales_Data[[#This Row],[Total Revenue]]*0.3</f>
        <v>4581.1349999999993</v>
      </c>
      <c r="P1907" t="str">
        <f>IF(Pharma_Sales_Data[[#This Row],[Total Revenue]]&gt;20000,"High Value", IF(Pharma_Sales_Data[[#This Row],[Total Revenue]]&gt;=10000,"Medium Value","Low Value"))</f>
        <v>Medium Value</v>
      </c>
    </row>
    <row r="1908" spans="1:16" x14ac:dyDescent="0.35">
      <c r="A1908" s="1">
        <v>43547</v>
      </c>
      <c r="B1908">
        <v>6</v>
      </c>
      <c r="C1908">
        <v>3.36</v>
      </c>
      <c r="D1908">
        <v>4.25</v>
      </c>
      <c r="E1908">
        <v>15.5</v>
      </c>
      <c r="F1908">
        <v>7</v>
      </c>
      <c r="G1908">
        <v>0</v>
      </c>
      <c r="H1908">
        <v>1</v>
      </c>
      <c r="I1908">
        <v>5</v>
      </c>
      <c r="J1908">
        <v>2019</v>
      </c>
      <c r="K1908">
        <v>3</v>
      </c>
      <c r="L1908" t="s">
        <v>13</v>
      </c>
      <c r="M1908">
        <f>SUM(Pharma_Sales_Data[[#This Row],[M01AB]:[R06]])</f>
        <v>42.11</v>
      </c>
      <c r="N1908" s="2">
        <f>Pharma_Sales_Data[[#This Row],[Total Drug Sales]]*150</f>
        <v>6316.5</v>
      </c>
      <c r="O1908" s="2">
        <f>Pharma_Sales_Data[[#This Row],[Total Revenue]]*0.3</f>
        <v>1894.9499999999998</v>
      </c>
      <c r="P1908" t="str">
        <f>IF(Pharma_Sales_Data[[#This Row],[Total Revenue]]&gt;20000,"High Value", IF(Pharma_Sales_Data[[#This Row],[Total Revenue]]&gt;=10000,"Medium Value","Low Value"))</f>
        <v>Low Value</v>
      </c>
    </row>
    <row r="1909" spans="1:16" x14ac:dyDescent="0.35">
      <c r="A1909" s="1">
        <v>43548</v>
      </c>
      <c r="B1909">
        <v>6</v>
      </c>
      <c r="C1909">
        <v>2.67</v>
      </c>
      <c r="D1909">
        <v>3</v>
      </c>
      <c r="E1909">
        <v>43.2</v>
      </c>
      <c r="F1909">
        <v>6.2</v>
      </c>
      <c r="G1909">
        <v>1</v>
      </c>
      <c r="H1909">
        <v>16</v>
      </c>
      <c r="I1909">
        <v>10</v>
      </c>
      <c r="J1909">
        <v>2019</v>
      </c>
      <c r="K1909">
        <v>3</v>
      </c>
      <c r="L1909" t="s">
        <v>14</v>
      </c>
      <c r="M1909">
        <f>SUM(Pharma_Sales_Data[[#This Row],[M01AB]:[R06]])</f>
        <v>88.070000000000007</v>
      </c>
      <c r="N1909" s="2">
        <f>Pharma_Sales_Data[[#This Row],[Total Drug Sales]]*150</f>
        <v>13210.500000000002</v>
      </c>
      <c r="O1909" s="2">
        <f>Pharma_Sales_Data[[#This Row],[Total Revenue]]*0.3</f>
        <v>3963.1500000000005</v>
      </c>
      <c r="P1909" t="str">
        <f>IF(Pharma_Sales_Data[[#This Row],[Total Revenue]]&gt;20000,"High Value", IF(Pharma_Sales_Data[[#This Row],[Total Revenue]]&gt;=10000,"Medium Value","Low Value"))</f>
        <v>Medium Value</v>
      </c>
    </row>
    <row r="1910" spans="1:16" x14ac:dyDescent="0.35">
      <c r="A1910" s="1">
        <v>43549</v>
      </c>
      <c r="B1910">
        <v>4.84</v>
      </c>
      <c r="C1910">
        <v>4.5229999999999997</v>
      </c>
      <c r="D1910">
        <v>6</v>
      </c>
      <c r="E1910">
        <v>27</v>
      </c>
      <c r="F1910">
        <v>11</v>
      </c>
      <c r="G1910">
        <v>1</v>
      </c>
      <c r="H1910">
        <v>6</v>
      </c>
      <c r="I1910">
        <v>6</v>
      </c>
      <c r="J1910">
        <v>2019</v>
      </c>
      <c r="K1910">
        <v>3</v>
      </c>
      <c r="L1910" t="s">
        <v>15</v>
      </c>
      <c r="M1910">
        <f>SUM(Pharma_Sales_Data[[#This Row],[M01AB]:[R06]])</f>
        <v>66.363</v>
      </c>
      <c r="N1910" s="2">
        <f>Pharma_Sales_Data[[#This Row],[Total Drug Sales]]*150</f>
        <v>9954.4500000000007</v>
      </c>
      <c r="O1910" s="2">
        <f>Pharma_Sales_Data[[#This Row],[Total Revenue]]*0.3</f>
        <v>2986.335</v>
      </c>
      <c r="P1910" t="str">
        <f>IF(Pharma_Sales_Data[[#This Row],[Total Revenue]]&gt;20000,"High Value", IF(Pharma_Sales_Data[[#This Row],[Total Revenue]]&gt;=10000,"Medium Value","Low Value"))</f>
        <v>Low Value</v>
      </c>
    </row>
    <row r="1911" spans="1:16" x14ac:dyDescent="0.35">
      <c r="A1911" s="1">
        <v>43550</v>
      </c>
      <c r="B1911">
        <v>4</v>
      </c>
      <c r="C1911">
        <v>5.51</v>
      </c>
      <c r="D1911">
        <v>3</v>
      </c>
      <c r="E1911">
        <v>36</v>
      </c>
      <c r="F1911">
        <v>11</v>
      </c>
      <c r="G1911">
        <v>0</v>
      </c>
      <c r="H1911">
        <v>19</v>
      </c>
      <c r="I1911">
        <v>9</v>
      </c>
      <c r="J1911">
        <v>2019</v>
      </c>
      <c r="K1911">
        <v>3</v>
      </c>
      <c r="L1911" t="s">
        <v>16</v>
      </c>
      <c r="M1911">
        <f>SUM(Pharma_Sales_Data[[#This Row],[M01AB]:[R06]])</f>
        <v>87.509999999999991</v>
      </c>
      <c r="N1911" s="2">
        <f>Pharma_Sales_Data[[#This Row],[Total Drug Sales]]*150</f>
        <v>13126.499999999998</v>
      </c>
      <c r="O1911" s="2">
        <f>Pharma_Sales_Data[[#This Row],[Total Revenue]]*0.3</f>
        <v>3937.9499999999994</v>
      </c>
      <c r="P1911" t="str">
        <f>IF(Pharma_Sales_Data[[#This Row],[Total Revenue]]&gt;20000,"High Value", IF(Pharma_Sales_Data[[#This Row],[Total Revenue]]&gt;=10000,"Medium Value","Low Value"))</f>
        <v>Medium Value</v>
      </c>
    </row>
    <row r="1912" spans="1:16" x14ac:dyDescent="0.35">
      <c r="A1912" s="1">
        <v>43551</v>
      </c>
      <c r="B1912">
        <v>6.34</v>
      </c>
      <c r="C1912">
        <v>7.7690000000000001</v>
      </c>
      <c r="D1912">
        <v>3</v>
      </c>
      <c r="E1912">
        <v>25.6</v>
      </c>
      <c r="F1912">
        <v>12</v>
      </c>
      <c r="G1912">
        <v>1</v>
      </c>
      <c r="H1912">
        <v>0</v>
      </c>
      <c r="I1912">
        <v>9</v>
      </c>
      <c r="J1912">
        <v>2019</v>
      </c>
      <c r="K1912">
        <v>3</v>
      </c>
      <c r="L1912" t="s">
        <v>17</v>
      </c>
      <c r="M1912">
        <f>SUM(Pharma_Sales_Data[[#This Row],[M01AB]:[R06]])</f>
        <v>64.709000000000003</v>
      </c>
      <c r="N1912" s="2">
        <f>Pharma_Sales_Data[[#This Row],[Total Drug Sales]]*150</f>
        <v>9706.35</v>
      </c>
      <c r="O1912" s="2">
        <f>Pharma_Sales_Data[[#This Row],[Total Revenue]]*0.3</f>
        <v>2911.9050000000002</v>
      </c>
      <c r="P1912" t="str">
        <f>IF(Pharma_Sales_Data[[#This Row],[Total Revenue]]&gt;20000,"High Value", IF(Pharma_Sales_Data[[#This Row],[Total Revenue]]&gt;=10000,"Medium Value","Low Value"))</f>
        <v>Low Value</v>
      </c>
    </row>
    <row r="1913" spans="1:16" x14ac:dyDescent="0.35">
      <c r="A1913" s="1">
        <v>43552</v>
      </c>
      <c r="B1913">
        <v>1.33</v>
      </c>
      <c r="C1913">
        <v>6.43</v>
      </c>
      <c r="D1913">
        <v>1.4</v>
      </c>
      <c r="E1913">
        <v>14</v>
      </c>
      <c r="F1913">
        <v>6</v>
      </c>
      <c r="G1913">
        <v>0</v>
      </c>
      <c r="H1913">
        <v>7</v>
      </c>
      <c r="I1913">
        <v>1</v>
      </c>
      <c r="J1913">
        <v>2019</v>
      </c>
      <c r="K1913">
        <v>3</v>
      </c>
      <c r="L1913" t="s">
        <v>11</v>
      </c>
      <c r="M1913">
        <f>SUM(Pharma_Sales_Data[[#This Row],[M01AB]:[R06]])</f>
        <v>37.159999999999997</v>
      </c>
      <c r="N1913" s="2">
        <f>Pharma_Sales_Data[[#This Row],[Total Drug Sales]]*150</f>
        <v>5573.9999999999991</v>
      </c>
      <c r="O1913" s="2">
        <f>Pharma_Sales_Data[[#This Row],[Total Revenue]]*0.3</f>
        <v>1672.1999999999996</v>
      </c>
      <c r="P1913" t="str">
        <f>IF(Pharma_Sales_Data[[#This Row],[Total Revenue]]&gt;20000,"High Value", IF(Pharma_Sales_Data[[#This Row],[Total Revenue]]&gt;=10000,"Medium Value","Low Value"))</f>
        <v>Low Value</v>
      </c>
    </row>
    <row r="1914" spans="1:16" x14ac:dyDescent="0.35">
      <c r="A1914" s="1">
        <v>43553</v>
      </c>
      <c r="B1914">
        <v>3</v>
      </c>
      <c r="C1914">
        <v>4.298</v>
      </c>
      <c r="D1914">
        <v>4</v>
      </c>
      <c r="E1914">
        <v>25.3</v>
      </c>
      <c r="F1914">
        <v>10</v>
      </c>
      <c r="G1914">
        <v>0</v>
      </c>
      <c r="H1914">
        <v>16</v>
      </c>
      <c r="I1914">
        <v>9.1999999999999993</v>
      </c>
      <c r="J1914">
        <v>2019</v>
      </c>
      <c r="K1914">
        <v>3</v>
      </c>
      <c r="L1914" t="s">
        <v>12</v>
      </c>
      <c r="M1914">
        <f>SUM(Pharma_Sales_Data[[#This Row],[M01AB]:[R06]])</f>
        <v>71.798000000000002</v>
      </c>
      <c r="N1914" s="2">
        <f>Pharma_Sales_Data[[#This Row],[Total Drug Sales]]*150</f>
        <v>10769.7</v>
      </c>
      <c r="O1914" s="2">
        <f>Pharma_Sales_Data[[#This Row],[Total Revenue]]*0.3</f>
        <v>3230.9100000000003</v>
      </c>
      <c r="P1914" t="str">
        <f>IF(Pharma_Sales_Data[[#This Row],[Total Revenue]]&gt;20000,"High Value", IF(Pharma_Sales_Data[[#This Row],[Total Revenue]]&gt;=10000,"Medium Value","Low Value"))</f>
        <v>Medium Value</v>
      </c>
    </row>
    <row r="1915" spans="1:16" x14ac:dyDescent="0.35">
      <c r="A1915" s="1">
        <v>43554</v>
      </c>
      <c r="B1915">
        <v>4.66</v>
      </c>
      <c r="C1915">
        <v>10.68</v>
      </c>
      <c r="D1915">
        <v>1.1000000000000001</v>
      </c>
      <c r="E1915">
        <v>18</v>
      </c>
      <c r="F1915">
        <v>11</v>
      </c>
      <c r="G1915">
        <v>1</v>
      </c>
      <c r="H1915">
        <v>0</v>
      </c>
      <c r="I1915">
        <v>6.1</v>
      </c>
      <c r="J1915">
        <v>2019</v>
      </c>
      <c r="K1915">
        <v>3</v>
      </c>
      <c r="L1915" t="s">
        <v>13</v>
      </c>
      <c r="M1915">
        <f>SUM(Pharma_Sales_Data[[#This Row],[M01AB]:[R06]])</f>
        <v>52.54</v>
      </c>
      <c r="N1915" s="2">
        <f>Pharma_Sales_Data[[#This Row],[Total Drug Sales]]*150</f>
        <v>7881</v>
      </c>
      <c r="O1915" s="2">
        <f>Pharma_Sales_Data[[#This Row],[Total Revenue]]*0.3</f>
        <v>2364.2999999999997</v>
      </c>
      <c r="P1915" t="str">
        <f>IF(Pharma_Sales_Data[[#This Row],[Total Revenue]]&gt;20000,"High Value", IF(Pharma_Sales_Data[[#This Row],[Total Revenue]]&gt;=10000,"Medium Value","Low Value"))</f>
        <v>Low Value</v>
      </c>
    </row>
    <row r="1916" spans="1:16" x14ac:dyDescent="0.35">
      <c r="A1916" s="1">
        <v>43555</v>
      </c>
      <c r="B1916">
        <v>7</v>
      </c>
      <c r="C1916">
        <v>4.5640000000000001</v>
      </c>
      <c r="D1916">
        <v>1.5</v>
      </c>
      <c r="E1916">
        <v>27</v>
      </c>
      <c r="F1916">
        <v>8</v>
      </c>
      <c r="G1916">
        <v>1</v>
      </c>
      <c r="H1916">
        <v>5</v>
      </c>
      <c r="I1916">
        <v>9.1999999999999993</v>
      </c>
      <c r="J1916">
        <v>2019</v>
      </c>
      <c r="K1916">
        <v>3</v>
      </c>
      <c r="L1916" t="s">
        <v>14</v>
      </c>
      <c r="M1916">
        <f>SUM(Pharma_Sales_Data[[#This Row],[M01AB]:[R06]])</f>
        <v>63.263999999999996</v>
      </c>
      <c r="N1916" s="2">
        <f>Pharma_Sales_Data[[#This Row],[Total Drug Sales]]*150</f>
        <v>9489.5999999999985</v>
      </c>
      <c r="O1916" s="2">
        <f>Pharma_Sales_Data[[#This Row],[Total Revenue]]*0.3</f>
        <v>2846.8799999999997</v>
      </c>
      <c r="P1916" t="str">
        <f>IF(Pharma_Sales_Data[[#This Row],[Total Revenue]]&gt;20000,"High Value", IF(Pharma_Sales_Data[[#This Row],[Total Revenue]]&gt;=10000,"Medium Value","Low Value"))</f>
        <v>Low Value</v>
      </c>
    </row>
    <row r="1917" spans="1:16" x14ac:dyDescent="0.35">
      <c r="A1917" s="1">
        <v>43556</v>
      </c>
      <c r="B1917">
        <v>3.01</v>
      </c>
      <c r="C1917">
        <v>1.7030000000000001</v>
      </c>
      <c r="D1917">
        <v>3</v>
      </c>
      <c r="E1917">
        <v>34.65</v>
      </c>
      <c r="F1917">
        <v>12</v>
      </c>
      <c r="G1917">
        <v>0</v>
      </c>
      <c r="H1917">
        <v>5</v>
      </c>
      <c r="I1917">
        <v>5</v>
      </c>
      <c r="J1917">
        <v>2019</v>
      </c>
      <c r="K1917">
        <v>4</v>
      </c>
      <c r="L1917" t="s">
        <v>15</v>
      </c>
      <c r="M1917">
        <f>SUM(Pharma_Sales_Data[[#This Row],[M01AB]:[R06]])</f>
        <v>64.363</v>
      </c>
      <c r="N1917" s="2">
        <f>Pharma_Sales_Data[[#This Row],[Total Drug Sales]]*150</f>
        <v>9654.4500000000007</v>
      </c>
      <c r="O1917" s="2">
        <f>Pharma_Sales_Data[[#This Row],[Total Revenue]]*0.3</f>
        <v>2896.335</v>
      </c>
      <c r="P1917" t="str">
        <f>IF(Pharma_Sales_Data[[#This Row],[Total Revenue]]&gt;20000,"High Value", IF(Pharma_Sales_Data[[#This Row],[Total Revenue]]&gt;=10000,"Medium Value","Low Value"))</f>
        <v>Low Value</v>
      </c>
    </row>
    <row r="1918" spans="1:16" x14ac:dyDescent="0.35">
      <c r="A1918" s="1">
        <v>43557</v>
      </c>
      <c r="B1918">
        <v>7.67</v>
      </c>
      <c r="C1918">
        <v>1.33</v>
      </c>
      <c r="D1918">
        <v>3</v>
      </c>
      <c r="E1918">
        <v>24</v>
      </c>
      <c r="F1918">
        <v>7</v>
      </c>
      <c r="G1918">
        <v>0</v>
      </c>
      <c r="H1918">
        <v>10</v>
      </c>
      <c r="I1918">
        <v>8</v>
      </c>
      <c r="J1918">
        <v>2019</v>
      </c>
      <c r="K1918">
        <v>4</v>
      </c>
      <c r="L1918" t="s">
        <v>16</v>
      </c>
      <c r="M1918">
        <f>SUM(Pharma_Sales_Data[[#This Row],[M01AB]:[R06]])</f>
        <v>61</v>
      </c>
      <c r="N1918" s="2">
        <f>Pharma_Sales_Data[[#This Row],[Total Drug Sales]]*150</f>
        <v>9150</v>
      </c>
      <c r="O1918" s="2">
        <f>Pharma_Sales_Data[[#This Row],[Total Revenue]]*0.3</f>
        <v>2745</v>
      </c>
      <c r="P1918" t="str">
        <f>IF(Pharma_Sales_Data[[#This Row],[Total Revenue]]&gt;20000,"High Value", IF(Pharma_Sales_Data[[#This Row],[Total Revenue]]&gt;=10000,"Medium Value","Low Value"))</f>
        <v>Low Value</v>
      </c>
    </row>
    <row r="1919" spans="1:16" x14ac:dyDescent="0.35">
      <c r="A1919" s="1">
        <v>43558</v>
      </c>
      <c r="B1919">
        <v>5.33</v>
      </c>
      <c r="C1919">
        <v>5.0990000000000002</v>
      </c>
      <c r="D1919">
        <v>1.5</v>
      </c>
      <c r="E1919">
        <v>18.3</v>
      </c>
      <c r="F1919">
        <v>12</v>
      </c>
      <c r="G1919">
        <v>0</v>
      </c>
      <c r="H1919">
        <v>4</v>
      </c>
      <c r="I1919">
        <v>9.3000000000000007</v>
      </c>
      <c r="J1919">
        <v>2019</v>
      </c>
      <c r="K1919">
        <v>4</v>
      </c>
      <c r="L1919" t="s">
        <v>17</v>
      </c>
      <c r="M1919">
        <f>SUM(Pharma_Sales_Data[[#This Row],[M01AB]:[R06]])</f>
        <v>55.528999999999996</v>
      </c>
      <c r="N1919" s="2">
        <f>Pharma_Sales_Data[[#This Row],[Total Drug Sales]]*150</f>
        <v>8329.3499999999985</v>
      </c>
      <c r="O1919" s="2">
        <f>Pharma_Sales_Data[[#This Row],[Total Revenue]]*0.3</f>
        <v>2498.8049999999994</v>
      </c>
      <c r="P1919" t="str">
        <f>IF(Pharma_Sales_Data[[#This Row],[Total Revenue]]&gt;20000,"High Value", IF(Pharma_Sales_Data[[#This Row],[Total Revenue]]&gt;=10000,"Medium Value","Low Value"))</f>
        <v>Low Value</v>
      </c>
    </row>
    <row r="1920" spans="1:16" x14ac:dyDescent="0.35">
      <c r="A1920" s="1">
        <v>43559</v>
      </c>
      <c r="B1920">
        <v>4.5</v>
      </c>
      <c r="C1920">
        <v>2.226</v>
      </c>
      <c r="D1920">
        <v>8</v>
      </c>
      <c r="E1920">
        <v>39</v>
      </c>
      <c r="F1920">
        <v>8</v>
      </c>
      <c r="G1920">
        <v>1</v>
      </c>
      <c r="H1920">
        <v>13</v>
      </c>
      <c r="I1920">
        <v>15</v>
      </c>
      <c r="J1920">
        <v>2019</v>
      </c>
      <c r="K1920">
        <v>4</v>
      </c>
      <c r="L1920" t="s">
        <v>11</v>
      </c>
      <c r="M1920">
        <f>SUM(Pharma_Sales_Data[[#This Row],[M01AB]:[R06]])</f>
        <v>90.725999999999999</v>
      </c>
      <c r="N1920" s="2">
        <f>Pharma_Sales_Data[[#This Row],[Total Drug Sales]]*150</f>
        <v>13608.9</v>
      </c>
      <c r="O1920" s="2">
        <f>Pharma_Sales_Data[[#This Row],[Total Revenue]]*0.3</f>
        <v>4082.6699999999996</v>
      </c>
      <c r="P1920" t="str">
        <f>IF(Pharma_Sales_Data[[#This Row],[Total Revenue]]&gt;20000,"High Value", IF(Pharma_Sales_Data[[#This Row],[Total Revenue]]&gt;=10000,"Medium Value","Low Value"))</f>
        <v>Medium Value</v>
      </c>
    </row>
    <row r="1921" spans="1:16" x14ac:dyDescent="0.35">
      <c r="A1921" s="1">
        <v>43560</v>
      </c>
      <c r="B1921">
        <v>6.34</v>
      </c>
      <c r="C1921">
        <v>4.1980000000000004</v>
      </c>
      <c r="D1921">
        <v>4</v>
      </c>
      <c r="E1921">
        <v>25.2</v>
      </c>
      <c r="F1921">
        <v>7</v>
      </c>
      <c r="G1921">
        <v>0</v>
      </c>
      <c r="H1921">
        <v>3</v>
      </c>
      <c r="I1921">
        <v>4</v>
      </c>
      <c r="J1921">
        <v>2019</v>
      </c>
      <c r="K1921">
        <v>4</v>
      </c>
      <c r="L1921" t="s">
        <v>12</v>
      </c>
      <c r="M1921">
        <f>SUM(Pharma_Sales_Data[[#This Row],[M01AB]:[R06]])</f>
        <v>53.738</v>
      </c>
      <c r="N1921" s="2">
        <f>Pharma_Sales_Data[[#This Row],[Total Drug Sales]]*150</f>
        <v>8060.7</v>
      </c>
      <c r="O1921" s="2">
        <f>Pharma_Sales_Data[[#This Row],[Total Revenue]]*0.3</f>
        <v>2418.21</v>
      </c>
      <c r="P1921" t="str">
        <f>IF(Pharma_Sales_Data[[#This Row],[Total Revenue]]&gt;20000,"High Value", IF(Pharma_Sales_Data[[#This Row],[Total Revenue]]&gt;=10000,"Medium Value","Low Value"))</f>
        <v>Low Value</v>
      </c>
    </row>
    <row r="1922" spans="1:16" x14ac:dyDescent="0.35">
      <c r="A1922" s="1">
        <v>43561</v>
      </c>
      <c r="B1922">
        <v>3.34</v>
      </c>
      <c r="C1922">
        <v>6.01</v>
      </c>
      <c r="D1922">
        <v>3</v>
      </c>
      <c r="E1922">
        <v>13.2</v>
      </c>
      <c r="F1922">
        <v>13</v>
      </c>
      <c r="G1922">
        <v>0</v>
      </c>
      <c r="H1922">
        <v>16</v>
      </c>
      <c r="I1922">
        <v>9.3000000000000007</v>
      </c>
      <c r="J1922">
        <v>2019</v>
      </c>
      <c r="K1922">
        <v>4</v>
      </c>
      <c r="L1922" t="s">
        <v>13</v>
      </c>
      <c r="M1922">
        <f>SUM(Pharma_Sales_Data[[#This Row],[M01AB]:[R06]])</f>
        <v>63.849999999999994</v>
      </c>
      <c r="N1922" s="2">
        <f>Pharma_Sales_Data[[#This Row],[Total Drug Sales]]*150</f>
        <v>9577.5</v>
      </c>
      <c r="O1922" s="2">
        <f>Pharma_Sales_Data[[#This Row],[Total Revenue]]*0.3</f>
        <v>2873.25</v>
      </c>
      <c r="P1922" t="str">
        <f>IF(Pharma_Sales_Data[[#This Row],[Total Revenue]]&gt;20000,"High Value", IF(Pharma_Sales_Data[[#This Row],[Total Revenue]]&gt;=10000,"Medium Value","Low Value"))</f>
        <v>Low Value</v>
      </c>
    </row>
    <row r="1923" spans="1:16" x14ac:dyDescent="0.35">
      <c r="A1923" s="1">
        <v>43562</v>
      </c>
      <c r="B1923">
        <v>6</v>
      </c>
      <c r="C1923">
        <v>5.1189999999999998</v>
      </c>
      <c r="D1923">
        <v>4</v>
      </c>
      <c r="E1923">
        <v>19</v>
      </c>
      <c r="F1923">
        <v>3</v>
      </c>
      <c r="G1923">
        <v>0</v>
      </c>
      <c r="H1923">
        <v>0</v>
      </c>
      <c r="I1923">
        <v>7</v>
      </c>
      <c r="J1923">
        <v>2019</v>
      </c>
      <c r="K1923">
        <v>4</v>
      </c>
      <c r="L1923" t="s">
        <v>14</v>
      </c>
      <c r="M1923">
        <f>SUM(Pharma_Sales_Data[[#This Row],[M01AB]:[R06]])</f>
        <v>44.119</v>
      </c>
      <c r="N1923" s="2">
        <f>Pharma_Sales_Data[[#This Row],[Total Drug Sales]]*150</f>
        <v>6617.85</v>
      </c>
      <c r="O1923" s="2">
        <f>Pharma_Sales_Data[[#This Row],[Total Revenue]]*0.3</f>
        <v>1985.355</v>
      </c>
      <c r="P1923" t="str">
        <f>IF(Pharma_Sales_Data[[#This Row],[Total Revenue]]&gt;20000,"High Value", IF(Pharma_Sales_Data[[#This Row],[Total Revenue]]&gt;=10000,"Medium Value","Low Value"))</f>
        <v>Low Value</v>
      </c>
    </row>
    <row r="1924" spans="1:16" x14ac:dyDescent="0.35">
      <c r="A1924" s="1">
        <v>43563</v>
      </c>
      <c r="B1924">
        <v>5</v>
      </c>
      <c r="C1924">
        <v>4.3499999999999996</v>
      </c>
      <c r="D1924">
        <v>3.3</v>
      </c>
      <c r="E1924">
        <v>10</v>
      </c>
      <c r="F1924">
        <v>8.1999999999999993</v>
      </c>
      <c r="G1924">
        <v>0</v>
      </c>
      <c r="H1924">
        <v>4</v>
      </c>
      <c r="I1924">
        <v>3</v>
      </c>
      <c r="J1924">
        <v>2019</v>
      </c>
      <c r="K1924">
        <v>4</v>
      </c>
      <c r="L1924" t="s">
        <v>15</v>
      </c>
      <c r="M1924">
        <f>SUM(Pharma_Sales_Data[[#This Row],[M01AB]:[R06]])</f>
        <v>37.849999999999994</v>
      </c>
      <c r="N1924" s="2">
        <f>Pharma_Sales_Data[[#This Row],[Total Drug Sales]]*150</f>
        <v>5677.4999999999991</v>
      </c>
      <c r="O1924" s="2">
        <f>Pharma_Sales_Data[[#This Row],[Total Revenue]]*0.3</f>
        <v>1703.2499999999998</v>
      </c>
      <c r="P1924" t="str">
        <f>IF(Pharma_Sales_Data[[#This Row],[Total Revenue]]&gt;20000,"High Value", IF(Pharma_Sales_Data[[#This Row],[Total Revenue]]&gt;=10000,"Medium Value","Low Value"))</f>
        <v>Low Value</v>
      </c>
    </row>
    <row r="1925" spans="1:16" x14ac:dyDescent="0.35">
      <c r="A1925" s="1">
        <v>43564</v>
      </c>
      <c r="B1925">
        <v>2.83</v>
      </c>
      <c r="C1925">
        <v>2</v>
      </c>
      <c r="D1925">
        <v>1</v>
      </c>
      <c r="E1925">
        <v>12</v>
      </c>
      <c r="F1925">
        <v>10</v>
      </c>
      <c r="G1925">
        <v>0</v>
      </c>
      <c r="H1925">
        <v>3</v>
      </c>
      <c r="I1925">
        <v>5</v>
      </c>
      <c r="J1925">
        <v>2019</v>
      </c>
      <c r="K1925">
        <v>4</v>
      </c>
      <c r="L1925" t="s">
        <v>16</v>
      </c>
      <c r="M1925">
        <f>SUM(Pharma_Sales_Data[[#This Row],[M01AB]:[R06]])</f>
        <v>35.83</v>
      </c>
      <c r="N1925" s="2">
        <f>Pharma_Sales_Data[[#This Row],[Total Drug Sales]]*150</f>
        <v>5374.5</v>
      </c>
      <c r="O1925" s="2">
        <f>Pharma_Sales_Data[[#This Row],[Total Revenue]]*0.3</f>
        <v>1612.35</v>
      </c>
      <c r="P1925" t="str">
        <f>IF(Pharma_Sales_Data[[#This Row],[Total Revenue]]&gt;20000,"High Value", IF(Pharma_Sales_Data[[#This Row],[Total Revenue]]&gt;=10000,"Medium Value","Low Value"))</f>
        <v>Low Value</v>
      </c>
    </row>
    <row r="1926" spans="1:16" x14ac:dyDescent="0.35">
      <c r="A1926" s="1">
        <v>43565</v>
      </c>
      <c r="B1926">
        <v>2.34</v>
      </c>
      <c r="C1926">
        <v>2.746</v>
      </c>
      <c r="D1926">
        <v>2</v>
      </c>
      <c r="E1926">
        <v>34</v>
      </c>
      <c r="F1926">
        <v>16.2</v>
      </c>
      <c r="G1926">
        <v>3</v>
      </c>
      <c r="H1926">
        <v>9</v>
      </c>
      <c r="I1926">
        <v>8</v>
      </c>
      <c r="J1926">
        <v>2019</v>
      </c>
      <c r="K1926">
        <v>4</v>
      </c>
      <c r="L1926" t="s">
        <v>17</v>
      </c>
      <c r="M1926">
        <f>SUM(Pharma_Sales_Data[[#This Row],[M01AB]:[R06]])</f>
        <v>77.286000000000001</v>
      </c>
      <c r="N1926" s="2">
        <f>Pharma_Sales_Data[[#This Row],[Total Drug Sales]]*150</f>
        <v>11592.9</v>
      </c>
      <c r="O1926" s="2">
        <f>Pharma_Sales_Data[[#This Row],[Total Revenue]]*0.3</f>
        <v>3477.87</v>
      </c>
      <c r="P1926" t="str">
        <f>IF(Pharma_Sales_Data[[#This Row],[Total Revenue]]&gt;20000,"High Value", IF(Pharma_Sales_Data[[#This Row],[Total Revenue]]&gt;=10000,"Medium Value","Low Value"))</f>
        <v>Medium Value</v>
      </c>
    </row>
    <row r="1927" spans="1:16" x14ac:dyDescent="0.35">
      <c r="A1927" s="1">
        <v>43566</v>
      </c>
      <c r="B1927">
        <v>7.33</v>
      </c>
      <c r="C1927">
        <v>6.1559999999999997</v>
      </c>
      <c r="D1927">
        <v>2</v>
      </c>
      <c r="E1927">
        <v>15.9</v>
      </c>
      <c r="F1927">
        <v>15</v>
      </c>
      <c r="G1927">
        <v>0</v>
      </c>
      <c r="H1927">
        <v>7</v>
      </c>
      <c r="I1927">
        <v>8</v>
      </c>
      <c r="J1927">
        <v>2019</v>
      </c>
      <c r="K1927">
        <v>4</v>
      </c>
      <c r="L1927" t="s">
        <v>11</v>
      </c>
      <c r="M1927">
        <f>SUM(Pharma_Sales_Data[[#This Row],[M01AB]:[R06]])</f>
        <v>61.386000000000003</v>
      </c>
      <c r="N1927" s="2">
        <f>Pharma_Sales_Data[[#This Row],[Total Drug Sales]]*150</f>
        <v>9207.9</v>
      </c>
      <c r="O1927" s="2">
        <f>Pharma_Sales_Data[[#This Row],[Total Revenue]]*0.3</f>
        <v>2762.37</v>
      </c>
      <c r="P1927" t="str">
        <f>IF(Pharma_Sales_Data[[#This Row],[Total Revenue]]&gt;20000,"High Value", IF(Pharma_Sales_Data[[#This Row],[Total Revenue]]&gt;=10000,"Medium Value","Low Value"))</f>
        <v>Low Value</v>
      </c>
    </row>
    <row r="1928" spans="1:16" x14ac:dyDescent="0.35">
      <c r="A1928" s="1">
        <v>43567</v>
      </c>
      <c r="B1928">
        <v>4.33</v>
      </c>
      <c r="C1928">
        <v>4.3730000000000002</v>
      </c>
      <c r="D1928">
        <v>4.0999999999999996</v>
      </c>
      <c r="E1928">
        <v>16.600000000000001</v>
      </c>
      <c r="F1928">
        <v>16</v>
      </c>
      <c r="G1928">
        <v>0</v>
      </c>
      <c r="H1928">
        <v>6</v>
      </c>
      <c r="I1928">
        <v>7</v>
      </c>
      <c r="J1928">
        <v>2019</v>
      </c>
      <c r="K1928">
        <v>4</v>
      </c>
      <c r="L1928" t="s">
        <v>12</v>
      </c>
      <c r="M1928">
        <f>SUM(Pharma_Sales_Data[[#This Row],[M01AB]:[R06]])</f>
        <v>58.402999999999999</v>
      </c>
      <c r="N1928" s="2">
        <f>Pharma_Sales_Data[[#This Row],[Total Drug Sales]]*150</f>
        <v>8760.4499999999989</v>
      </c>
      <c r="O1928" s="2">
        <f>Pharma_Sales_Data[[#This Row],[Total Revenue]]*0.3</f>
        <v>2628.1349999999998</v>
      </c>
      <c r="P1928" t="str">
        <f>IF(Pharma_Sales_Data[[#This Row],[Total Revenue]]&gt;20000,"High Value", IF(Pharma_Sales_Data[[#This Row],[Total Revenue]]&gt;=10000,"Medium Value","Low Value"))</f>
        <v>Low Value</v>
      </c>
    </row>
    <row r="1929" spans="1:16" x14ac:dyDescent="0.35">
      <c r="A1929" s="1">
        <v>43568</v>
      </c>
      <c r="B1929">
        <v>4.5</v>
      </c>
      <c r="C1929">
        <v>4.1340000000000003</v>
      </c>
      <c r="D1929">
        <v>1.1000000000000001</v>
      </c>
      <c r="E1929">
        <v>14</v>
      </c>
      <c r="F1929">
        <v>4</v>
      </c>
      <c r="G1929">
        <v>0</v>
      </c>
      <c r="H1929">
        <v>6</v>
      </c>
      <c r="I1929">
        <v>4</v>
      </c>
      <c r="J1929">
        <v>2019</v>
      </c>
      <c r="K1929">
        <v>4</v>
      </c>
      <c r="L1929" t="s">
        <v>13</v>
      </c>
      <c r="M1929">
        <f>SUM(Pharma_Sales_Data[[#This Row],[M01AB]:[R06]])</f>
        <v>37.734000000000002</v>
      </c>
      <c r="N1929" s="2">
        <f>Pharma_Sales_Data[[#This Row],[Total Drug Sales]]*150</f>
        <v>5660.1</v>
      </c>
      <c r="O1929" s="2">
        <f>Pharma_Sales_Data[[#This Row],[Total Revenue]]*0.3</f>
        <v>1698.03</v>
      </c>
      <c r="P1929" t="str">
        <f>IF(Pharma_Sales_Data[[#This Row],[Total Revenue]]&gt;20000,"High Value", IF(Pharma_Sales_Data[[#This Row],[Total Revenue]]&gt;=10000,"Medium Value","Low Value"))</f>
        <v>Low Value</v>
      </c>
    </row>
    <row r="1930" spans="1:16" x14ac:dyDescent="0.35">
      <c r="A1930" s="1">
        <v>43569</v>
      </c>
      <c r="B1930">
        <v>4</v>
      </c>
      <c r="C1930">
        <v>4.4059999999999997</v>
      </c>
      <c r="D1930">
        <v>1</v>
      </c>
      <c r="E1930">
        <v>23</v>
      </c>
      <c r="F1930">
        <v>3</v>
      </c>
      <c r="G1930">
        <v>1</v>
      </c>
      <c r="H1930">
        <v>7</v>
      </c>
      <c r="I1930">
        <v>5.5</v>
      </c>
      <c r="J1930">
        <v>2019</v>
      </c>
      <c r="K1930">
        <v>4</v>
      </c>
      <c r="L1930" t="s">
        <v>14</v>
      </c>
      <c r="M1930">
        <f>SUM(Pharma_Sales_Data[[#This Row],[M01AB]:[R06]])</f>
        <v>48.905999999999999</v>
      </c>
      <c r="N1930" s="2">
        <f>Pharma_Sales_Data[[#This Row],[Total Drug Sales]]*150</f>
        <v>7335.9</v>
      </c>
      <c r="O1930" s="2">
        <f>Pharma_Sales_Data[[#This Row],[Total Revenue]]*0.3</f>
        <v>2200.77</v>
      </c>
      <c r="P1930" t="str">
        <f>IF(Pharma_Sales_Data[[#This Row],[Total Revenue]]&gt;20000,"High Value", IF(Pharma_Sales_Data[[#This Row],[Total Revenue]]&gt;=10000,"Medium Value","Low Value"))</f>
        <v>Low Value</v>
      </c>
    </row>
    <row r="1931" spans="1:16" x14ac:dyDescent="0.35">
      <c r="A1931" s="1">
        <v>43570</v>
      </c>
      <c r="B1931">
        <v>4.66</v>
      </c>
      <c r="C1931">
        <v>6</v>
      </c>
      <c r="D1931">
        <v>5.3</v>
      </c>
      <c r="E1931">
        <v>8.8000000000000007</v>
      </c>
      <c r="F1931">
        <v>17</v>
      </c>
      <c r="G1931">
        <v>2</v>
      </c>
      <c r="H1931">
        <v>3</v>
      </c>
      <c r="I1931">
        <v>5</v>
      </c>
      <c r="J1931">
        <v>2019</v>
      </c>
      <c r="K1931">
        <v>4</v>
      </c>
      <c r="L1931" t="s">
        <v>15</v>
      </c>
      <c r="M1931">
        <f>SUM(Pharma_Sales_Data[[#This Row],[M01AB]:[R06]])</f>
        <v>51.760000000000005</v>
      </c>
      <c r="N1931" s="2">
        <f>Pharma_Sales_Data[[#This Row],[Total Drug Sales]]*150</f>
        <v>7764.0000000000009</v>
      </c>
      <c r="O1931" s="2">
        <f>Pharma_Sales_Data[[#This Row],[Total Revenue]]*0.3</f>
        <v>2329.2000000000003</v>
      </c>
      <c r="P1931" t="str">
        <f>IF(Pharma_Sales_Data[[#This Row],[Total Revenue]]&gt;20000,"High Value", IF(Pharma_Sales_Data[[#This Row],[Total Revenue]]&gt;=10000,"Medium Value","Low Value"))</f>
        <v>Low Value</v>
      </c>
    </row>
    <row r="1932" spans="1:16" x14ac:dyDescent="0.35">
      <c r="A1932" s="1">
        <v>43571</v>
      </c>
      <c r="B1932">
        <v>2</v>
      </c>
      <c r="C1932">
        <v>2.67</v>
      </c>
      <c r="D1932">
        <v>2</v>
      </c>
      <c r="E1932">
        <v>27.2</v>
      </c>
      <c r="F1932">
        <v>12</v>
      </c>
      <c r="G1932">
        <v>3</v>
      </c>
      <c r="H1932">
        <v>1</v>
      </c>
      <c r="I1932">
        <v>3</v>
      </c>
      <c r="J1932">
        <v>2019</v>
      </c>
      <c r="K1932">
        <v>4</v>
      </c>
      <c r="L1932" t="s">
        <v>16</v>
      </c>
      <c r="M1932">
        <f>SUM(Pharma_Sales_Data[[#This Row],[M01AB]:[R06]])</f>
        <v>52.87</v>
      </c>
      <c r="N1932" s="2">
        <f>Pharma_Sales_Data[[#This Row],[Total Drug Sales]]*150</f>
        <v>7930.5</v>
      </c>
      <c r="O1932" s="2">
        <f>Pharma_Sales_Data[[#This Row],[Total Revenue]]*0.3</f>
        <v>2379.15</v>
      </c>
      <c r="P1932" t="str">
        <f>IF(Pharma_Sales_Data[[#This Row],[Total Revenue]]&gt;20000,"High Value", IF(Pharma_Sales_Data[[#This Row],[Total Revenue]]&gt;=10000,"Medium Value","Low Value"))</f>
        <v>Low Value</v>
      </c>
    </row>
    <row r="1933" spans="1:16" x14ac:dyDescent="0.35">
      <c r="A1933" s="1">
        <v>43572</v>
      </c>
      <c r="B1933">
        <v>7</v>
      </c>
      <c r="C1933">
        <v>4</v>
      </c>
      <c r="D1933">
        <v>1.25</v>
      </c>
      <c r="E1933">
        <v>13.5</v>
      </c>
      <c r="F1933">
        <v>11</v>
      </c>
      <c r="G1933">
        <v>1</v>
      </c>
      <c r="H1933">
        <v>24</v>
      </c>
      <c r="I1933">
        <v>5</v>
      </c>
      <c r="J1933">
        <v>2019</v>
      </c>
      <c r="K1933">
        <v>4</v>
      </c>
      <c r="L1933" t="s">
        <v>17</v>
      </c>
      <c r="M1933">
        <f>SUM(Pharma_Sales_Data[[#This Row],[M01AB]:[R06]])</f>
        <v>66.75</v>
      </c>
      <c r="N1933" s="2">
        <f>Pharma_Sales_Data[[#This Row],[Total Drug Sales]]*150</f>
        <v>10012.5</v>
      </c>
      <c r="O1933" s="2">
        <f>Pharma_Sales_Data[[#This Row],[Total Revenue]]*0.3</f>
        <v>3003.75</v>
      </c>
      <c r="P1933" t="str">
        <f>IF(Pharma_Sales_Data[[#This Row],[Total Revenue]]&gt;20000,"High Value", IF(Pharma_Sales_Data[[#This Row],[Total Revenue]]&gt;=10000,"Medium Value","Low Value"))</f>
        <v>Medium Value</v>
      </c>
    </row>
    <row r="1934" spans="1:16" x14ac:dyDescent="0.35">
      <c r="A1934" s="1">
        <v>43573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2019</v>
      </c>
      <c r="K1934">
        <v>4</v>
      </c>
      <c r="L1934" t="s">
        <v>11</v>
      </c>
      <c r="M1934">
        <f>SUM(Pharma_Sales_Data[[#This Row],[M01AB]:[R06]])</f>
        <v>0</v>
      </c>
      <c r="N1934" s="2">
        <f>Pharma_Sales_Data[[#This Row],[Total Drug Sales]]*150</f>
        <v>0</v>
      </c>
      <c r="O1934" s="2">
        <f>Pharma_Sales_Data[[#This Row],[Total Revenue]]*0.3</f>
        <v>0</v>
      </c>
      <c r="P1934" t="str">
        <f>IF(Pharma_Sales_Data[[#This Row],[Total Revenue]]&gt;20000,"High Value", IF(Pharma_Sales_Data[[#This Row],[Total Revenue]]&gt;=10000,"Medium Value","Low Value"))</f>
        <v>Low Value</v>
      </c>
    </row>
    <row r="1935" spans="1:16" x14ac:dyDescent="0.35">
      <c r="A1935" s="1">
        <v>43574</v>
      </c>
      <c r="B1935">
        <v>3.34</v>
      </c>
      <c r="C1935">
        <v>2.7429999999999999</v>
      </c>
      <c r="D1935">
        <v>1.5</v>
      </c>
      <c r="E1935">
        <v>25</v>
      </c>
      <c r="F1935">
        <v>17</v>
      </c>
      <c r="G1935">
        <v>0</v>
      </c>
      <c r="H1935">
        <v>6</v>
      </c>
      <c r="I1935">
        <v>2</v>
      </c>
      <c r="J1935">
        <v>2019</v>
      </c>
      <c r="K1935">
        <v>4</v>
      </c>
      <c r="L1935" t="s">
        <v>12</v>
      </c>
      <c r="M1935">
        <f>SUM(Pharma_Sales_Data[[#This Row],[M01AB]:[R06]])</f>
        <v>57.582999999999998</v>
      </c>
      <c r="N1935" s="2">
        <f>Pharma_Sales_Data[[#This Row],[Total Drug Sales]]*150</f>
        <v>8637.4499999999989</v>
      </c>
      <c r="O1935" s="2">
        <f>Pharma_Sales_Data[[#This Row],[Total Revenue]]*0.3</f>
        <v>2591.2349999999997</v>
      </c>
      <c r="P1935" t="str">
        <f>IF(Pharma_Sales_Data[[#This Row],[Total Revenue]]&gt;20000,"High Value", IF(Pharma_Sales_Data[[#This Row],[Total Revenue]]&gt;=10000,"Medium Value","Low Value"))</f>
        <v>Low Value</v>
      </c>
    </row>
    <row r="1936" spans="1:16" x14ac:dyDescent="0.35">
      <c r="A1936" s="1">
        <v>43575</v>
      </c>
      <c r="B1936">
        <v>9</v>
      </c>
      <c r="C1936">
        <v>3.7690000000000001</v>
      </c>
      <c r="D1936">
        <v>1.5</v>
      </c>
      <c r="E1936">
        <v>22.4</v>
      </c>
      <c r="F1936">
        <v>12</v>
      </c>
      <c r="G1936">
        <v>3</v>
      </c>
      <c r="H1936">
        <v>0</v>
      </c>
      <c r="I1936">
        <v>6</v>
      </c>
      <c r="J1936">
        <v>2019</v>
      </c>
      <c r="K1936">
        <v>4</v>
      </c>
      <c r="L1936" t="s">
        <v>13</v>
      </c>
      <c r="M1936">
        <f>SUM(Pharma_Sales_Data[[#This Row],[M01AB]:[R06]])</f>
        <v>57.668999999999997</v>
      </c>
      <c r="N1936" s="2">
        <f>Pharma_Sales_Data[[#This Row],[Total Drug Sales]]*150</f>
        <v>8650.35</v>
      </c>
      <c r="O1936" s="2">
        <f>Pharma_Sales_Data[[#This Row],[Total Revenue]]*0.3</f>
        <v>2595.105</v>
      </c>
      <c r="P1936" t="str">
        <f>IF(Pharma_Sales_Data[[#This Row],[Total Revenue]]&gt;20000,"High Value", IF(Pharma_Sales_Data[[#This Row],[Total Revenue]]&gt;=10000,"Medium Value","Low Value"))</f>
        <v>Low Value</v>
      </c>
    </row>
    <row r="1937" spans="1:16" x14ac:dyDescent="0.35">
      <c r="A1937" s="1">
        <v>43576</v>
      </c>
      <c r="B1937">
        <v>3.84</v>
      </c>
      <c r="C1937">
        <v>4.8449999999999998</v>
      </c>
      <c r="D1937">
        <v>3</v>
      </c>
      <c r="E1937">
        <v>21</v>
      </c>
      <c r="F1937">
        <v>11</v>
      </c>
      <c r="G1937">
        <v>0</v>
      </c>
      <c r="H1937">
        <v>2</v>
      </c>
      <c r="I1937">
        <v>12.2</v>
      </c>
      <c r="J1937">
        <v>2019</v>
      </c>
      <c r="K1937">
        <v>4</v>
      </c>
      <c r="L1937" t="s">
        <v>14</v>
      </c>
      <c r="M1937">
        <f>SUM(Pharma_Sales_Data[[#This Row],[M01AB]:[R06]])</f>
        <v>57.885000000000005</v>
      </c>
      <c r="N1937" s="2">
        <f>Pharma_Sales_Data[[#This Row],[Total Drug Sales]]*150</f>
        <v>8682.75</v>
      </c>
      <c r="O1937" s="2">
        <f>Pharma_Sales_Data[[#This Row],[Total Revenue]]*0.3</f>
        <v>2604.8249999999998</v>
      </c>
      <c r="P1937" t="str">
        <f>IF(Pharma_Sales_Data[[#This Row],[Total Revenue]]&gt;20000,"High Value", IF(Pharma_Sales_Data[[#This Row],[Total Revenue]]&gt;=10000,"Medium Value","Low Value"))</f>
        <v>Low Value</v>
      </c>
    </row>
    <row r="1938" spans="1:16" x14ac:dyDescent="0.35">
      <c r="A1938" s="1">
        <v>43577</v>
      </c>
      <c r="B1938">
        <v>8.67</v>
      </c>
      <c r="C1938">
        <v>1.66</v>
      </c>
      <c r="D1938">
        <v>4.5</v>
      </c>
      <c r="E1938">
        <v>51</v>
      </c>
      <c r="F1938">
        <v>12</v>
      </c>
      <c r="G1938">
        <v>0</v>
      </c>
      <c r="H1938">
        <v>31</v>
      </c>
      <c r="I1938">
        <v>9</v>
      </c>
      <c r="J1938">
        <v>2019</v>
      </c>
      <c r="K1938">
        <v>4</v>
      </c>
      <c r="L1938" t="s">
        <v>15</v>
      </c>
      <c r="M1938">
        <f>SUM(Pharma_Sales_Data[[#This Row],[M01AB]:[R06]])</f>
        <v>117.83</v>
      </c>
      <c r="N1938" s="2">
        <f>Pharma_Sales_Data[[#This Row],[Total Drug Sales]]*150</f>
        <v>17674.5</v>
      </c>
      <c r="O1938" s="2">
        <f>Pharma_Sales_Data[[#This Row],[Total Revenue]]*0.3</f>
        <v>5302.3499999999995</v>
      </c>
      <c r="P1938" t="str">
        <f>IF(Pharma_Sales_Data[[#This Row],[Total Revenue]]&gt;20000,"High Value", IF(Pharma_Sales_Data[[#This Row],[Total Revenue]]&gt;=10000,"Medium Value","Low Value"))</f>
        <v>Medium Value</v>
      </c>
    </row>
    <row r="1939" spans="1:16" x14ac:dyDescent="0.35">
      <c r="A1939" s="1">
        <v>43578</v>
      </c>
      <c r="B1939">
        <v>9</v>
      </c>
      <c r="C1939">
        <v>0.34</v>
      </c>
      <c r="D1939">
        <v>6.1</v>
      </c>
      <c r="E1939">
        <v>18.399999999999999</v>
      </c>
      <c r="F1939">
        <v>6</v>
      </c>
      <c r="G1939">
        <v>1</v>
      </c>
      <c r="H1939">
        <v>4</v>
      </c>
      <c r="I1939">
        <v>2</v>
      </c>
      <c r="J1939">
        <v>2019</v>
      </c>
      <c r="K1939">
        <v>4</v>
      </c>
      <c r="L1939" t="s">
        <v>16</v>
      </c>
      <c r="M1939">
        <f>SUM(Pharma_Sales_Data[[#This Row],[M01AB]:[R06]])</f>
        <v>46.839999999999996</v>
      </c>
      <c r="N1939" s="2">
        <f>Pharma_Sales_Data[[#This Row],[Total Drug Sales]]*150</f>
        <v>7025.9999999999991</v>
      </c>
      <c r="O1939" s="2">
        <f>Pharma_Sales_Data[[#This Row],[Total Revenue]]*0.3</f>
        <v>2107.7999999999997</v>
      </c>
      <c r="P1939" t="str">
        <f>IF(Pharma_Sales_Data[[#This Row],[Total Revenue]]&gt;20000,"High Value", IF(Pharma_Sales_Data[[#This Row],[Total Revenue]]&gt;=10000,"Medium Value","Low Value"))</f>
        <v>Low Value</v>
      </c>
    </row>
    <row r="1940" spans="1:16" x14ac:dyDescent="0.35">
      <c r="A1940" s="1">
        <v>43579</v>
      </c>
      <c r="B1940">
        <v>2.34</v>
      </c>
      <c r="C1940">
        <v>4.7469999999999999</v>
      </c>
      <c r="D1940">
        <v>3</v>
      </c>
      <c r="E1940">
        <v>39.1</v>
      </c>
      <c r="F1940">
        <v>13</v>
      </c>
      <c r="G1940">
        <v>3</v>
      </c>
      <c r="H1940">
        <v>12</v>
      </c>
      <c r="I1940">
        <v>2</v>
      </c>
      <c r="J1940">
        <v>2019</v>
      </c>
      <c r="K1940">
        <v>4</v>
      </c>
      <c r="L1940" t="s">
        <v>17</v>
      </c>
      <c r="M1940">
        <f>SUM(Pharma_Sales_Data[[#This Row],[M01AB]:[R06]])</f>
        <v>79.186999999999998</v>
      </c>
      <c r="N1940" s="2">
        <f>Pharma_Sales_Data[[#This Row],[Total Drug Sales]]*150</f>
        <v>11878.05</v>
      </c>
      <c r="O1940" s="2">
        <f>Pharma_Sales_Data[[#This Row],[Total Revenue]]*0.3</f>
        <v>3563.4149999999995</v>
      </c>
      <c r="P1940" t="str">
        <f>IF(Pharma_Sales_Data[[#This Row],[Total Revenue]]&gt;20000,"High Value", IF(Pharma_Sales_Data[[#This Row],[Total Revenue]]&gt;=10000,"Medium Value","Low Value"))</f>
        <v>Medium Value</v>
      </c>
    </row>
    <row r="1941" spans="1:16" x14ac:dyDescent="0.35">
      <c r="A1941" s="1">
        <v>43580</v>
      </c>
      <c r="B1941">
        <v>14.01</v>
      </c>
      <c r="C1941">
        <v>3.59</v>
      </c>
      <c r="D1941">
        <v>2</v>
      </c>
      <c r="E1941">
        <v>15</v>
      </c>
      <c r="F1941">
        <v>17</v>
      </c>
      <c r="G1941">
        <v>1</v>
      </c>
      <c r="H1941">
        <v>7</v>
      </c>
      <c r="I1941">
        <v>5.4</v>
      </c>
      <c r="J1941">
        <v>2019</v>
      </c>
      <c r="K1941">
        <v>4</v>
      </c>
      <c r="L1941" t="s">
        <v>11</v>
      </c>
      <c r="M1941">
        <f>SUM(Pharma_Sales_Data[[#This Row],[M01AB]:[R06]])</f>
        <v>65</v>
      </c>
      <c r="N1941" s="2">
        <f>Pharma_Sales_Data[[#This Row],[Total Drug Sales]]*150</f>
        <v>9750</v>
      </c>
      <c r="O1941" s="2">
        <f>Pharma_Sales_Data[[#This Row],[Total Revenue]]*0.3</f>
        <v>2925</v>
      </c>
      <c r="P1941" t="str">
        <f>IF(Pharma_Sales_Data[[#This Row],[Total Revenue]]&gt;20000,"High Value", IF(Pharma_Sales_Data[[#This Row],[Total Revenue]]&gt;=10000,"Medium Value","Low Value"))</f>
        <v>Low Value</v>
      </c>
    </row>
    <row r="1942" spans="1:16" x14ac:dyDescent="0.35">
      <c r="A1942" s="1">
        <v>43581</v>
      </c>
      <c r="B1942">
        <v>6.34</v>
      </c>
      <c r="C1942">
        <v>1.68</v>
      </c>
      <c r="D1942">
        <v>3.25</v>
      </c>
      <c r="E1942">
        <v>32.6</v>
      </c>
      <c r="F1942">
        <v>6</v>
      </c>
      <c r="G1942">
        <v>0</v>
      </c>
      <c r="H1942">
        <v>1</v>
      </c>
      <c r="I1942">
        <v>11</v>
      </c>
      <c r="J1942">
        <v>2019</v>
      </c>
      <c r="K1942">
        <v>4</v>
      </c>
      <c r="L1942" t="s">
        <v>12</v>
      </c>
      <c r="M1942">
        <f>SUM(Pharma_Sales_Data[[#This Row],[M01AB]:[R06]])</f>
        <v>61.870000000000005</v>
      </c>
      <c r="N1942" s="2">
        <f>Pharma_Sales_Data[[#This Row],[Total Drug Sales]]*150</f>
        <v>9280.5</v>
      </c>
      <c r="O1942" s="2">
        <f>Pharma_Sales_Data[[#This Row],[Total Revenue]]*0.3</f>
        <v>2784.15</v>
      </c>
      <c r="P1942" t="str">
        <f>IF(Pharma_Sales_Data[[#This Row],[Total Revenue]]&gt;20000,"High Value", IF(Pharma_Sales_Data[[#This Row],[Total Revenue]]&gt;=10000,"Medium Value","Low Value"))</f>
        <v>Low Value</v>
      </c>
    </row>
    <row r="1943" spans="1:16" x14ac:dyDescent="0.35">
      <c r="A1943" s="1">
        <v>43582</v>
      </c>
      <c r="B1943">
        <v>17.34</v>
      </c>
      <c r="C1943">
        <v>2.4969999999999999</v>
      </c>
      <c r="D1943">
        <v>3.1</v>
      </c>
      <c r="E1943">
        <v>25.2</v>
      </c>
      <c r="F1943">
        <v>13</v>
      </c>
      <c r="G1943">
        <v>1</v>
      </c>
      <c r="H1943">
        <v>7</v>
      </c>
      <c r="I1943">
        <v>7</v>
      </c>
      <c r="J1943">
        <v>2019</v>
      </c>
      <c r="K1943">
        <v>4</v>
      </c>
      <c r="L1943" t="s">
        <v>13</v>
      </c>
      <c r="M1943">
        <f>SUM(Pharma_Sales_Data[[#This Row],[M01AB]:[R06]])</f>
        <v>76.137</v>
      </c>
      <c r="N1943" s="2">
        <f>Pharma_Sales_Data[[#This Row],[Total Drug Sales]]*150</f>
        <v>11420.55</v>
      </c>
      <c r="O1943" s="2">
        <f>Pharma_Sales_Data[[#This Row],[Total Revenue]]*0.3</f>
        <v>3426.1649999999995</v>
      </c>
      <c r="P1943" t="str">
        <f>IF(Pharma_Sales_Data[[#This Row],[Total Revenue]]&gt;20000,"High Value", IF(Pharma_Sales_Data[[#This Row],[Total Revenue]]&gt;=10000,"Medium Value","Low Value"))</f>
        <v>Medium Value</v>
      </c>
    </row>
    <row r="1944" spans="1:16" x14ac:dyDescent="0.35">
      <c r="A1944" s="1">
        <v>43583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2019</v>
      </c>
      <c r="K1944">
        <v>4</v>
      </c>
      <c r="L1944" t="s">
        <v>14</v>
      </c>
      <c r="M1944">
        <f>SUM(Pharma_Sales_Data[[#This Row],[M01AB]:[R06]])</f>
        <v>0</v>
      </c>
      <c r="N1944" s="2">
        <f>Pharma_Sales_Data[[#This Row],[Total Drug Sales]]*150</f>
        <v>0</v>
      </c>
      <c r="O1944" s="2">
        <f>Pharma_Sales_Data[[#This Row],[Total Revenue]]*0.3</f>
        <v>0</v>
      </c>
      <c r="P1944" t="str">
        <f>IF(Pharma_Sales_Data[[#This Row],[Total Revenue]]&gt;20000,"High Value", IF(Pharma_Sales_Data[[#This Row],[Total Revenue]]&gt;=10000,"Medium Value","Low Value"))</f>
        <v>Low Value</v>
      </c>
    </row>
    <row r="1945" spans="1:16" x14ac:dyDescent="0.35">
      <c r="A1945" s="1">
        <v>43584</v>
      </c>
      <c r="B1945">
        <v>5.33</v>
      </c>
      <c r="C1945">
        <v>6.367</v>
      </c>
      <c r="D1945">
        <v>2.6</v>
      </c>
      <c r="E1945">
        <v>27.6</v>
      </c>
      <c r="F1945">
        <v>5</v>
      </c>
      <c r="G1945">
        <v>0</v>
      </c>
      <c r="H1945">
        <v>0</v>
      </c>
      <c r="I1945">
        <v>3</v>
      </c>
      <c r="J1945">
        <v>2019</v>
      </c>
      <c r="K1945">
        <v>4</v>
      </c>
      <c r="L1945" t="s">
        <v>15</v>
      </c>
      <c r="M1945">
        <f>SUM(Pharma_Sales_Data[[#This Row],[M01AB]:[R06]])</f>
        <v>49.896999999999998</v>
      </c>
      <c r="N1945" s="2">
        <f>Pharma_Sales_Data[[#This Row],[Total Drug Sales]]*150</f>
        <v>7484.55</v>
      </c>
      <c r="O1945" s="2">
        <f>Pharma_Sales_Data[[#This Row],[Total Revenue]]*0.3</f>
        <v>2245.3649999999998</v>
      </c>
      <c r="P1945" t="str">
        <f>IF(Pharma_Sales_Data[[#This Row],[Total Revenue]]&gt;20000,"High Value", IF(Pharma_Sales_Data[[#This Row],[Total Revenue]]&gt;=10000,"Medium Value","Low Value"))</f>
        <v>Low Value</v>
      </c>
    </row>
    <row r="1946" spans="1:16" x14ac:dyDescent="0.35">
      <c r="A1946" s="1">
        <v>43585</v>
      </c>
      <c r="B1946">
        <v>2</v>
      </c>
      <c r="C1946">
        <v>1.407</v>
      </c>
      <c r="D1946">
        <v>8</v>
      </c>
      <c r="E1946">
        <v>22</v>
      </c>
      <c r="F1946">
        <v>13</v>
      </c>
      <c r="G1946">
        <v>2</v>
      </c>
      <c r="H1946">
        <v>28</v>
      </c>
      <c r="I1946">
        <v>8.4</v>
      </c>
      <c r="J1946">
        <v>2019</v>
      </c>
      <c r="K1946">
        <v>4</v>
      </c>
      <c r="L1946" t="s">
        <v>16</v>
      </c>
      <c r="M1946">
        <f>SUM(Pharma_Sales_Data[[#This Row],[M01AB]:[R06]])</f>
        <v>84.807000000000002</v>
      </c>
      <c r="N1946" s="2">
        <f>Pharma_Sales_Data[[#This Row],[Total Drug Sales]]*150</f>
        <v>12721.050000000001</v>
      </c>
      <c r="O1946" s="2">
        <f>Pharma_Sales_Data[[#This Row],[Total Revenue]]*0.3</f>
        <v>3816.3150000000001</v>
      </c>
      <c r="P1946" t="str">
        <f>IF(Pharma_Sales_Data[[#This Row],[Total Revenue]]&gt;20000,"High Value", IF(Pharma_Sales_Data[[#This Row],[Total Revenue]]&gt;=10000,"Medium Value","Low Value"))</f>
        <v>Medium Value</v>
      </c>
    </row>
    <row r="1947" spans="1:16" x14ac:dyDescent="0.35">
      <c r="A1947" s="1">
        <v>43586</v>
      </c>
      <c r="B1947">
        <v>2.34</v>
      </c>
      <c r="C1947">
        <v>4.0199999999999996</v>
      </c>
      <c r="D1947">
        <v>1</v>
      </c>
      <c r="E1947">
        <v>8</v>
      </c>
      <c r="F1947">
        <v>1</v>
      </c>
      <c r="G1947">
        <v>0</v>
      </c>
      <c r="H1947">
        <v>1</v>
      </c>
      <c r="I1947">
        <v>3</v>
      </c>
      <c r="J1947">
        <v>2019</v>
      </c>
      <c r="K1947">
        <v>5</v>
      </c>
      <c r="L1947" t="s">
        <v>17</v>
      </c>
      <c r="M1947">
        <f>SUM(Pharma_Sales_Data[[#This Row],[M01AB]:[R06]])</f>
        <v>20.36</v>
      </c>
      <c r="N1947" s="2">
        <f>Pharma_Sales_Data[[#This Row],[Total Drug Sales]]*150</f>
        <v>3054</v>
      </c>
      <c r="O1947" s="2">
        <f>Pharma_Sales_Data[[#This Row],[Total Revenue]]*0.3</f>
        <v>916.19999999999993</v>
      </c>
      <c r="P1947" t="str">
        <f>IF(Pharma_Sales_Data[[#This Row],[Total Revenue]]&gt;20000,"High Value", IF(Pharma_Sales_Data[[#This Row],[Total Revenue]]&gt;=10000,"Medium Value","Low Value"))</f>
        <v>Low Value</v>
      </c>
    </row>
    <row r="1948" spans="1:16" x14ac:dyDescent="0.35">
      <c r="A1948" s="1">
        <v>43587</v>
      </c>
      <c r="B1948">
        <v>1.68</v>
      </c>
      <c r="C1948">
        <v>5.4290000000000003</v>
      </c>
      <c r="D1948">
        <v>5.5</v>
      </c>
      <c r="E1948">
        <v>20</v>
      </c>
      <c r="F1948">
        <v>15</v>
      </c>
      <c r="G1948">
        <v>1</v>
      </c>
      <c r="H1948">
        <v>3</v>
      </c>
      <c r="I1948">
        <v>9</v>
      </c>
      <c r="J1948">
        <v>2019</v>
      </c>
      <c r="K1948">
        <v>5</v>
      </c>
      <c r="L1948" t="s">
        <v>11</v>
      </c>
      <c r="M1948">
        <f>SUM(Pharma_Sales_Data[[#This Row],[M01AB]:[R06]])</f>
        <v>60.609000000000002</v>
      </c>
      <c r="N1948" s="2">
        <f>Pharma_Sales_Data[[#This Row],[Total Drug Sales]]*150</f>
        <v>9091.35</v>
      </c>
      <c r="O1948" s="2">
        <f>Pharma_Sales_Data[[#This Row],[Total Revenue]]*0.3</f>
        <v>2727.4050000000002</v>
      </c>
      <c r="P1948" t="str">
        <f>IF(Pharma_Sales_Data[[#This Row],[Total Revenue]]&gt;20000,"High Value", IF(Pharma_Sales_Data[[#This Row],[Total Revenue]]&gt;=10000,"Medium Value","Low Value"))</f>
        <v>Low Value</v>
      </c>
    </row>
    <row r="1949" spans="1:16" x14ac:dyDescent="0.35">
      <c r="A1949" s="1">
        <v>43588</v>
      </c>
      <c r="B1949">
        <v>4.01</v>
      </c>
      <c r="C1949">
        <v>2.34</v>
      </c>
      <c r="D1949">
        <v>3</v>
      </c>
      <c r="E1949">
        <v>24</v>
      </c>
      <c r="F1949">
        <v>11</v>
      </c>
      <c r="G1949">
        <v>3</v>
      </c>
      <c r="H1949">
        <v>16</v>
      </c>
      <c r="I1949">
        <v>8</v>
      </c>
      <c r="J1949">
        <v>2019</v>
      </c>
      <c r="K1949">
        <v>5</v>
      </c>
      <c r="L1949" t="s">
        <v>12</v>
      </c>
      <c r="M1949">
        <f>SUM(Pharma_Sales_Data[[#This Row],[M01AB]:[R06]])</f>
        <v>71.349999999999994</v>
      </c>
      <c r="N1949" s="2">
        <f>Pharma_Sales_Data[[#This Row],[Total Drug Sales]]*150</f>
        <v>10702.5</v>
      </c>
      <c r="O1949" s="2">
        <f>Pharma_Sales_Data[[#This Row],[Total Revenue]]*0.3</f>
        <v>3210.75</v>
      </c>
      <c r="P1949" t="str">
        <f>IF(Pharma_Sales_Data[[#This Row],[Total Revenue]]&gt;20000,"High Value", IF(Pharma_Sales_Data[[#This Row],[Total Revenue]]&gt;=10000,"Medium Value","Low Value"))</f>
        <v>Medium Value</v>
      </c>
    </row>
    <row r="1950" spans="1:16" x14ac:dyDescent="0.35">
      <c r="A1950" s="1">
        <v>43589</v>
      </c>
      <c r="B1950">
        <v>9</v>
      </c>
      <c r="C1950">
        <v>5.43</v>
      </c>
      <c r="D1950">
        <v>4.25</v>
      </c>
      <c r="E1950">
        <v>25</v>
      </c>
      <c r="F1950">
        <v>5</v>
      </c>
      <c r="G1950">
        <v>1</v>
      </c>
      <c r="H1950">
        <v>16</v>
      </c>
      <c r="I1950">
        <v>9</v>
      </c>
      <c r="J1950">
        <v>2019</v>
      </c>
      <c r="K1950">
        <v>5</v>
      </c>
      <c r="L1950" t="s">
        <v>13</v>
      </c>
      <c r="M1950">
        <f>SUM(Pharma_Sales_Data[[#This Row],[M01AB]:[R06]])</f>
        <v>74.680000000000007</v>
      </c>
      <c r="N1950" s="2">
        <f>Pharma_Sales_Data[[#This Row],[Total Drug Sales]]*150</f>
        <v>11202.000000000002</v>
      </c>
      <c r="O1950" s="2">
        <f>Pharma_Sales_Data[[#This Row],[Total Revenue]]*0.3</f>
        <v>3360.6000000000004</v>
      </c>
      <c r="P1950" t="str">
        <f>IF(Pharma_Sales_Data[[#This Row],[Total Revenue]]&gt;20000,"High Value", IF(Pharma_Sales_Data[[#This Row],[Total Revenue]]&gt;=10000,"Medium Value","Low Value"))</f>
        <v>Medium Value</v>
      </c>
    </row>
    <row r="1951" spans="1:16" x14ac:dyDescent="0.35">
      <c r="A1951" s="1">
        <v>43590</v>
      </c>
      <c r="B1951">
        <v>7</v>
      </c>
      <c r="C1951">
        <v>2.42</v>
      </c>
      <c r="D1951">
        <v>4.2</v>
      </c>
      <c r="E1951">
        <v>31</v>
      </c>
      <c r="F1951">
        <v>2</v>
      </c>
      <c r="G1951">
        <v>0</v>
      </c>
      <c r="H1951">
        <v>0</v>
      </c>
      <c r="I1951">
        <v>5</v>
      </c>
      <c r="J1951">
        <v>2019</v>
      </c>
      <c r="K1951">
        <v>5</v>
      </c>
      <c r="L1951" t="s">
        <v>14</v>
      </c>
      <c r="M1951">
        <f>SUM(Pharma_Sales_Data[[#This Row],[M01AB]:[R06]])</f>
        <v>51.620000000000005</v>
      </c>
      <c r="N1951" s="2">
        <f>Pharma_Sales_Data[[#This Row],[Total Drug Sales]]*150</f>
        <v>7743.0000000000009</v>
      </c>
      <c r="O1951" s="2">
        <f>Pharma_Sales_Data[[#This Row],[Total Revenue]]*0.3</f>
        <v>2322.9</v>
      </c>
      <c r="P1951" t="str">
        <f>IF(Pharma_Sales_Data[[#This Row],[Total Revenue]]&gt;20000,"High Value", IF(Pharma_Sales_Data[[#This Row],[Total Revenue]]&gt;=10000,"Medium Value","Low Value"))</f>
        <v>Low Value</v>
      </c>
    </row>
    <row r="1952" spans="1:16" x14ac:dyDescent="0.35">
      <c r="A1952" s="1">
        <v>43591</v>
      </c>
      <c r="B1952">
        <v>4.68</v>
      </c>
      <c r="C1952">
        <v>6.6000000000000003E-2</v>
      </c>
      <c r="D1952">
        <v>2</v>
      </c>
      <c r="E1952">
        <v>23</v>
      </c>
      <c r="F1952">
        <v>11</v>
      </c>
      <c r="G1952">
        <v>2</v>
      </c>
      <c r="H1952">
        <v>9</v>
      </c>
      <c r="I1952">
        <v>3</v>
      </c>
      <c r="J1952">
        <v>2019</v>
      </c>
      <c r="K1952">
        <v>5</v>
      </c>
      <c r="L1952" t="s">
        <v>15</v>
      </c>
      <c r="M1952">
        <f>SUM(Pharma_Sales_Data[[#This Row],[M01AB]:[R06]])</f>
        <v>54.745999999999995</v>
      </c>
      <c r="N1952" s="2">
        <f>Pharma_Sales_Data[[#This Row],[Total Drug Sales]]*150</f>
        <v>8211.9</v>
      </c>
      <c r="O1952" s="2">
        <f>Pharma_Sales_Data[[#This Row],[Total Revenue]]*0.3</f>
        <v>2463.5699999999997</v>
      </c>
      <c r="P1952" t="str">
        <f>IF(Pharma_Sales_Data[[#This Row],[Total Revenue]]&gt;20000,"High Value", IF(Pharma_Sales_Data[[#This Row],[Total Revenue]]&gt;=10000,"Medium Value","Low Value"))</f>
        <v>Low Value</v>
      </c>
    </row>
    <row r="1953" spans="1:16" x14ac:dyDescent="0.35">
      <c r="A1953" s="1">
        <v>43592</v>
      </c>
      <c r="B1953">
        <v>2.66</v>
      </c>
      <c r="C1953">
        <v>5.5190000000000001</v>
      </c>
      <c r="D1953">
        <v>1</v>
      </c>
      <c r="E1953">
        <v>33.4</v>
      </c>
      <c r="F1953">
        <v>19</v>
      </c>
      <c r="G1953">
        <v>0</v>
      </c>
      <c r="H1953">
        <v>6</v>
      </c>
      <c r="I1953">
        <v>5</v>
      </c>
      <c r="J1953">
        <v>2019</v>
      </c>
      <c r="K1953">
        <v>5</v>
      </c>
      <c r="L1953" t="s">
        <v>16</v>
      </c>
      <c r="M1953">
        <f>SUM(Pharma_Sales_Data[[#This Row],[M01AB]:[R06]])</f>
        <v>72.579000000000008</v>
      </c>
      <c r="N1953" s="2">
        <f>Pharma_Sales_Data[[#This Row],[Total Drug Sales]]*150</f>
        <v>10886.85</v>
      </c>
      <c r="O1953" s="2">
        <f>Pharma_Sales_Data[[#This Row],[Total Revenue]]*0.3</f>
        <v>3266.0549999999998</v>
      </c>
      <c r="P1953" t="str">
        <f>IF(Pharma_Sales_Data[[#This Row],[Total Revenue]]&gt;20000,"High Value", IF(Pharma_Sales_Data[[#This Row],[Total Revenue]]&gt;=10000,"Medium Value","Low Value"))</f>
        <v>Medium Value</v>
      </c>
    </row>
    <row r="1954" spans="1:16" x14ac:dyDescent="0.35">
      <c r="A1954" s="1">
        <v>43593</v>
      </c>
      <c r="B1954">
        <v>9</v>
      </c>
      <c r="C1954">
        <v>4.0330000000000004</v>
      </c>
      <c r="D1954">
        <v>3</v>
      </c>
      <c r="E1954">
        <v>13</v>
      </c>
      <c r="F1954">
        <v>15</v>
      </c>
      <c r="G1954">
        <v>2</v>
      </c>
      <c r="H1954">
        <v>20</v>
      </c>
      <c r="I1954">
        <v>0</v>
      </c>
      <c r="J1954">
        <v>2019</v>
      </c>
      <c r="K1954">
        <v>5</v>
      </c>
      <c r="L1954" t="s">
        <v>17</v>
      </c>
      <c r="M1954">
        <f>SUM(Pharma_Sales_Data[[#This Row],[M01AB]:[R06]])</f>
        <v>66.033000000000001</v>
      </c>
      <c r="N1954" s="2">
        <f>Pharma_Sales_Data[[#This Row],[Total Drug Sales]]*150</f>
        <v>9904.9500000000007</v>
      </c>
      <c r="O1954" s="2">
        <f>Pharma_Sales_Data[[#This Row],[Total Revenue]]*0.3</f>
        <v>2971.4850000000001</v>
      </c>
      <c r="P1954" t="str">
        <f>IF(Pharma_Sales_Data[[#This Row],[Total Revenue]]&gt;20000,"High Value", IF(Pharma_Sales_Data[[#This Row],[Total Revenue]]&gt;=10000,"Medium Value","Low Value"))</f>
        <v>Low Value</v>
      </c>
    </row>
    <row r="1955" spans="1:16" x14ac:dyDescent="0.35">
      <c r="A1955" s="1">
        <v>43594</v>
      </c>
      <c r="B1955">
        <v>5</v>
      </c>
      <c r="C1955">
        <v>2.33</v>
      </c>
      <c r="D1955">
        <v>2.1</v>
      </c>
      <c r="E1955">
        <v>12.5</v>
      </c>
      <c r="F1955">
        <v>10</v>
      </c>
      <c r="G1955">
        <v>1</v>
      </c>
      <c r="H1955">
        <v>31</v>
      </c>
      <c r="I1955">
        <v>4</v>
      </c>
      <c r="J1955">
        <v>2019</v>
      </c>
      <c r="K1955">
        <v>5</v>
      </c>
      <c r="L1955" t="s">
        <v>11</v>
      </c>
      <c r="M1955">
        <f>SUM(Pharma_Sales_Data[[#This Row],[M01AB]:[R06]])</f>
        <v>67.930000000000007</v>
      </c>
      <c r="N1955" s="2">
        <f>Pharma_Sales_Data[[#This Row],[Total Drug Sales]]*150</f>
        <v>10189.500000000002</v>
      </c>
      <c r="O1955" s="2">
        <f>Pharma_Sales_Data[[#This Row],[Total Revenue]]*0.3</f>
        <v>3056.8500000000004</v>
      </c>
      <c r="P1955" t="str">
        <f>IF(Pharma_Sales_Data[[#This Row],[Total Revenue]]&gt;20000,"High Value", IF(Pharma_Sales_Data[[#This Row],[Total Revenue]]&gt;=10000,"Medium Value","Low Value"))</f>
        <v>Medium Value</v>
      </c>
    </row>
    <row r="1956" spans="1:16" x14ac:dyDescent="0.35">
      <c r="A1956" s="1">
        <v>43595</v>
      </c>
      <c r="B1956">
        <v>5</v>
      </c>
      <c r="C1956">
        <v>1.34</v>
      </c>
      <c r="D1956">
        <v>5.5</v>
      </c>
      <c r="E1956">
        <v>11.6</v>
      </c>
      <c r="F1956">
        <v>13</v>
      </c>
      <c r="G1956">
        <v>2</v>
      </c>
      <c r="H1956">
        <v>26</v>
      </c>
      <c r="I1956">
        <v>2</v>
      </c>
      <c r="J1956">
        <v>2019</v>
      </c>
      <c r="K1956">
        <v>5</v>
      </c>
      <c r="L1956" t="s">
        <v>12</v>
      </c>
      <c r="M1956">
        <f>SUM(Pharma_Sales_Data[[#This Row],[M01AB]:[R06]])</f>
        <v>66.44</v>
      </c>
      <c r="N1956" s="2">
        <f>Pharma_Sales_Data[[#This Row],[Total Drug Sales]]*150</f>
        <v>9966</v>
      </c>
      <c r="O1956" s="2">
        <f>Pharma_Sales_Data[[#This Row],[Total Revenue]]*0.3</f>
        <v>2989.7999999999997</v>
      </c>
      <c r="P1956" t="str">
        <f>IF(Pharma_Sales_Data[[#This Row],[Total Revenue]]&gt;20000,"High Value", IF(Pharma_Sales_Data[[#This Row],[Total Revenue]]&gt;=10000,"Medium Value","Low Value"))</f>
        <v>Low Value</v>
      </c>
    </row>
    <row r="1957" spans="1:16" x14ac:dyDescent="0.35">
      <c r="A1957" s="1">
        <v>43596</v>
      </c>
      <c r="B1957">
        <v>5.34</v>
      </c>
      <c r="C1957">
        <v>5</v>
      </c>
      <c r="D1957">
        <v>5.5</v>
      </c>
      <c r="E1957">
        <v>16.8</v>
      </c>
      <c r="F1957">
        <v>9</v>
      </c>
      <c r="G1957">
        <v>0</v>
      </c>
      <c r="H1957">
        <v>12</v>
      </c>
      <c r="I1957">
        <v>5</v>
      </c>
      <c r="J1957">
        <v>2019</v>
      </c>
      <c r="K1957">
        <v>5</v>
      </c>
      <c r="L1957" t="s">
        <v>13</v>
      </c>
      <c r="M1957">
        <f>SUM(Pharma_Sales_Data[[#This Row],[M01AB]:[R06]])</f>
        <v>58.64</v>
      </c>
      <c r="N1957" s="2">
        <f>Pharma_Sales_Data[[#This Row],[Total Drug Sales]]*150</f>
        <v>8796</v>
      </c>
      <c r="O1957" s="2">
        <f>Pharma_Sales_Data[[#This Row],[Total Revenue]]*0.3</f>
        <v>2638.7999999999997</v>
      </c>
      <c r="P1957" t="str">
        <f>IF(Pharma_Sales_Data[[#This Row],[Total Revenue]]&gt;20000,"High Value", IF(Pharma_Sales_Data[[#This Row],[Total Revenue]]&gt;=10000,"Medium Value","Low Value"))</f>
        <v>Low Value</v>
      </c>
    </row>
    <row r="1958" spans="1:16" x14ac:dyDescent="0.35">
      <c r="A1958" s="1">
        <v>43597</v>
      </c>
      <c r="B1958">
        <v>4.67</v>
      </c>
      <c r="C1958">
        <v>1.68</v>
      </c>
      <c r="D1958">
        <v>3.1</v>
      </c>
      <c r="E1958">
        <v>38.799999999999997</v>
      </c>
      <c r="F1958">
        <v>2</v>
      </c>
      <c r="G1958">
        <v>1</v>
      </c>
      <c r="H1958">
        <v>19</v>
      </c>
      <c r="I1958">
        <v>5</v>
      </c>
      <c r="J1958">
        <v>2019</v>
      </c>
      <c r="K1958">
        <v>5</v>
      </c>
      <c r="L1958" t="s">
        <v>14</v>
      </c>
      <c r="M1958">
        <f>SUM(Pharma_Sales_Data[[#This Row],[M01AB]:[R06]])</f>
        <v>75.25</v>
      </c>
      <c r="N1958" s="2">
        <f>Pharma_Sales_Data[[#This Row],[Total Drug Sales]]*150</f>
        <v>11287.5</v>
      </c>
      <c r="O1958" s="2">
        <f>Pharma_Sales_Data[[#This Row],[Total Revenue]]*0.3</f>
        <v>3386.25</v>
      </c>
      <c r="P1958" t="str">
        <f>IF(Pharma_Sales_Data[[#This Row],[Total Revenue]]&gt;20000,"High Value", IF(Pharma_Sales_Data[[#This Row],[Total Revenue]]&gt;=10000,"Medium Value","Low Value"))</f>
        <v>Medium Value</v>
      </c>
    </row>
    <row r="1959" spans="1:16" x14ac:dyDescent="0.35">
      <c r="A1959" s="1">
        <v>43598</v>
      </c>
      <c r="B1959">
        <v>5</v>
      </c>
      <c r="C1959">
        <v>4.5270000000000001</v>
      </c>
      <c r="D1959">
        <v>2</v>
      </c>
      <c r="E1959">
        <v>26.2</v>
      </c>
      <c r="F1959">
        <v>11</v>
      </c>
      <c r="G1959">
        <v>0</v>
      </c>
      <c r="H1959">
        <v>11</v>
      </c>
      <c r="I1959">
        <v>3</v>
      </c>
      <c r="J1959">
        <v>2019</v>
      </c>
      <c r="K1959">
        <v>5</v>
      </c>
      <c r="L1959" t="s">
        <v>15</v>
      </c>
      <c r="M1959">
        <f>SUM(Pharma_Sales_Data[[#This Row],[M01AB]:[R06]])</f>
        <v>62.727000000000004</v>
      </c>
      <c r="N1959" s="2">
        <f>Pharma_Sales_Data[[#This Row],[Total Drug Sales]]*150</f>
        <v>9409.0500000000011</v>
      </c>
      <c r="O1959" s="2">
        <f>Pharma_Sales_Data[[#This Row],[Total Revenue]]*0.3</f>
        <v>2822.7150000000001</v>
      </c>
      <c r="P1959" t="str">
        <f>IF(Pharma_Sales_Data[[#This Row],[Total Revenue]]&gt;20000,"High Value", IF(Pharma_Sales_Data[[#This Row],[Total Revenue]]&gt;=10000,"Medium Value","Low Value"))</f>
        <v>Low Value</v>
      </c>
    </row>
    <row r="1960" spans="1:16" x14ac:dyDescent="0.35">
      <c r="A1960" s="1">
        <v>43599</v>
      </c>
      <c r="B1960">
        <v>6.67</v>
      </c>
      <c r="C1960">
        <v>4.3630000000000004</v>
      </c>
      <c r="D1960">
        <v>4</v>
      </c>
      <c r="E1960">
        <v>25</v>
      </c>
      <c r="F1960">
        <v>5</v>
      </c>
      <c r="G1960">
        <v>0</v>
      </c>
      <c r="H1960">
        <v>11</v>
      </c>
      <c r="I1960">
        <v>3</v>
      </c>
      <c r="J1960">
        <v>2019</v>
      </c>
      <c r="K1960">
        <v>5</v>
      </c>
      <c r="L1960" t="s">
        <v>16</v>
      </c>
      <c r="M1960">
        <f>SUM(Pharma_Sales_Data[[#This Row],[M01AB]:[R06]])</f>
        <v>59.033000000000001</v>
      </c>
      <c r="N1960" s="2">
        <f>Pharma_Sales_Data[[#This Row],[Total Drug Sales]]*150</f>
        <v>8854.9500000000007</v>
      </c>
      <c r="O1960" s="2">
        <f>Pharma_Sales_Data[[#This Row],[Total Revenue]]*0.3</f>
        <v>2656.4850000000001</v>
      </c>
      <c r="P1960" t="str">
        <f>IF(Pharma_Sales_Data[[#This Row],[Total Revenue]]&gt;20000,"High Value", IF(Pharma_Sales_Data[[#This Row],[Total Revenue]]&gt;=10000,"Medium Value","Low Value"))</f>
        <v>Low Value</v>
      </c>
    </row>
    <row r="1961" spans="1:16" x14ac:dyDescent="0.35">
      <c r="A1961" s="1">
        <v>43600</v>
      </c>
      <c r="B1961">
        <v>4</v>
      </c>
      <c r="C1961">
        <v>1.0660000000000001</v>
      </c>
      <c r="D1961">
        <v>4.1500000000000004</v>
      </c>
      <c r="E1961">
        <v>28.4</v>
      </c>
      <c r="F1961">
        <v>7</v>
      </c>
      <c r="G1961">
        <v>0</v>
      </c>
      <c r="H1961">
        <v>5</v>
      </c>
      <c r="I1961">
        <v>3</v>
      </c>
      <c r="J1961">
        <v>2019</v>
      </c>
      <c r="K1961">
        <v>5</v>
      </c>
      <c r="L1961" t="s">
        <v>17</v>
      </c>
      <c r="M1961">
        <f>SUM(Pharma_Sales_Data[[#This Row],[M01AB]:[R06]])</f>
        <v>52.616</v>
      </c>
      <c r="N1961" s="2">
        <f>Pharma_Sales_Data[[#This Row],[Total Drug Sales]]*150</f>
        <v>7892.4</v>
      </c>
      <c r="O1961" s="2">
        <f>Pharma_Sales_Data[[#This Row],[Total Revenue]]*0.3</f>
        <v>2367.7199999999998</v>
      </c>
      <c r="P1961" t="str">
        <f>IF(Pharma_Sales_Data[[#This Row],[Total Revenue]]&gt;20000,"High Value", IF(Pharma_Sales_Data[[#This Row],[Total Revenue]]&gt;=10000,"Medium Value","Low Value"))</f>
        <v>Low Value</v>
      </c>
    </row>
    <row r="1962" spans="1:16" x14ac:dyDescent="0.35">
      <c r="A1962" s="1">
        <v>43601</v>
      </c>
      <c r="B1962">
        <v>5</v>
      </c>
      <c r="C1962">
        <v>1.0669999999999999</v>
      </c>
      <c r="D1962">
        <v>2</v>
      </c>
      <c r="E1962">
        <v>12</v>
      </c>
      <c r="F1962">
        <v>9</v>
      </c>
      <c r="G1962">
        <v>1</v>
      </c>
      <c r="H1962">
        <v>16.291666670000001</v>
      </c>
      <c r="I1962">
        <v>5</v>
      </c>
      <c r="J1962">
        <v>2019</v>
      </c>
      <c r="K1962">
        <v>5</v>
      </c>
      <c r="L1962" t="s">
        <v>11</v>
      </c>
      <c r="M1962">
        <f>SUM(Pharma_Sales_Data[[#This Row],[M01AB]:[R06]])</f>
        <v>51.358666670000005</v>
      </c>
      <c r="N1962" s="2">
        <f>Pharma_Sales_Data[[#This Row],[Total Drug Sales]]*150</f>
        <v>7703.8000005000004</v>
      </c>
      <c r="O1962" s="2">
        <f>Pharma_Sales_Data[[#This Row],[Total Revenue]]*0.3</f>
        <v>2311.1400001500001</v>
      </c>
      <c r="P1962" t="str">
        <f>IF(Pharma_Sales_Data[[#This Row],[Total Revenue]]&gt;20000,"High Value", IF(Pharma_Sales_Data[[#This Row],[Total Revenue]]&gt;=10000,"Medium Value","Low Value"))</f>
        <v>Low Value</v>
      </c>
    </row>
    <row r="1963" spans="1:16" x14ac:dyDescent="0.35">
      <c r="A1963" s="1">
        <v>43602</v>
      </c>
      <c r="B1963">
        <v>2.66</v>
      </c>
      <c r="C1963">
        <v>1.66</v>
      </c>
      <c r="D1963">
        <v>2.4</v>
      </c>
      <c r="E1963">
        <v>28</v>
      </c>
      <c r="F1963">
        <v>18</v>
      </c>
      <c r="G1963">
        <v>2</v>
      </c>
      <c r="H1963">
        <v>4</v>
      </c>
      <c r="I1963">
        <v>2.2000000000000002</v>
      </c>
      <c r="J1963">
        <v>2019</v>
      </c>
      <c r="K1963">
        <v>5</v>
      </c>
      <c r="L1963" t="s">
        <v>12</v>
      </c>
      <c r="M1963">
        <f>SUM(Pharma_Sales_Data[[#This Row],[M01AB]:[R06]])</f>
        <v>60.92</v>
      </c>
      <c r="N1963" s="2">
        <f>Pharma_Sales_Data[[#This Row],[Total Drug Sales]]*150</f>
        <v>9138</v>
      </c>
      <c r="O1963" s="2">
        <f>Pharma_Sales_Data[[#This Row],[Total Revenue]]*0.3</f>
        <v>2741.4</v>
      </c>
      <c r="P1963" t="str">
        <f>IF(Pharma_Sales_Data[[#This Row],[Total Revenue]]&gt;20000,"High Value", IF(Pharma_Sales_Data[[#This Row],[Total Revenue]]&gt;=10000,"Medium Value","Low Value"))</f>
        <v>Low Value</v>
      </c>
    </row>
    <row r="1964" spans="1:16" x14ac:dyDescent="0.35">
      <c r="A1964" s="1">
        <v>43603</v>
      </c>
      <c r="B1964">
        <v>10</v>
      </c>
      <c r="C1964">
        <v>0.34</v>
      </c>
      <c r="D1964">
        <v>5.0999999999999996</v>
      </c>
      <c r="E1964">
        <v>14</v>
      </c>
      <c r="F1964">
        <v>9</v>
      </c>
      <c r="G1964">
        <v>2</v>
      </c>
      <c r="H1964">
        <v>5</v>
      </c>
      <c r="I1964">
        <v>3</v>
      </c>
      <c r="J1964">
        <v>2019</v>
      </c>
      <c r="K1964">
        <v>5</v>
      </c>
      <c r="L1964" t="s">
        <v>13</v>
      </c>
      <c r="M1964">
        <f>SUM(Pharma_Sales_Data[[#This Row],[M01AB]:[R06]])</f>
        <v>48.44</v>
      </c>
      <c r="N1964" s="2">
        <f>Pharma_Sales_Data[[#This Row],[Total Drug Sales]]*150</f>
        <v>7266</v>
      </c>
      <c r="O1964" s="2">
        <f>Pharma_Sales_Data[[#This Row],[Total Revenue]]*0.3</f>
        <v>2179.7999999999997</v>
      </c>
      <c r="P1964" t="str">
        <f>IF(Pharma_Sales_Data[[#This Row],[Total Revenue]]&gt;20000,"High Value", IF(Pharma_Sales_Data[[#This Row],[Total Revenue]]&gt;=10000,"Medium Value","Low Value"))</f>
        <v>Low Value</v>
      </c>
    </row>
    <row r="1965" spans="1:16" x14ac:dyDescent="0.35">
      <c r="A1965" s="1">
        <v>43604</v>
      </c>
      <c r="B1965">
        <v>6.67</v>
      </c>
      <c r="C1965">
        <v>5</v>
      </c>
      <c r="D1965">
        <v>4</v>
      </c>
      <c r="E1965">
        <v>26.4</v>
      </c>
      <c r="F1965">
        <v>9</v>
      </c>
      <c r="G1965">
        <v>0</v>
      </c>
      <c r="H1965">
        <v>9</v>
      </c>
      <c r="I1965">
        <v>4.2</v>
      </c>
      <c r="J1965">
        <v>2019</v>
      </c>
      <c r="K1965">
        <v>5</v>
      </c>
      <c r="L1965" t="s">
        <v>14</v>
      </c>
      <c r="M1965">
        <f>SUM(Pharma_Sales_Data[[#This Row],[M01AB]:[R06]])</f>
        <v>64.27</v>
      </c>
      <c r="N1965" s="2">
        <f>Pharma_Sales_Data[[#This Row],[Total Drug Sales]]*150</f>
        <v>9640.5</v>
      </c>
      <c r="O1965" s="2">
        <f>Pharma_Sales_Data[[#This Row],[Total Revenue]]*0.3</f>
        <v>2892.15</v>
      </c>
      <c r="P1965" t="str">
        <f>IF(Pharma_Sales_Data[[#This Row],[Total Revenue]]&gt;20000,"High Value", IF(Pharma_Sales_Data[[#This Row],[Total Revenue]]&gt;=10000,"Medium Value","Low Value"))</f>
        <v>Low Value</v>
      </c>
    </row>
    <row r="1966" spans="1:16" x14ac:dyDescent="0.35">
      <c r="A1966" s="1">
        <v>43605</v>
      </c>
      <c r="B1966">
        <v>3.67</v>
      </c>
      <c r="C1966">
        <v>6.3959999999999999</v>
      </c>
      <c r="D1966">
        <v>5</v>
      </c>
      <c r="E1966">
        <v>21.3</v>
      </c>
      <c r="F1966">
        <v>11</v>
      </c>
      <c r="G1966">
        <v>4</v>
      </c>
      <c r="H1966">
        <v>13</v>
      </c>
      <c r="I1966">
        <v>5</v>
      </c>
      <c r="J1966">
        <v>2019</v>
      </c>
      <c r="K1966">
        <v>5</v>
      </c>
      <c r="L1966" t="s">
        <v>15</v>
      </c>
      <c r="M1966">
        <f>SUM(Pharma_Sales_Data[[#This Row],[M01AB]:[R06]])</f>
        <v>69.366</v>
      </c>
      <c r="N1966" s="2">
        <f>Pharma_Sales_Data[[#This Row],[Total Drug Sales]]*150</f>
        <v>10404.9</v>
      </c>
      <c r="O1966" s="2">
        <f>Pharma_Sales_Data[[#This Row],[Total Revenue]]*0.3</f>
        <v>3121.47</v>
      </c>
      <c r="P1966" t="str">
        <f>IF(Pharma_Sales_Data[[#This Row],[Total Revenue]]&gt;20000,"High Value", IF(Pharma_Sales_Data[[#This Row],[Total Revenue]]&gt;=10000,"Medium Value","Low Value"))</f>
        <v>Medium Value</v>
      </c>
    </row>
    <row r="1967" spans="1:16" x14ac:dyDescent="0.35">
      <c r="A1967" s="1">
        <v>43606</v>
      </c>
      <c r="B1967">
        <v>5.34</v>
      </c>
      <c r="C1967">
        <v>4</v>
      </c>
      <c r="D1967">
        <v>5.0999999999999996</v>
      </c>
      <c r="E1967">
        <v>17.600000000000001</v>
      </c>
      <c r="F1967">
        <v>12.2</v>
      </c>
      <c r="G1967">
        <v>0</v>
      </c>
      <c r="H1967">
        <v>1</v>
      </c>
      <c r="I1967">
        <v>7</v>
      </c>
      <c r="J1967">
        <v>2019</v>
      </c>
      <c r="K1967">
        <v>5</v>
      </c>
      <c r="L1967" t="s">
        <v>16</v>
      </c>
      <c r="M1967">
        <f>SUM(Pharma_Sales_Data[[#This Row],[M01AB]:[R06]])</f>
        <v>52.239999999999995</v>
      </c>
      <c r="N1967" s="2">
        <f>Pharma_Sales_Data[[#This Row],[Total Drug Sales]]*150</f>
        <v>7835.9999999999991</v>
      </c>
      <c r="O1967" s="2">
        <f>Pharma_Sales_Data[[#This Row],[Total Revenue]]*0.3</f>
        <v>2350.7999999999997</v>
      </c>
      <c r="P1967" t="str">
        <f>IF(Pharma_Sales_Data[[#This Row],[Total Revenue]]&gt;20000,"High Value", IF(Pharma_Sales_Data[[#This Row],[Total Revenue]]&gt;=10000,"Medium Value","Low Value"))</f>
        <v>Low Value</v>
      </c>
    </row>
    <row r="1968" spans="1:16" x14ac:dyDescent="0.35">
      <c r="A1968" s="1">
        <v>43607</v>
      </c>
      <c r="B1968">
        <v>8.16</v>
      </c>
      <c r="C1968">
        <v>2.8359999999999999</v>
      </c>
      <c r="D1968">
        <v>3.15</v>
      </c>
      <c r="E1968">
        <v>28.2</v>
      </c>
      <c r="F1968">
        <v>8</v>
      </c>
      <c r="G1968">
        <v>0</v>
      </c>
      <c r="H1968">
        <v>9</v>
      </c>
      <c r="I1968">
        <v>5</v>
      </c>
      <c r="J1968">
        <v>2019</v>
      </c>
      <c r="K1968">
        <v>5</v>
      </c>
      <c r="L1968" t="s">
        <v>17</v>
      </c>
      <c r="M1968">
        <f>SUM(Pharma_Sales_Data[[#This Row],[M01AB]:[R06]])</f>
        <v>64.346000000000004</v>
      </c>
      <c r="N1968" s="2">
        <f>Pharma_Sales_Data[[#This Row],[Total Drug Sales]]*150</f>
        <v>9651.9000000000015</v>
      </c>
      <c r="O1968" s="2">
        <f>Pharma_Sales_Data[[#This Row],[Total Revenue]]*0.3</f>
        <v>2895.57</v>
      </c>
      <c r="P1968" t="str">
        <f>IF(Pharma_Sales_Data[[#This Row],[Total Revenue]]&gt;20000,"High Value", IF(Pharma_Sales_Data[[#This Row],[Total Revenue]]&gt;=10000,"Medium Value","Low Value"))</f>
        <v>Low Value</v>
      </c>
    </row>
    <row r="1969" spans="1:16" x14ac:dyDescent="0.35">
      <c r="A1969" s="1">
        <v>43608</v>
      </c>
      <c r="B1969">
        <v>2.33</v>
      </c>
      <c r="C1969">
        <v>3.34</v>
      </c>
      <c r="D1969">
        <v>2</v>
      </c>
      <c r="E1969">
        <v>26.1</v>
      </c>
      <c r="F1969">
        <v>4</v>
      </c>
      <c r="G1969">
        <v>0</v>
      </c>
      <c r="H1969">
        <v>10</v>
      </c>
      <c r="I1969">
        <v>6</v>
      </c>
      <c r="J1969">
        <v>2019</v>
      </c>
      <c r="K1969">
        <v>5</v>
      </c>
      <c r="L1969" t="s">
        <v>11</v>
      </c>
      <c r="M1969">
        <f>SUM(Pharma_Sales_Data[[#This Row],[M01AB]:[R06]])</f>
        <v>53.77</v>
      </c>
      <c r="N1969" s="2">
        <f>Pharma_Sales_Data[[#This Row],[Total Drug Sales]]*150</f>
        <v>8065.5000000000009</v>
      </c>
      <c r="O1969" s="2">
        <f>Pharma_Sales_Data[[#This Row],[Total Revenue]]*0.3</f>
        <v>2419.65</v>
      </c>
      <c r="P1969" t="str">
        <f>IF(Pharma_Sales_Data[[#This Row],[Total Revenue]]&gt;20000,"High Value", IF(Pharma_Sales_Data[[#This Row],[Total Revenue]]&gt;=10000,"Medium Value","Low Value"))</f>
        <v>Low Value</v>
      </c>
    </row>
    <row r="1970" spans="1:16" x14ac:dyDescent="0.35">
      <c r="A1970" s="1">
        <v>43609</v>
      </c>
      <c r="B1970">
        <v>5.34</v>
      </c>
      <c r="C1970">
        <v>3.7029999999999998</v>
      </c>
      <c r="D1970">
        <v>3</v>
      </c>
      <c r="E1970">
        <v>36.200000000000003</v>
      </c>
      <c r="F1970">
        <v>8</v>
      </c>
      <c r="G1970">
        <v>1</v>
      </c>
      <c r="H1970">
        <v>5</v>
      </c>
      <c r="I1970">
        <v>3</v>
      </c>
      <c r="J1970">
        <v>2019</v>
      </c>
      <c r="K1970">
        <v>5</v>
      </c>
      <c r="L1970" t="s">
        <v>12</v>
      </c>
      <c r="M1970">
        <f>SUM(Pharma_Sales_Data[[#This Row],[M01AB]:[R06]])</f>
        <v>65.242999999999995</v>
      </c>
      <c r="N1970" s="2">
        <f>Pharma_Sales_Data[[#This Row],[Total Drug Sales]]*150</f>
        <v>9786.4499999999989</v>
      </c>
      <c r="O1970" s="2">
        <f>Pharma_Sales_Data[[#This Row],[Total Revenue]]*0.3</f>
        <v>2935.9349999999995</v>
      </c>
      <c r="P1970" t="str">
        <f>IF(Pharma_Sales_Data[[#This Row],[Total Revenue]]&gt;20000,"High Value", IF(Pharma_Sales_Data[[#This Row],[Total Revenue]]&gt;=10000,"Medium Value","Low Value"))</f>
        <v>Low Value</v>
      </c>
    </row>
    <row r="1971" spans="1:16" x14ac:dyDescent="0.35">
      <c r="A1971" s="1">
        <v>43610</v>
      </c>
      <c r="B1971">
        <v>11</v>
      </c>
      <c r="C1971">
        <v>3.34</v>
      </c>
      <c r="D1971">
        <v>4.0999999999999996</v>
      </c>
      <c r="E1971">
        <v>35</v>
      </c>
      <c r="F1971">
        <v>4</v>
      </c>
      <c r="G1971">
        <v>0</v>
      </c>
      <c r="H1971">
        <v>16</v>
      </c>
      <c r="I1971">
        <v>2</v>
      </c>
      <c r="J1971">
        <v>2019</v>
      </c>
      <c r="K1971">
        <v>5</v>
      </c>
      <c r="L1971" t="s">
        <v>13</v>
      </c>
      <c r="M1971">
        <f>SUM(Pharma_Sales_Data[[#This Row],[M01AB]:[R06]])</f>
        <v>75.44</v>
      </c>
      <c r="N1971" s="2">
        <f>Pharma_Sales_Data[[#This Row],[Total Drug Sales]]*150</f>
        <v>11316</v>
      </c>
      <c r="O1971" s="2">
        <f>Pharma_Sales_Data[[#This Row],[Total Revenue]]*0.3</f>
        <v>3394.7999999999997</v>
      </c>
      <c r="P1971" t="str">
        <f>IF(Pharma_Sales_Data[[#This Row],[Total Revenue]]&gt;20000,"High Value", IF(Pharma_Sales_Data[[#This Row],[Total Revenue]]&gt;=10000,"Medium Value","Low Value"))</f>
        <v>Medium Value</v>
      </c>
    </row>
    <row r="1972" spans="1:16" x14ac:dyDescent="0.35">
      <c r="A1972" s="1">
        <v>43611</v>
      </c>
      <c r="B1972">
        <v>6.33</v>
      </c>
      <c r="C1972">
        <v>5.31</v>
      </c>
      <c r="D1972">
        <v>2</v>
      </c>
      <c r="E1972">
        <v>30</v>
      </c>
      <c r="F1972">
        <v>2.6</v>
      </c>
      <c r="G1972">
        <v>0</v>
      </c>
      <c r="H1972">
        <v>11</v>
      </c>
      <c r="I1972">
        <v>6</v>
      </c>
      <c r="J1972">
        <v>2019</v>
      </c>
      <c r="K1972">
        <v>5</v>
      </c>
      <c r="L1972" t="s">
        <v>14</v>
      </c>
      <c r="M1972">
        <f>SUM(Pharma_Sales_Data[[#This Row],[M01AB]:[R06]])</f>
        <v>63.24</v>
      </c>
      <c r="N1972" s="2">
        <f>Pharma_Sales_Data[[#This Row],[Total Drug Sales]]*150</f>
        <v>9486</v>
      </c>
      <c r="O1972" s="2">
        <f>Pharma_Sales_Data[[#This Row],[Total Revenue]]*0.3</f>
        <v>2845.7999999999997</v>
      </c>
      <c r="P1972" t="str">
        <f>IF(Pharma_Sales_Data[[#This Row],[Total Revenue]]&gt;20000,"High Value", IF(Pharma_Sales_Data[[#This Row],[Total Revenue]]&gt;=10000,"Medium Value","Low Value"))</f>
        <v>Low Value</v>
      </c>
    </row>
    <row r="1973" spans="1:16" x14ac:dyDescent="0.35">
      <c r="A1973" s="1">
        <v>43612</v>
      </c>
      <c r="B1973">
        <v>4.67</v>
      </c>
      <c r="C1973">
        <v>0.67</v>
      </c>
      <c r="D1973">
        <v>1.2</v>
      </c>
      <c r="E1973">
        <v>19</v>
      </c>
      <c r="F1973">
        <v>8</v>
      </c>
      <c r="G1973">
        <v>0</v>
      </c>
      <c r="H1973">
        <v>0</v>
      </c>
      <c r="I1973">
        <v>2</v>
      </c>
      <c r="J1973">
        <v>2019</v>
      </c>
      <c r="K1973">
        <v>5</v>
      </c>
      <c r="L1973" t="s">
        <v>15</v>
      </c>
      <c r="M1973">
        <f>SUM(Pharma_Sales_Data[[#This Row],[M01AB]:[R06]])</f>
        <v>35.54</v>
      </c>
      <c r="N1973" s="2">
        <f>Pharma_Sales_Data[[#This Row],[Total Drug Sales]]*150</f>
        <v>5331</v>
      </c>
      <c r="O1973" s="2">
        <f>Pharma_Sales_Data[[#This Row],[Total Revenue]]*0.3</f>
        <v>1599.3</v>
      </c>
      <c r="P1973" t="str">
        <f>IF(Pharma_Sales_Data[[#This Row],[Total Revenue]]&gt;20000,"High Value", IF(Pharma_Sales_Data[[#This Row],[Total Revenue]]&gt;=10000,"Medium Value","Low Value"))</f>
        <v>Low Value</v>
      </c>
    </row>
    <row r="1974" spans="1:16" x14ac:dyDescent="0.35">
      <c r="A1974" s="1">
        <v>43613</v>
      </c>
      <c r="B1974">
        <v>4.33</v>
      </c>
      <c r="C1974">
        <v>3.99</v>
      </c>
      <c r="D1974">
        <v>6.3</v>
      </c>
      <c r="E1974">
        <v>18.2</v>
      </c>
      <c r="F1974">
        <v>10</v>
      </c>
      <c r="G1974">
        <v>2</v>
      </c>
      <c r="H1974">
        <v>5</v>
      </c>
      <c r="I1974">
        <v>6</v>
      </c>
      <c r="J1974">
        <v>2019</v>
      </c>
      <c r="K1974">
        <v>5</v>
      </c>
      <c r="L1974" t="s">
        <v>16</v>
      </c>
      <c r="M1974">
        <f>SUM(Pharma_Sales_Data[[#This Row],[M01AB]:[R06]])</f>
        <v>55.82</v>
      </c>
      <c r="N1974" s="2">
        <f>Pharma_Sales_Data[[#This Row],[Total Drug Sales]]*150</f>
        <v>8373</v>
      </c>
      <c r="O1974" s="2">
        <f>Pharma_Sales_Data[[#This Row],[Total Revenue]]*0.3</f>
        <v>2511.9</v>
      </c>
      <c r="P1974" t="str">
        <f>IF(Pharma_Sales_Data[[#This Row],[Total Revenue]]&gt;20000,"High Value", IF(Pharma_Sales_Data[[#This Row],[Total Revenue]]&gt;=10000,"Medium Value","Low Value"))</f>
        <v>Low Value</v>
      </c>
    </row>
    <row r="1975" spans="1:16" x14ac:dyDescent="0.35">
      <c r="A1975" s="1">
        <v>43614</v>
      </c>
      <c r="B1975">
        <v>5.5</v>
      </c>
      <c r="C1975">
        <v>2.34</v>
      </c>
      <c r="D1975">
        <v>4.05</v>
      </c>
      <c r="E1975">
        <v>15</v>
      </c>
      <c r="F1975">
        <v>10</v>
      </c>
      <c r="G1975">
        <v>1</v>
      </c>
      <c r="H1975">
        <v>0</v>
      </c>
      <c r="I1975">
        <v>3</v>
      </c>
      <c r="J1975">
        <v>2019</v>
      </c>
      <c r="K1975">
        <v>5</v>
      </c>
      <c r="L1975" t="s">
        <v>17</v>
      </c>
      <c r="M1975">
        <f>SUM(Pharma_Sales_Data[[#This Row],[M01AB]:[R06]])</f>
        <v>40.89</v>
      </c>
      <c r="N1975" s="2">
        <f>Pharma_Sales_Data[[#This Row],[Total Drug Sales]]*150</f>
        <v>6133.5</v>
      </c>
      <c r="O1975" s="2">
        <f>Pharma_Sales_Data[[#This Row],[Total Revenue]]*0.3</f>
        <v>1840.05</v>
      </c>
      <c r="P1975" t="str">
        <f>IF(Pharma_Sales_Data[[#This Row],[Total Revenue]]&gt;20000,"High Value", IF(Pharma_Sales_Data[[#This Row],[Total Revenue]]&gt;=10000,"Medium Value","Low Value"))</f>
        <v>Low Value</v>
      </c>
    </row>
    <row r="1976" spans="1:16" x14ac:dyDescent="0.35">
      <c r="A1976" s="1">
        <v>43615</v>
      </c>
      <c r="B1976">
        <v>5</v>
      </c>
      <c r="C1976">
        <v>0.34</v>
      </c>
      <c r="D1976">
        <v>3.4</v>
      </c>
      <c r="E1976">
        <v>17.2</v>
      </c>
      <c r="F1976">
        <v>5</v>
      </c>
      <c r="G1976">
        <v>0</v>
      </c>
      <c r="H1976">
        <v>6</v>
      </c>
      <c r="I1976">
        <v>4</v>
      </c>
      <c r="J1976">
        <v>2019</v>
      </c>
      <c r="K1976">
        <v>5</v>
      </c>
      <c r="L1976" t="s">
        <v>11</v>
      </c>
      <c r="M1976">
        <f>SUM(Pharma_Sales_Data[[#This Row],[M01AB]:[R06]])</f>
        <v>40.94</v>
      </c>
      <c r="N1976" s="2">
        <f>Pharma_Sales_Data[[#This Row],[Total Drug Sales]]*150</f>
        <v>6141</v>
      </c>
      <c r="O1976" s="2">
        <f>Pharma_Sales_Data[[#This Row],[Total Revenue]]*0.3</f>
        <v>1842.3</v>
      </c>
      <c r="P1976" t="str">
        <f>IF(Pharma_Sales_Data[[#This Row],[Total Revenue]]&gt;20000,"High Value", IF(Pharma_Sales_Data[[#This Row],[Total Revenue]]&gt;=10000,"Medium Value","Low Value"))</f>
        <v>Low Value</v>
      </c>
    </row>
    <row r="1977" spans="1:16" x14ac:dyDescent="0.35">
      <c r="A1977" s="1">
        <v>43616</v>
      </c>
      <c r="B1977">
        <v>5.99</v>
      </c>
      <c r="C1977">
        <v>3.363</v>
      </c>
      <c r="D1977">
        <v>1</v>
      </c>
      <c r="E1977">
        <v>22.661999999999999</v>
      </c>
      <c r="F1977">
        <v>2</v>
      </c>
      <c r="G1977">
        <v>0</v>
      </c>
      <c r="H1977">
        <v>2</v>
      </c>
      <c r="I1977">
        <v>5</v>
      </c>
      <c r="J1977">
        <v>2019</v>
      </c>
      <c r="K1977">
        <v>5</v>
      </c>
      <c r="L1977" t="s">
        <v>12</v>
      </c>
      <c r="M1977">
        <f>SUM(Pharma_Sales_Data[[#This Row],[M01AB]:[R06]])</f>
        <v>42.015000000000001</v>
      </c>
      <c r="N1977" s="2">
        <f>Pharma_Sales_Data[[#This Row],[Total Drug Sales]]*150</f>
        <v>6302.25</v>
      </c>
      <c r="O1977" s="2">
        <f>Pharma_Sales_Data[[#This Row],[Total Revenue]]*0.3</f>
        <v>1890.675</v>
      </c>
      <c r="P1977" t="str">
        <f>IF(Pharma_Sales_Data[[#This Row],[Total Revenue]]&gt;20000,"High Value", IF(Pharma_Sales_Data[[#This Row],[Total Revenue]]&gt;=10000,"Medium Value","Low Value"))</f>
        <v>Low Value</v>
      </c>
    </row>
    <row r="1978" spans="1:16" x14ac:dyDescent="0.35">
      <c r="A1978" s="1">
        <v>43617</v>
      </c>
      <c r="B1978">
        <v>3</v>
      </c>
      <c r="C1978">
        <v>1.34</v>
      </c>
      <c r="D1978">
        <v>6</v>
      </c>
      <c r="E1978">
        <v>21.4</v>
      </c>
      <c r="F1978">
        <v>1</v>
      </c>
      <c r="G1978">
        <v>0</v>
      </c>
      <c r="H1978">
        <v>8</v>
      </c>
      <c r="I1978">
        <v>4</v>
      </c>
      <c r="J1978">
        <v>2019</v>
      </c>
      <c r="K1978">
        <v>6</v>
      </c>
      <c r="L1978" t="s">
        <v>13</v>
      </c>
      <c r="M1978">
        <f>SUM(Pharma_Sales_Data[[#This Row],[M01AB]:[R06]])</f>
        <v>44.739999999999995</v>
      </c>
      <c r="N1978" s="2">
        <f>Pharma_Sales_Data[[#This Row],[Total Drug Sales]]*150</f>
        <v>6710.9999999999991</v>
      </c>
      <c r="O1978" s="2">
        <f>Pharma_Sales_Data[[#This Row],[Total Revenue]]*0.3</f>
        <v>2013.2999999999997</v>
      </c>
      <c r="P1978" t="str">
        <f>IF(Pharma_Sales_Data[[#This Row],[Total Revenue]]&gt;20000,"High Value", IF(Pharma_Sales_Data[[#This Row],[Total Revenue]]&gt;=10000,"Medium Value","Low Value"))</f>
        <v>Low Value</v>
      </c>
    </row>
    <row r="1979" spans="1:16" x14ac:dyDescent="0.35">
      <c r="A1979" s="1">
        <v>43618</v>
      </c>
      <c r="B1979">
        <v>4</v>
      </c>
      <c r="C1979">
        <v>2.66</v>
      </c>
      <c r="D1979">
        <v>3.05</v>
      </c>
      <c r="E1979">
        <v>28</v>
      </c>
      <c r="F1979">
        <v>4</v>
      </c>
      <c r="G1979">
        <v>1</v>
      </c>
      <c r="H1979">
        <v>6</v>
      </c>
      <c r="I1979">
        <v>4</v>
      </c>
      <c r="J1979">
        <v>2019</v>
      </c>
      <c r="K1979">
        <v>6</v>
      </c>
      <c r="L1979" t="s">
        <v>14</v>
      </c>
      <c r="M1979">
        <f>SUM(Pharma_Sales_Data[[#This Row],[M01AB]:[R06]])</f>
        <v>52.71</v>
      </c>
      <c r="N1979" s="2">
        <f>Pharma_Sales_Data[[#This Row],[Total Drug Sales]]*150</f>
        <v>7906.5</v>
      </c>
      <c r="O1979" s="2">
        <f>Pharma_Sales_Data[[#This Row],[Total Revenue]]*0.3</f>
        <v>2371.9499999999998</v>
      </c>
      <c r="P1979" t="str">
        <f>IF(Pharma_Sales_Data[[#This Row],[Total Revenue]]&gt;20000,"High Value", IF(Pharma_Sales_Data[[#This Row],[Total Revenue]]&gt;=10000,"Medium Value","Low Value"))</f>
        <v>Low Value</v>
      </c>
    </row>
    <row r="1980" spans="1:16" x14ac:dyDescent="0.35">
      <c r="A1980" s="1">
        <v>43619</v>
      </c>
      <c r="B1980">
        <v>0.33</v>
      </c>
      <c r="C1980">
        <v>2.5049999999999999</v>
      </c>
      <c r="D1980">
        <v>4</v>
      </c>
      <c r="E1980">
        <v>15.4</v>
      </c>
      <c r="F1980">
        <v>4</v>
      </c>
      <c r="G1980">
        <v>0</v>
      </c>
      <c r="H1980">
        <v>5</v>
      </c>
      <c r="I1980">
        <v>10</v>
      </c>
      <c r="J1980">
        <v>2019</v>
      </c>
      <c r="K1980">
        <v>6</v>
      </c>
      <c r="L1980" t="s">
        <v>15</v>
      </c>
      <c r="M1980">
        <f>SUM(Pharma_Sales_Data[[#This Row],[M01AB]:[R06]])</f>
        <v>41.234999999999999</v>
      </c>
      <c r="N1980" s="2">
        <f>Pharma_Sales_Data[[#This Row],[Total Drug Sales]]*150</f>
        <v>6185.25</v>
      </c>
      <c r="O1980" s="2">
        <f>Pharma_Sales_Data[[#This Row],[Total Revenue]]*0.3</f>
        <v>1855.5749999999998</v>
      </c>
      <c r="P1980" t="str">
        <f>IF(Pharma_Sales_Data[[#This Row],[Total Revenue]]&gt;20000,"High Value", IF(Pharma_Sales_Data[[#This Row],[Total Revenue]]&gt;=10000,"Medium Value","Low Value"))</f>
        <v>Low Value</v>
      </c>
    </row>
    <row r="1981" spans="1:16" x14ac:dyDescent="0.35">
      <c r="A1981" s="1">
        <v>43620</v>
      </c>
      <c r="B1981">
        <v>6.34</v>
      </c>
      <c r="C1981">
        <v>2.823</v>
      </c>
      <c r="D1981">
        <v>5.35</v>
      </c>
      <c r="E1981">
        <v>28.2</v>
      </c>
      <c r="F1981">
        <v>9</v>
      </c>
      <c r="G1981">
        <v>1</v>
      </c>
      <c r="H1981">
        <v>12</v>
      </c>
      <c r="I1981">
        <v>5</v>
      </c>
      <c r="J1981">
        <v>2019</v>
      </c>
      <c r="K1981">
        <v>6</v>
      </c>
      <c r="L1981" t="s">
        <v>16</v>
      </c>
      <c r="M1981">
        <f>SUM(Pharma_Sales_Data[[#This Row],[M01AB]:[R06]])</f>
        <v>69.712999999999994</v>
      </c>
      <c r="N1981" s="2">
        <f>Pharma_Sales_Data[[#This Row],[Total Drug Sales]]*150</f>
        <v>10456.949999999999</v>
      </c>
      <c r="O1981" s="2">
        <f>Pharma_Sales_Data[[#This Row],[Total Revenue]]*0.3</f>
        <v>3137.0849999999996</v>
      </c>
      <c r="P1981" t="str">
        <f>IF(Pharma_Sales_Data[[#This Row],[Total Revenue]]&gt;20000,"High Value", IF(Pharma_Sales_Data[[#This Row],[Total Revenue]]&gt;=10000,"Medium Value","Low Value"))</f>
        <v>Medium Value</v>
      </c>
    </row>
    <row r="1982" spans="1:16" x14ac:dyDescent="0.35">
      <c r="A1982" s="1">
        <v>43621</v>
      </c>
      <c r="B1982">
        <v>5</v>
      </c>
      <c r="C1982">
        <v>1.77</v>
      </c>
      <c r="D1982">
        <v>2.1</v>
      </c>
      <c r="E1982">
        <v>26.1</v>
      </c>
      <c r="F1982">
        <v>7</v>
      </c>
      <c r="G1982">
        <v>0</v>
      </c>
      <c r="H1982">
        <v>1</v>
      </c>
      <c r="I1982">
        <v>2</v>
      </c>
      <c r="J1982">
        <v>2019</v>
      </c>
      <c r="K1982">
        <v>6</v>
      </c>
      <c r="L1982" t="s">
        <v>17</v>
      </c>
      <c r="M1982">
        <f>SUM(Pharma_Sales_Data[[#This Row],[M01AB]:[R06]])</f>
        <v>44.97</v>
      </c>
      <c r="N1982" s="2">
        <f>Pharma_Sales_Data[[#This Row],[Total Drug Sales]]*150</f>
        <v>6745.5</v>
      </c>
      <c r="O1982" s="2">
        <f>Pharma_Sales_Data[[#This Row],[Total Revenue]]*0.3</f>
        <v>2023.6499999999999</v>
      </c>
      <c r="P1982" t="str">
        <f>IF(Pharma_Sales_Data[[#This Row],[Total Revenue]]&gt;20000,"High Value", IF(Pharma_Sales_Data[[#This Row],[Total Revenue]]&gt;=10000,"Medium Value","Low Value"))</f>
        <v>Low Value</v>
      </c>
    </row>
    <row r="1983" spans="1:16" x14ac:dyDescent="0.35">
      <c r="A1983" s="1">
        <v>43622</v>
      </c>
      <c r="B1983">
        <v>7.67</v>
      </c>
      <c r="C1983">
        <v>2.0760000000000001</v>
      </c>
      <c r="D1983">
        <v>6.35</v>
      </c>
      <c r="E1983">
        <v>27</v>
      </c>
      <c r="F1983">
        <v>7</v>
      </c>
      <c r="G1983">
        <v>2</v>
      </c>
      <c r="H1983">
        <v>11</v>
      </c>
      <c r="I1983">
        <v>4</v>
      </c>
      <c r="J1983">
        <v>2019</v>
      </c>
      <c r="K1983">
        <v>6</v>
      </c>
      <c r="L1983" t="s">
        <v>11</v>
      </c>
      <c r="M1983">
        <f>SUM(Pharma_Sales_Data[[#This Row],[M01AB]:[R06]])</f>
        <v>67.096000000000004</v>
      </c>
      <c r="N1983" s="2">
        <f>Pharma_Sales_Data[[#This Row],[Total Drug Sales]]*150</f>
        <v>10064.400000000001</v>
      </c>
      <c r="O1983" s="2">
        <f>Pharma_Sales_Data[[#This Row],[Total Revenue]]*0.3</f>
        <v>3019.32</v>
      </c>
      <c r="P1983" t="str">
        <f>IF(Pharma_Sales_Data[[#This Row],[Total Revenue]]&gt;20000,"High Value", IF(Pharma_Sales_Data[[#This Row],[Total Revenue]]&gt;=10000,"Medium Value","Low Value"))</f>
        <v>Medium Value</v>
      </c>
    </row>
    <row r="1984" spans="1:16" x14ac:dyDescent="0.35">
      <c r="A1984" s="1">
        <v>43623</v>
      </c>
      <c r="B1984">
        <v>6</v>
      </c>
      <c r="C1984">
        <v>2.67</v>
      </c>
      <c r="D1984">
        <v>2</v>
      </c>
      <c r="E1984">
        <v>22</v>
      </c>
      <c r="F1984">
        <v>6</v>
      </c>
      <c r="G1984">
        <v>0</v>
      </c>
      <c r="H1984">
        <v>16</v>
      </c>
      <c r="I1984">
        <v>0</v>
      </c>
      <c r="J1984">
        <v>2019</v>
      </c>
      <c r="K1984">
        <v>6</v>
      </c>
      <c r="L1984" t="s">
        <v>12</v>
      </c>
      <c r="M1984">
        <f>SUM(Pharma_Sales_Data[[#This Row],[M01AB]:[R06]])</f>
        <v>54.67</v>
      </c>
      <c r="N1984" s="2">
        <f>Pharma_Sales_Data[[#This Row],[Total Drug Sales]]*150</f>
        <v>8200.5</v>
      </c>
      <c r="O1984" s="2">
        <f>Pharma_Sales_Data[[#This Row],[Total Revenue]]*0.3</f>
        <v>2460.15</v>
      </c>
      <c r="P1984" t="str">
        <f>IF(Pharma_Sales_Data[[#This Row],[Total Revenue]]&gt;20000,"High Value", IF(Pharma_Sales_Data[[#This Row],[Total Revenue]]&gt;=10000,"Medium Value","Low Value"))</f>
        <v>Low Value</v>
      </c>
    </row>
    <row r="1985" spans="1:16" x14ac:dyDescent="0.35">
      <c r="A1985" s="1">
        <v>43624</v>
      </c>
      <c r="B1985">
        <v>3</v>
      </c>
      <c r="C1985">
        <v>3.66</v>
      </c>
      <c r="D1985">
        <v>1</v>
      </c>
      <c r="E1985">
        <v>22.4</v>
      </c>
      <c r="F1985">
        <v>12</v>
      </c>
      <c r="G1985">
        <v>0</v>
      </c>
      <c r="H1985">
        <v>0</v>
      </c>
      <c r="I1985">
        <v>2.1</v>
      </c>
      <c r="J1985">
        <v>2019</v>
      </c>
      <c r="K1985">
        <v>6</v>
      </c>
      <c r="L1985" t="s">
        <v>13</v>
      </c>
      <c r="M1985">
        <f>SUM(Pharma_Sales_Data[[#This Row],[M01AB]:[R06]])</f>
        <v>44.160000000000004</v>
      </c>
      <c r="N1985" s="2">
        <f>Pharma_Sales_Data[[#This Row],[Total Drug Sales]]*150</f>
        <v>6624.0000000000009</v>
      </c>
      <c r="O1985" s="2">
        <f>Pharma_Sales_Data[[#This Row],[Total Revenue]]*0.3</f>
        <v>1987.2000000000003</v>
      </c>
      <c r="P1985" t="str">
        <f>IF(Pharma_Sales_Data[[#This Row],[Total Revenue]]&gt;20000,"High Value", IF(Pharma_Sales_Data[[#This Row],[Total Revenue]]&gt;=10000,"Medium Value","Low Value"))</f>
        <v>Low Value</v>
      </c>
    </row>
    <row r="1986" spans="1:16" x14ac:dyDescent="0.35">
      <c r="A1986" s="1">
        <v>43625</v>
      </c>
      <c r="B1986">
        <v>9.33</v>
      </c>
      <c r="C1986">
        <v>1.0329999999999999</v>
      </c>
      <c r="D1986">
        <v>8</v>
      </c>
      <c r="E1986">
        <v>16.5</v>
      </c>
      <c r="F1986">
        <v>7</v>
      </c>
      <c r="G1986">
        <v>4</v>
      </c>
      <c r="H1986">
        <v>0</v>
      </c>
      <c r="I1986">
        <v>5</v>
      </c>
      <c r="J1986">
        <v>2019</v>
      </c>
      <c r="K1986">
        <v>6</v>
      </c>
      <c r="L1986" t="s">
        <v>14</v>
      </c>
      <c r="M1986">
        <f>SUM(Pharma_Sales_Data[[#This Row],[M01AB]:[R06]])</f>
        <v>50.863</v>
      </c>
      <c r="N1986" s="2">
        <f>Pharma_Sales_Data[[#This Row],[Total Drug Sales]]*150</f>
        <v>7629.45</v>
      </c>
      <c r="O1986" s="2">
        <f>Pharma_Sales_Data[[#This Row],[Total Revenue]]*0.3</f>
        <v>2288.835</v>
      </c>
      <c r="P1986" t="str">
        <f>IF(Pharma_Sales_Data[[#This Row],[Total Revenue]]&gt;20000,"High Value", IF(Pharma_Sales_Data[[#This Row],[Total Revenue]]&gt;=10000,"Medium Value","Low Value"))</f>
        <v>Low Value</v>
      </c>
    </row>
    <row r="1987" spans="1:16" x14ac:dyDescent="0.35">
      <c r="A1987" s="1">
        <v>43626</v>
      </c>
      <c r="B1987">
        <v>3</v>
      </c>
      <c r="C1987">
        <v>1.34</v>
      </c>
      <c r="D1987">
        <v>2</v>
      </c>
      <c r="E1987">
        <v>15</v>
      </c>
      <c r="F1987">
        <v>7</v>
      </c>
      <c r="G1987">
        <v>0</v>
      </c>
      <c r="H1987">
        <v>6</v>
      </c>
      <c r="I1987">
        <v>12</v>
      </c>
      <c r="J1987">
        <v>2019</v>
      </c>
      <c r="K1987">
        <v>6</v>
      </c>
      <c r="L1987" t="s">
        <v>15</v>
      </c>
      <c r="M1987">
        <f>SUM(Pharma_Sales_Data[[#This Row],[M01AB]:[R06]])</f>
        <v>46.34</v>
      </c>
      <c r="N1987" s="2">
        <f>Pharma_Sales_Data[[#This Row],[Total Drug Sales]]*150</f>
        <v>6951.0000000000009</v>
      </c>
      <c r="O1987" s="2">
        <f>Pharma_Sales_Data[[#This Row],[Total Revenue]]*0.3</f>
        <v>2085.3000000000002</v>
      </c>
      <c r="P1987" t="str">
        <f>IF(Pharma_Sales_Data[[#This Row],[Total Revenue]]&gt;20000,"High Value", IF(Pharma_Sales_Data[[#This Row],[Total Revenue]]&gt;=10000,"Medium Value","Low Value"))</f>
        <v>Low Value</v>
      </c>
    </row>
    <row r="1988" spans="1:16" x14ac:dyDescent="0.35">
      <c r="A1988" s="1">
        <v>43627</v>
      </c>
      <c r="B1988">
        <v>11.34</v>
      </c>
      <c r="C1988">
        <v>3.33</v>
      </c>
      <c r="D1988">
        <v>10.5</v>
      </c>
      <c r="E1988">
        <v>25</v>
      </c>
      <c r="F1988">
        <v>9</v>
      </c>
      <c r="G1988">
        <v>0</v>
      </c>
      <c r="H1988">
        <v>7</v>
      </c>
      <c r="I1988">
        <v>6</v>
      </c>
      <c r="J1988">
        <v>2019</v>
      </c>
      <c r="K1988">
        <v>6</v>
      </c>
      <c r="L1988" t="s">
        <v>16</v>
      </c>
      <c r="M1988">
        <f>SUM(Pharma_Sales_Data[[#This Row],[M01AB]:[R06]])</f>
        <v>72.17</v>
      </c>
      <c r="N1988" s="2">
        <f>Pharma_Sales_Data[[#This Row],[Total Drug Sales]]*150</f>
        <v>10825.5</v>
      </c>
      <c r="O1988" s="2">
        <f>Pharma_Sales_Data[[#This Row],[Total Revenue]]*0.3</f>
        <v>3247.65</v>
      </c>
      <c r="P1988" t="str">
        <f>IF(Pharma_Sales_Data[[#This Row],[Total Revenue]]&gt;20000,"High Value", IF(Pharma_Sales_Data[[#This Row],[Total Revenue]]&gt;=10000,"Medium Value","Low Value"))</f>
        <v>Medium Value</v>
      </c>
    </row>
    <row r="1989" spans="1:16" x14ac:dyDescent="0.35">
      <c r="A1989" s="1">
        <v>43628</v>
      </c>
      <c r="B1989">
        <v>8</v>
      </c>
      <c r="C1989">
        <v>3.4060000000000001</v>
      </c>
      <c r="D1989">
        <v>1</v>
      </c>
      <c r="E1989">
        <v>16.2</v>
      </c>
      <c r="F1989">
        <v>11</v>
      </c>
      <c r="G1989">
        <v>0</v>
      </c>
      <c r="H1989">
        <v>1</v>
      </c>
      <c r="I1989">
        <v>7</v>
      </c>
      <c r="J1989">
        <v>2019</v>
      </c>
      <c r="K1989">
        <v>6</v>
      </c>
      <c r="L1989" t="s">
        <v>17</v>
      </c>
      <c r="M1989">
        <f>SUM(Pharma_Sales_Data[[#This Row],[M01AB]:[R06]])</f>
        <v>47.606000000000002</v>
      </c>
      <c r="N1989" s="2">
        <f>Pharma_Sales_Data[[#This Row],[Total Drug Sales]]*150</f>
        <v>7140.9000000000005</v>
      </c>
      <c r="O1989" s="2">
        <f>Pharma_Sales_Data[[#This Row],[Total Revenue]]*0.3</f>
        <v>2142.27</v>
      </c>
      <c r="P1989" t="str">
        <f>IF(Pharma_Sales_Data[[#This Row],[Total Revenue]]&gt;20000,"High Value", IF(Pharma_Sales_Data[[#This Row],[Total Revenue]]&gt;=10000,"Medium Value","Low Value"))</f>
        <v>Low Value</v>
      </c>
    </row>
    <row r="1990" spans="1:16" x14ac:dyDescent="0.35">
      <c r="A1990" s="1">
        <v>43629</v>
      </c>
      <c r="B1990">
        <v>0.68</v>
      </c>
      <c r="C1990">
        <v>3.02</v>
      </c>
      <c r="D1990">
        <v>0.25</v>
      </c>
      <c r="E1990">
        <v>19.399999999999999</v>
      </c>
      <c r="F1990">
        <v>2</v>
      </c>
      <c r="G1990">
        <v>0</v>
      </c>
      <c r="H1990">
        <v>2</v>
      </c>
      <c r="I1990">
        <v>9</v>
      </c>
      <c r="J1990">
        <v>2019</v>
      </c>
      <c r="K1990">
        <v>6</v>
      </c>
      <c r="L1990" t="s">
        <v>11</v>
      </c>
      <c r="M1990">
        <f>SUM(Pharma_Sales_Data[[#This Row],[M01AB]:[R06]])</f>
        <v>36.349999999999994</v>
      </c>
      <c r="N1990" s="2">
        <f>Pharma_Sales_Data[[#This Row],[Total Drug Sales]]*150</f>
        <v>5452.4999999999991</v>
      </c>
      <c r="O1990" s="2">
        <f>Pharma_Sales_Data[[#This Row],[Total Revenue]]*0.3</f>
        <v>1635.7499999999998</v>
      </c>
      <c r="P1990" t="str">
        <f>IF(Pharma_Sales_Data[[#This Row],[Total Revenue]]&gt;20000,"High Value", IF(Pharma_Sales_Data[[#This Row],[Total Revenue]]&gt;=10000,"Medium Value","Low Value"))</f>
        <v>Low Value</v>
      </c>
    </row>
    <row r="1991" spans="1:16" x14ac:dyDescent="0.35">
      <c r="A1991" s="1">
        <v>43630</v>
      </c>
      <c r="B1991">
        <v>3.18</v>
      </c>
      <c r="C1991">
        <v>3.35</v>
      </c>
      <c r="D1991">
        <v>3</v>
      </c>
      <c r="E1991">
        <v>15</v>
      </c>
      <c r="F1991">
        <v>2</v>
      </c>
      <c r="G1991">
        <v>1</v>
      </c>
      <c r="H1991">
        <v>0</v>
      </c>
      <c r="I1991">
        <v>6</v>
      </c>
      <c r="J1991">
        <v>2019</v>
      </c>
      <c r="K1991">
        <v>6</v>
      </c>
      <c r="L1991" t="s">
        <v>12</v>
      </c>
      <c r="M1991">
        <f>SUM(Pharma_Sales_Data[[#This Row],[M01AB]:[R06]])</f>
        <v>33.53</v>
      </c>
      <c r="N1991" s="2">
        <f>Pharma_Sales_Data[[#This Row],[Total Drug Sales]]*150</f>
        <v>5029.5</v>
      </c>
      <c r="O1991" s="2">
        <f>Pharma_Sales_Data[[#This Row],[Total Revenue]]*0.3</f>
        <v>1508.85</v>
      </c>
      <c r="P1991" t="str">
        <f>IF(Pharma_Sales_Data[[#This Row],[Total Revenue]]&gt;20000,"High Value", IF(Pharma_Sales_Data[[#This Row],[Total Revenue]]&gt;=10000,"Medium Value","Low Value"))</f>
        <v>Low Value</v>
      </c>
    </row>
    <row r="1992" spans="1:16" x14ac:dyDescent="0.35">
      <c r="A1992" s="1">
        <v>43631</v>
      </c>
      <c r="B1992">
        <v>7</v>
      </c>
      <c r="C1992">
        <v>3.4630000000000001</v>
      </c>
      <c r="D1992">
        <v>5</v>
      </c>
      <c r="E1992">
        <v>15</v>
      </c>
      <c r="F1992">
        <v>13</v>
      </c>
      <c r="G1992">
        <v>0</v>
      </c>
      <c r="H1992">
        <v>7</v>
      </c>
      <c r="I1992">
        <v>8</v>
      </c>
      <c r="J1992">
        <v>2019</v>
      </c>
      <c r="K1992">
        <v>6</v>
      </c>
      <c r="L1992" t="s">
        <v>13</v>
      </c>
      <c r="M1992">
        <f>SUM(Pharma_Sales_Data[[#This Row],[M01AB]:[R06]])</f>
        <v>58.463000000000001</v>
      </c>
      <c r="N1992" s="2">
        <f>Pharma_Sales_Data[[#This Row],[Total Drug Sales]]*150</f>
        <v>8769.4500000000007</v>
      </c>
      <c r="O1992" s="2">
        <f>Pharma_Sales_Data[[#This Row],[Total Revenue]]*0.3</f>
        <v>2630.835</v>
      </c>
      <c r="P1992" t="str">
        <f>IF(Pharma_Sales_Data[[#This Row],[Total Revenue]]&gt;20000,"High Value", IF(Pharma_Sales_Data[[#This Row],[Total Revenue]]&gt;=10000,"Medium Value","Low Value"))</f>
        <v>Low Value</v>
      </c>
    </row>
    <row r="1993" spans="1:16" x14ac:dyDescent="0.35">
      <c r="A1993" s="1">
        <v>43632</v>
      </c>
      <c r="B1993">
        <v>4</v>
      </c>
      <c r="C1993">
        <v>5.35</v>
      </c>
      <c r="D1993">
        <v>3</v>
      </c>
      <c r="E1993">
        <v>18</v>
      </c>
      <c r="F1993">
        <v>2</v>
      </c>
      <c r="G1993">
        <v>0</v>
      </c>
      <c r="H1993">
        <v>0</v>
      </c>
      <c r="I1993">
        <v>9</v>
      </c>
      <c r="J1993">
        <v>2019</v>
      </c>
      <c r="K1993">
        <v>6</v>
      </c>
      <c r="L1993" t="s">
        <v>14</v>
      </c>
      <c r="M1993">
        <f>SUM(Pharma_Sales_Data[[#This Row],[M01AB]:[R06]])</f>
        <v>41.35</v>
      </c>
      <c r="N1993" s="2">
        <f>Pharma_Sales_Data[[#This Row],[Total Drug Sales]]*150</f>
        <v>6202.5</v>
      </c>
      <c r="O1993" s="2">
        <f>Pharma_Sales_Data[[#This Row],[Total Revenue]]*0.3</f>
        <v>1860.75</v>
      </c>
      <c r="P1993" t="str">
        <f>IF(Pharma_Sales_Data[[#This Row],[Total Revenue]]&gt;20000,"High Value", IF(Pharma_Sales_Data[[#This Row],[Total Revenue]]&gt;=10000,"Medium Value","Low Value"))</f>
        <v>Low Value</v>
      </c>
    </row>
    <row r="1994" spans="1:16" x14ac:dyDescent="0.35">
      <c r="A1994" s="1">
        <v>43633</v>
      </c>
      <c r="B1994">
        <v>6.66</v>
      </c>
      <c r="C1994">
        <v>4.66</v>
      </c>
      <c r="D1994">
        <v>3</v>
      </c>
      <c r="E1994">
        <v>18</v>
      </c>
      <c r="F1994">
        <v>6</v>
      </c>
      <c r="G1994">
        <v>0</v>
      </c>
      <c r="H1994">
        <v>2</v>
      </c>
      <c r="I1994">
        <v>2.34</v>
      </c>
      <c r="J1994">
        <v>2019</v>
      </c>
      <c r="K1994">
        <v>6</v>
      </c>
      <c r="L1994" t="s">
        <v>15</v>
      </c>
      <c r="M1994">
        <f>SUM(Pharma_Sales_Data[[#This Row],[M01AB]:[R06]])</f>
        <v>42.66</v>
      </c>
      <c r="N1994" s="2">
        <f>Pharma_Sales_Data[[#This Row],[Total Drug Sales]]*150</f>
        <v>6398.9999999999991</v>
      </c>
      <c r="O1994" s="2">
        <f>Pharma_Sales_Data[[#This Row],[Total Revenue]]*0.3</f>
        <v>1919.6999999999996</v>
      </c>
      <c r="P1994" t="str">
        <f>IF(Pharma_Sales_Data[[#This Row],[Total Revenue]]&gt;20000,"High Value", IF(Pharma_Sales_Data[[#This Row],[Total Revenue]]&gt;=10000,"Medium Value","Low Value"))</f>
        <v>Low Value</v>
      </c>
    </row>
    <row r="1995" spans="1:16" x14ac:dyDescent="0.35">
      <c r="A1995" s="1">
        <v>43634</v>
      </c>
      <c r="B1995">
        <v>5</v>
      </c>
      <c r="C1995">
        <v>4.21</v>
      </c>
      <c r="D1995">
        <v>3</v>
      </c>
      <c r="E1995">
        <v>29.5</v>
      </c>
      <c r="F1995">
        <v>8</v>
      </c>
      <c r="G1995">
        <v>0</v>
      </c>
      <c r="H1995">
        <v>2</v>
      </c>
      <c r="I1995">
        <v>12.1</v>
      </c>
      <c r="J1995">
        <v>2019</v>
      </c>
      <c r="K1995">
        <v>6</v>
      </c>
      <c r="L1995" t="s">
        <v>16</v>
      </c>
      <c r="M1995">
        <f>SUM(Pharma_Sales_Data[[#This Row],[M01AB]:[R06]])</f>
        <v>63.81</v>
      </c>
      <c r="N1995" s="2">
        <f>Pharma_Sales_Data[[#This Row],[Total Drug Sales]]*150</f>
        <v>9571.5</v>
      </c>
      <c r="O1995" s="2">
        <f>Pharma_Sales_Data[[#This Row],[Total Revenue]]*0.3</f>
        <v>2871.45</v>
      </c>
      <c r="P1995" t="str">
        <f>IF(Pharma_Sales_Data[[#This Row],[Total Revenue]]&gt;20000,"High Value", IF(Pharma_Sales_Data[[#This Row],[Total Revenue]]&gt;=10000,"Medium Value","Low Value"))</f>
        <v>Low Value</v>
      </c>
    </row>
    <row r="1996" spans="1:16" x14ac:dyDescent="0.35">
      <c r="A1996" s="1">
        <v>43635</v>
      </c>
      <c r="B1996">
        <v>3.67</v>
      </c>
      <c r="C1996">
        <v>3.0329999999999999</v>
      </c>
      <c r="D1996">
        <v>3</v>
      </c>
      <c r="E1996">
        <v>18</v>
      </c>
      <c r="F1996">
        <v>6</v>
      </c>
      <c r="G1996">
        <v>1</v>
      </c>
      <c r="H1996">
        <v>2</v>
      </c>
      <c r="I1996">
        <v>5.5</v>
      </c>
      <c r="J1996">
        <v>2019</v>
      </c>
      <c r="K1996">
        <v>6</v>
      </c>
      <c r="L1996" t="s">
        <v>17</v>
      </c>
      <c r="M1996">
        <f>SUM(Pharma_Sales_Data[[#This Row],[M01AB]:[R06]])</f>
        <v>42.203000000000003</v>
      </c>
      <c r="N1996" s="2">
        <f>Pharma_Sales_Data[[#This Row],[Total Drug Sales]]*150</f>
        <v>6330.4500000000007</v>
      </c>
      <c r="O1996" s="2">
        <f>Pharma_Sales_Data[[#This Row],[Total Revenue]]*0.3</f>
        <v>1899.1350000000002</v>
      </c>
      <c r="P1996" t="str">
        <f>IF(Pharma_Sales_Data[[#This Row],[Total Revenue]]&gt;20000,"High Value", IF(Pharma_Sales_Data[[#This Row],[Total Revenue]]&gt;=10000,"Medium Value","Low Value"))</f>
        <v>Low Value</v>
      </c>
    </row>
    <row r="1997" spans="1:16" x14ac:dyDescent="0.35">
      <c r="A1997" s="1">
        <v>43636</v>
      </c>
      <c r="B1997">
        <v>5</v>
      </c>
      <c r="C1997">
        <v>4.3630000000000004</v>
      </c>
      <c r="D1997">
        <v>3</v>
      </c>
      <c r="E1997">
        <v>15</v>
      </c>
      <c r="F1997">
        <v>9</v>
      </c>
      <c r="G1997">
        <v>4</v>
      </c>
      <c r="H1997">
        <v>0</v>
      </c>
      <c r="I1997">
        <v>4</v>
      </c>
      <c r="J1997">
        <v>2019</v>
      </c>
      <c r="K1997">
        <v>6</v>
      </c>
      <c r="L1997" t="s">
        <v>11</v>
      </c>
      <c r="M1997">
        <f>SUM(Pharma_Sales_Data[[#This Row],[M01AB]:[R06]])</f>
        <v>44.363</v>
      </c>
      <c r="N1997" s="2">
        <f>Pharma_Sales_Data[[#This Row],[Total Drug Sales]]*150</f>
        <v>6654.45</v>
      </c>
      <c r="O1997" s="2">
        <f>Pharma_Sales_Data[[#This Row],[Total Revenue]]*0.3</f>
        <v>1996.3349999999998</v>
      </c>
      <c r="P1997" t="str">
        <f>IF(Pharma_Sales_Data[[#This Row],[Total Revenue]]&gt;20000,"High Value", IF(Pharma_Sales_Data[[#This Row],[Total Revenue]]&gt;=10000,"Medium Value","Low Value"))</f>
        <v>Low Value</v>
      </c>
    </row>
    <row r="1998" spans="1:16" x14ac:dyDescent="0.35">
      <c r="A1998" s="1">
        <v>43637</v>
      </c>
      <c r="B1998">
        <v>3</v>
      </c>
      <c r="C1998">
        <v>2.33</v>
      </c>
      <c r="D1998">
        <v>3</v>
      </c>
      <c r="E1998">
        <v>24.8</v>
      </c>
      <c r="F1998">
        <v>8</v>
      </c>
      <c r="G1998">
        <v>3</v>
      </c>
      <c r="H1998">
        <v>4</v>
      </c>
      <c r="I1998">
        <v>6</v>
      </c>
      <c r="J1998">
        <v>2019</v>
      </c>
      <c r="K1998">
        <v>6</v>
      </c>
      <c r="L1998" t="s">
        <v>12</v>
      </c>
      <c r="M1998">
        <f>SUM(Pharma_Sales_Data[[#This Row],[M01AB]:[R06]])</f>
        <v>54.13</v>
      </c>
      <c r="N1998" s="2">
        <f>Pharma_Sales_Data[[#This Row],[Total Drug Sales]]*150</f>
        <v>8119.5</v>
      </c>
      <c r="O1998" s="2">
        <f>Pharma_Sales_Data[[#This Row],[Total Revenue]]*0.3</f>
        <v>2435.85</v>
      </c>
      <c r="P1998" t="str">
        <f>IF(Pharma_Sales_Data[[#This Row],[Total Revenue]]&gt;20000,"High Value", IF(Pharma_Sales_Data[[#This Row],[Total Revenue]]&gt;=10000,"Medium Value","Low Value"))</f>
        <v>Low Value</v>
      </c>
    </row>
    <row r="1999" spans="1:16" x14ac:dyDescent="0.35">
      <c r="A1999" s="1">
        <v>43638</v>
      </c>
      <c r="B1999">
        <v>3</v>
      </c>
      <c r="C1999">
        <v>4</v>
      </c>
      <c r="D1999">
        <v>0</v>
      </c>
      <c r="E1999">
        <v>25</v>
      </c>
      <c r="F1999">
        <v>11</v>
      </c>
      <c r="G1999">
        <v>2</v>
      </c>
      <c r="H1999">
        <v>12</v>
      </c>
      <c r="I1999">
        <v>5</v>
      </c>
      <c r="J1999">
        <v>2019</v>
      </c>
      <c r="K1999">
        <v>6</v>
      </c>
      <c r="L1999" t="s">
        <v>13</v>
      </c>
      <c r="M1999">
        <f>SUM(Pharma_Sales_Data[[#This Row],[M01AB]:[R06]])</f>
        <v>62</v>
      </c>
      <c r="N1999" s="2">
        <f>Pharma_Sales_Data[[#This Row],[Total Drug Sales]]*150</f>
        <v>9300</v>
      </c>
      <c r="O1999" s="2">
        <f>Pharma_Sales_Data[[#This Row],[Total Revenue]]*0.3</f>
        <v>2790</v>
      </c>
      <c r="P1999" t="str">
        <f>IF(Pharma_Sales_Data[[#This Row],[Total Revenue]]&gt;20000,"High Value", IF(Pharma_Sales_Data[[#This Row],[Total Revenue]]&gt;=10000,"Medium Value","Low Value"))</f>
        <v>Low Value</v>
      </c>
    </row>
    <row r="2000" spans="1:16" x14ac:dyDescent="0.35">
      <c r="A2000" s="1">
        <v>43639</v>
      </c>
      <c r="B2000">
        <v>9.33</v>
      </c>
      <c r="C2000">
        <v>4.7919999999999998</v>
      </c>
      <c r="D2000">
        <v>5.5</v>
      </c>
      <c r="E2000">
        <v>18.2</v>
      </c>
      <c r="F2000">
        <v>1</v>
      </c>
      <c r="G2000">
        <v>0</v>
      </c>
      <c r="H2000">
        <v>10</v>
      </c>
      <c r="I2000">
        <v>1</v>
      </c>
      <c r="J2000">
        <v>2019</v>
      </c>
      <c r="K2000">
        <v>6</v>
      </c>
      <c r="L2000" t="s">
        <v>14</v>
      </c>
      <c r="M2000">
        <f>SUM(Pharma_Sales_Data[[#This Row],[M01AB]:[R06]])</f>
        <v>49.822000000000003</v>
      </c>
      <c r="N2000" s="2">
        <f>Pharma_Sales_Data[[#This Row],[Total Drug Sales]]*150</f>
        <v>7473.3</v>
      </c>
      <c r="O2000" s="2">
        <f>Pharma_Sales_Data[[#This Row],[Total Revenue]]*0.3</f>
        <v>2241.9899999999998</v>
      </c>
      <c r="P2000" t="str">
        <f>IF(Pharma_Sales_Data[[#This Row],[Total Revenue]]&gt;20000,"High Value", IF(Pharma_Sales_Data[[#This Row],[Total Revenue]]&gt;=10000,"Medium Value","Low Value"))</f>
        <v>Low Value</v>
      </c>
    </row>
    <row r="2001" spans="1:16" x14ac:dyDescent="0.35">
      <c r="A2001" s="1">
        <v>43640</v>
      </c>
      <c r="B2001">
        <v>10</v>
      </c>
      <c r="C2001">
        <v>4.68</v>
      </c>
      <c r="D2001">
        <v>3.1</v>
      </c>
      <c r="E2001">
        <v>19</v>
      </c>
      <c r="F2001">
        <v>9</v>
      </c>
      <c r="G2001">
        <v>3</v>
      </c>
      <c r="H2001">
        <v>3</v>
      </c>
      <c r="I2001">
        <v>7</v>
      </c>
      <c r="J2001">
        <v>2019</v>
      </c>
      <c r="K2001">
        <v>6</v>
      </c>
      <c r="L2001" t="s">
        <v>15</v>
      </c>
      <c r="M2001">
        <f>SUM(Pharma_Sales_Data[[#This Row],[M01AB]:[R06]])</f>
        <v>58.78</v>
      </c>
      <c r="N2001" s="2">
        <f>Pharma_Sales_Data[[#This Row],[Total Drug Sales]]*150</f>
        <v>8817</v>
      </c>
      <c r="O2001" s="2">
        <f>Pharma_Sales_Data[[#This Row],[Total Revenue]]*0.3</f>
        <v>2645.1</v>
      </c>
      <c r="P2001" t="str">
        <f>IF(Pharma_Sales_Data[[#This Row],[Total Revenue]]&gt;20000,"High Value", IF(Pharma_Sales_Data[[#This Row],[Total Revenue]]&gt;=10000,"Medium Value","Low Value"))</f>
        <v>Low Value</v>
      </c>
    </row>
    <row r="2002" spans="1:16" x14ac:dyDescent="0.35">
      <c r="A2002" s="1">
        <v>43641</v>
      </c>
      <c r="B2002">
        <v>2.34</v>
      </c>
      <c r="C2002">
        <v>2.6379999999999999</v>
      </c>
      <c r="D2002">
        <v>5</v>
      </c>
      <c r="E2002">
        <v>12</v>
      </c>
      <c r="F2002">
        <v>10</v>
      </c>
      <c r="G2002">
        <v>1</v>
      </c>
      <c r="H2002">
        <v>0</v>
      </c>
      <c r="I2002">
        <v>3</v>
      </c>
      <c r="J2002">
        <v>2019</v>
      </c>
      <c r="K2002">
        <v>6</v>
      </c>
      <c r="L2002" t="s">
        <v>16</v>
      </c>
      <c r="M2002">
        <f>SUM(Pharma_Sales_Data[[#This Row],[M01AB]:[R06]])</f>
        <v>35.978000000000002</v>
      </c>
      <c r="N2002" s="2">
        <f>Pharma_Sales_Data[[#This Row],[Total Drug Sales]]*150</f>
        <v>5396.7</v>
      </c>
      <c r="O2002" s="2">
        <f>Pharma_Sales_Data[[#This Row],[Total Revenue]]*0.3</f>
        <v>1619.01</v>
      </c>
      <c r="P2002" t="str">
        <f>IF(Pharma_Sales_Data[[#This Row],[Total Revenue]]&gt;20000,"High Value", IF(Pharma_Sales_Data[[#This Row],[Total Revenue]]&gt;=10000,"Medium Value","Low Value"))</f>
        <v>Low Value</v>
      </c>
    </row>
    <row r="2003" spans="1:16" x14ac:dyDescent="0.35">
      <c r="A2003" s="1">
        <v>43642</v>
      </c>
      <c r="B2003">
        <v>2</v>
      </c>
      <c r="C2003">
        <v>3.44</v>
      </c>
      <c r="D2003">
        <v>1</v>
      </c>
      <c r="E2003">
        <v>11.6</v>
      </c>
      <c r="F2003">
        <v>5</v>
      </c>
      <c r="G2003">
        <v>1</v>
      </c>
      <c r="H2003">
        <v>0</v>
      </c>
      <c r="I2003">
        <v>5</v>
      </c>
      <c r="J2003">
        <v>2019</v>
      </c>
      <c r="K2003">
        <v>6</v>
      </c>
      <c r="L2003" t="s">
        <v>17</v>
      </c>
      <c r="M2003">
        <f>SUM(Pharma_Sales_Data[[#This Row],[M01AB]:[R06]])</f>
        <v>29.04</v>
      </c>
      <c r="N2003" s="2">
        <f>Pharma_Sales_Data[[#This Row],[Total Drug Sales]]*150</f>
        <v>4356</v>
      </c>
      <c r="O2003" s="2">
        <f>Pharma_Sales_Data[[#This Row],[Total Revenue]]*0.3</f>
        <v>1306.8</v>
      </c>
      <c r="P2003" t="str">
        <f>IF(Pharma_Sales_Data[[#This Row],[Total Revenue]]&gt;20000,"High Value", IF(Pharma_Sales_Data[[#This Row],[Total Revenue]]&gt;=10000,"Medium Value","Low Value"))</f>
        <v>Low Value</v>
      </c>
    </row>
    <row r="2004" spans="1:16" x14ac:dyDescent="0.35">
      <c r="A2004" s="1">
        <v>43643</v>
      </c>
      <c r="B2004">
        <v>8.16</v>
      </c>
      <c r="C2004">
        <v>6.33</v>
      </c>
      <c r="D2004">
        <v>4</v>
      </c>
      <c r="E2004">
        <v>15</v>
      </c>
      <c r="F2004">
        <v>5</v>
      </c>
      <c r="G2004">
        <v>1</v>
      </c>
      <c r="H2004">
        <v>7</v>
      </c>
      <c r="I2004">
        <v>2</v>
      </c>
      <c r="J2004">
        <v>2019</v>
      </c>
      <c r="K2004">
        <v>6</v>
      </c>
      <c r="L2004" t="s">
        <v>11</v>
      </c>
      <c r="M2004">
        <f>SUM(Pharma_Sales_Data[[#This Row],[M01AB]:[R06]])</f>
        <v>48.49</v>
      </c>
      <c r="N2004" s="2">
        <f>Pharma_Sales_Data[[#This Row],[Total Drug Sales]]*150</f>
        <v>7273.5</v>
      </c>
      <c r="O2004" s="2">
        <f>Pharma_Sales_Data[[#This Row],[Total Revenue]]*0.3</f>
        <v>2182.0499999999997</v>
      </c>
      <c r="P2004" t="str">
        <f>IF(Pharma_Sales_Data[[#This Row],[Total Revenue]]&gt;20000,"High Value", IF(Pharma_Sales_Data[[#This Row],[Total Revenue]]&gt;=10000,"Medium Value","Low Value"))</f>
        <v>Low Value</v>
      </c>
    </row>
    <row r="2005" spans="1:16" x14ac:dyDescent="0.35">
      <c r="A2005" s="1">
        <v>43644</v>
      </c>
      <c r="B2005">
        <v>4.33</v>
      </c>
      <c r="C2005">
        <v>1.496</v>
      </c>
      <c r="D2005">
        <v>2</v>
      </c>
      <c r="E2005">
        <v>15</v>
      </c>
      <c r="F2005">
        <v>5</v>
      </c>
      <c r="G2005">
        <v>0</v>
      </c>
      <c r="H2005">
        <v>2</v>
      </c>
      <c r="I2005">
        <v>3</v>
      </c>
      <c r="J2005">
        <v>2019</v>
      </c>
      <c r="K2005">
        <v>6</v>
      </c>
      <c r="L2005" t="s">
        <v>12</v>
      </c>
      <c r="M2005">
        <f>SUM(Pharma_Sales_Data[[#This Row],[M01AB]:[R06]])</f>
        <v>32.826000000000001</v>
      </c>
      <c r="N2005" s="2">
        <f>Pharma_Sales_Data[[#This Row],[Total Drug Sales]]*150</f>
        <v>4923.8999999999996</v>
      </c>
      <c r="O2005" s="2">
        <f>Pharma_Sales_Data[[#This Row],[Total Revenue]]*0.3</f>
        <v>1477.1699999999998</v>
      </c>
      <c r="P2005" t="str">
        <f>IF(Pharma_Sales_Data[[#This Row],[Total Revenue]]&gt;20000,"High Value", IF(Pharma_Sales_Data[[#This Row],[Total Revenue]]&gt;=10000,"Medium Value","Low Value"))</f>
        <v>Low Value</v>
      </c>
    </row>
    <row r="2006" spans="1:16" x14ac:dyDescent="0.35">
      <c r="A2006" s="1">
        <v>43645</v>
      </c>
      <c r="B2006">
        <v>1.18</v>
      </c>
      <c r="C2006">
        <v>5.7</v>
      </c>
      <c r="D2006">
        <v>5</v>
      </c>
      <c r="E2006">
        <v>18.3</v>
      </c>
      <c r="F2006">
        <v>2</v>
      </c>
      <c r="G2006">
        <v>0</v>
      </c>
      <c r="H2006">
        <v>5</v>
      </c>
      <c r="I2006">
        <v>2</v>
      </c>
      <c r="J2006">
        <v>2019</v>
      </c>
      <c r="K2006">
        <v>6</v>
      </c>
      <c r="L2006" t="s">
        <v>13</v>
      </c>
      <c r="M2006">
        <f>SUM(Pharma_Sales_Data[[#This Row],[M01AB]:[R06]])</f>
        <v>39.18</v>
      </c>
      <c r="N2006" s="2">
        <f>Pharma_Sales_Data[[#This Row],[Total Drug Sales]]*150</f>
        <v>5877</v>
      </c>
      <c r="O2006" s="2">
        <f>Pharma_Sales_Data[[#This Row],[Total Revenue]]*0.3</f>
        <v>1763.1</v>
      </c>
      <c r="P2006" t="str">
        <f>IF(Pharma_Sales_Data[[#This Row],[Total Revenue]]&gt;20000,"High Value", IF(Pharma_Sales_Data[[#This Row],[Total Revenue]]&gt;=10000,"Medium Value","Low Value"))</f>
        <v>Low Value</v>
      </c>
    </row>
    <row r="2007" spans="1:16" x14ac:dyDescent="0.35">
      <c r="A2007" s="1">
        <v>43646</v>
      </c>
      <c r="B2007">
        <v>6</v>
      </c>
      <c r="C2007">
        <v>6.1589999999999998</v>
      </c>
      <c r="D2007">
        <v>0</v>
      </c>
      <c r="E2007">
        <v>40</v>
      </c>
      <c r="F2007">
        <v>5</v>
      </c>
      <c r="G2007">
        <v>0</v>
      </c>
      <c r="H2007">
        <v>11</v>
      </c>
      <c r="I2007">
        <v>5</v>
      </c>
      <c r="J2007">
        <v>2019</v>
      </c>
      <c r="K2007">
        <v>6</v>
      </c>
      <c r="L2007" t="s">
        <v>14</v>
      </c>
      <c r="M2007">
        <f>SUM(Pharma_Sales_Data[[#This Row],[M01AB]:[R06]])</f>
        <v>73.158999999999992</v>
      </c>
      <c r="N2007" s="2">
        <f>Pharma_Sales_Data[[#This Row],[Total Drug Sales]]*150</f>
        <v>10973.849999999999</v>
      </c>
      <c r="O2007" s="2">
        <f>Pharma_Sales_Data[[#This Row],[Total Revenue]]*0.3</f>
        <v>3292.1549999999993</v>
      </c>
      <c r="P2007" t="str">
        <f>IF(Pharma_Sales_Data[[#This Row],[Total Revenue]]&gt;20000,"High Value", IF(Pharma_Sales_Data[[#This Row],[Total Revenue]]&gt;=10000,"Medium Value","Low Value"))</f>
        <v>Medium Value</v>
      </c>
    </row>
    <row r="2008" spans="1:16" x14ac:dyDescent="0.35">
      <c r="A2008" s="1">
        <v>43647</v>
      </c>
      <c r="B2008">
        <v>5.33</v>
      </c>
      <c r="C2008">
        <v>2</v>
      </c>
      <c r="D2008">
        <v>1</v>
      </c>
      <c r="E2008">
        <v>14</v>
      </c>
      <c r="F2008">
        <v>7</v>
      </c>
      <c r="G2008">
        <v>0</v>
      </c>
      <c r="H2008">
        <v>8</v>
      </c>
      <c r="I2008">
        <v>4</v>
      </c>
      <c r="J2008">
        <v>2019</v>
      </c>
      <c r="K2008">
        <v>7</v>
      </c>
      <c r="L2008" t="s">
        <v>15</v>
      </c>
      <c r="M2008">
        <f>SUM(Pharma_Sales_Data[[#This Row],[M01AB]:[R06]])</f>
        <v>41.33</v>
      </c>
      <c r="N2008" s="2">
        <f>Pharma_Sales_Data[[#This Row],[Total Drug Sales]]*150</f>
        <v>6199.5</v>
      </c>
      <c r="O2008" s="2">
        <f>Pharma_Sales_Data[[#This Row],[Total Revenue]]*0.3</f>
        <v>1859.85</v>
      </c>
      <c r="P2008" t="str">
        <f>IF(Pharma_Sales_Data[[#This Row],[Total Revenue]]&gt;20000,"High Value", IF(Pharma_Sales_Data[[#This Row],[Total Revenue]]&gt;=10000,"Medium Value","Low Value"))</f>
        <v>Low Value</v>
      </c>
    </row>
    <row r="2009" spans="1:16" x14ac:dyDescent="0.35">
      <c r="A2009" s="1">
        <v>43648</v>
      </c>
      <c r="B2009">
        <v>5.66</v>
      </c>
      <c r="C2009">
        <v>3.012</v>
      </c>
      <c r="D2009">
        <v>4</v>
      </c>
      <c r="E2009">
        <v>14</v>
      </c>
      <c r="F2009">
        <v>9</v>
      </c>
      <c r="G2009">
        <v>0</v>
      </c>
      <c r="H2009">
        <v>1</v>
      </c>
      <c r="I2009">
        <v>4.3</v>
      </c>
      <c r="J2009">
        <v>2019</v>
      </c>
      <c r="K2009">
        <v>7</v>
      </c>
      <c r="L2009" t="s">
        <v>16</v>
      </c>
      <c r="M2009">
        <f>SUM(Pharma_Sales_Data[[#This Row],[M01AB]:[R06]])</f>
        <v>40.971999999999994</v>
      </c>
      <c r="N2009" s="2">
        <f>Pharma_Sales_Data[[#This Row],[Total Drug Sales]]*150</f>
        <v>6145.7999999999993</v>
      </c>
      <c r="O2009" s="2">
        <f>Pharma_Sales_Data[[#This Row],[Total Revenue]]*0.3</f>
        <v>1843.7399999999998</v>
      </c>
      <c r="P2009" t="str">
        <f>IF(Pharma_Sales_Data[[#This Row],[Total Revenue]]&gt;20000,"High Value", IF(Pharma_Sales_Data[[#This Row],[Total Revenue]]&gt;=10000,"Medium Value","Low Value"))</f>
        <v>Low Value</v>
      </c>
    </row>
    <row r="2010" spans="1:16" x14ac:dyDescent="0.35">
      <c r="A2010" s="1">
        <v>43649</v>
      </c>
      <c r="B2010">
        <v>4</v>
      </c>
      <c r="C2010">
        <v>2.8490000000000002</v>
      </c>
      <c r="D2010">
        <v>4</v>
      </c>
      <c r="E2010">
        <v>30.05</v>
      </c>
      <c r="F2010">
        <v>9</v>
      </c>
      <c r="G2010">
        <v>0</v>
      </c>
      <c r="H2010">
        <v>1</v>
      </c>
      <c r="I2010">
        <v>4</v>
      </c>
      <c r="J2010">
        <v>2019</v>
      </c>
      <c r="K2010">
        <v>7</v>
      </c>
      <c r="L2010" t="s">
        <v>17</v>
      </c>
      <c r="M2010">
        <f>SUM(Pharma_Sales_Data[[#This Row],[M01AB]:[R06]])</f>
        <v>54.899000000000001</v>
      </c>
      <c r="N2010" s="2">
        <f>Pharma_Sales_Data[[#This Row],[Total Drug Sales]]*150</f>
        <v>8234.85</v>
      </c>
      <c r="O2010" s="2">
        <f>Pharma_Sales_Data[[#This Row],[Total Revenue]]*0.3</f>
        <v>2470.4549999999999</v>
      </c>
      <c r="P2010" t="str">
        <f>IF(Pharma_Sales_Data[[#This Row],[Total Revenue]]&gt;20000,"High Value", IF(Pharma_Sales_Data[[#This Row],[Total Revenue]]&gt;=10000,"Medium Value","Low Value"))</f>
        <v>Low Value</v>
      </c>
    </row>
    <row r="2011" spans="1:16" x14ac:dyDescent="0.35">
      <c r="A2011" s="1">
        <v>43650</v>
      </c>
      <c r="B2011">
        <v>5.33</v>
      </c>
      <c r="C2011">
        <v>1.67</v>
      </c>
      <c r="D2011">
        <v>0</v>
      </c>
      <c r="E2011">
        <v>13</v>
      </c>
      <c r="F2011">
        <v>7</v>
      </c>
      <c r="G2011">
        <v>1</v>
      </c>
      <c r="H2011">
        <v>3</v>
      </c>
      <c r="I2011">
        <v>6.5</v>
      </c>
      <c r="J2011">
        <v>2019</v>
      </c>
      <c r="K2011">
        <v>7</v>
      </c>
      <c r="L2011" t="s">
        <v>11</v>
      </c>
      <c r="M2011">
        <f>SUM(Pharma_Sales_Data[[#This Row],[M01AB]:[R06]])</f>
        <v>37.5</v>
      </c>
      <c r="N2011" s="2">
        <f>Pharma_Sales_Data[[#This Row],[Total Drug Sales]]*150</f>
        <v>5625</v>
      </c>
      <c r="O2011" s="2">
        <f>Pharma_Sales_Data[[#This Row],[Total Revenue]]*0.3</f>
        <v>1687.5</v>
      </c>
      <c r="P2011" t="str">
        <f>IF(Pharma_Sales_Data[[#This Row],[Total Revenue]]&gt;20000,"High Value", IF(Pharma_Sales_Data[[#This Row],[Total Revenue]]&gt;=10000,"Medium Value","Low Value"))</f>
        <v>Low Value</v>
      </c>
    </row>
    <row r="2012" spans="1:16" x14ac:dyDescent="0.35">
      <c r="A2012" s="1">
        <v>43651</v>
      </c>
      <c r="B2012">
        <v>4.33</v>
      </c>
      <c r="C2012">
        <v>3.08</v>
      </c>
      <c r="D2012">
        <v>4</v>
      </c>
      <c r="E2012">
        <v>20</v>
      </c>
      <c r="F2012">
        <v>11</v>
      </c>
      <c r="G2012">
        <v>0</v>
      </c>
      <c r="H2012">
        <v>0</v>
      </c>
      <c r="I2012">
        <v>2</v>
      </c>
      <c r="J2012">
        <v>2019</v>
      </c>
      <c r="K2012">
        <v>7</v>
      </c>
      <c r="L2012" t="s">
        <v>12</v>
      </c>
      <c r="M2012">
        <f>SUM(Pharma_Sales_Data[[#This Row],[M01AB]:[R06]])</f>
        <v>44.41</v>
      </c>
      <c r="N2012" s="2">
        <f>Pharma_Sales_Data[[#This Row],[Total Drug Sales]]*150</f>
        <v>6661.4999999999991</v>
      </c>
      <c r="O2012" s="2">
        <f>Pharma_Sales_Data[[#This Row],[Total Revenue]]*0.3</f>
        <v>1998.4499999999996</v>
      </c>
      <c r="P2012" t="str">
        <f>IF(Pharma_Sales_Data[[#This Row],[Total Revenue]]&gt;20000,"High Value", IF(Pharma_Sales_Data[[#This Row],[Total Revenue]]&gt;=10000,"Medium Value","Low Value"))</f>
        <v>Low Value</v>
      </c>
    </row>
    <row r="2013" spans="1:16" x14ac:dyDescent="0.35">
      <c r="A2013" s="1">
        <v>43652</v>
      </c>
      <c r="B2013">
        <v>4.34</v>
      </c>
      <c r="C2013">
        <v>1.7030000000000001</v>
      </c>
      <c r="D2013">
        <v>3</v>
      </c>
      <c r="E2013">
        <v>16</v>
      </c>
      <c r="F2013">
        <v>2</v>
      </c>
      <c r="G2013">
        <v>0</v>
      </c>
      <c r="H2013">
        <v>1</v>
      </c>
      <c r="I2013">
        <v>3</v>
      </c>
      <c r="J2013">
        <v>2019</v>
      </c>
      <c r="K2013">
        <v>7</v>
      </c>
      <c r="L2013" t="s">
        <v>13</v>
      </c>
      <c r="M2013">
        <f>SUM(Pharma_Sales_Data[[#This Row],[M01AB]:[R06]])</f>
        <v>31.042999999999999</v>
      </c>
      <c r="N2013" s="2">
        <f>Pharma_Sales_Data[[#This Row],[Total Drug Sales]]*150</f>
        <v>4656.45</v>
      </c>
      <c r="O2013" s="2">
        <f>Pharma_Sales_Data[[#This Row],[Total Revenue]]*0.3</f>
        <v>1396.9349999999999</v>
      </c>
      <c r="P2013" t="str">
        <f>IF(Pharma_Sales_Data[[#This Row],[Total Revenue]]&gt;20000,"High Value", IF(Pharma_Sales_Data[[#This Row],[Total Revenue]]&gt;=10000,"Medium Value","Low Value"))</f>
        <v>Low Value</v>
      </c>
    </row>
    <row r="2014" spans="1:16" x14ac:dyDescent="0.35">
      <c r="A2014" s="1">
        <v>43653</v>
      </c>
      <c r="B2014">
        <v>5.66</v>
      </c>
      <c r="C2014">
        <v>6.4630000000000001</v>
      </c>
      <c r="D2014">
        <v>3</v>
      </c>
      <c r="E2014">
        <v>25</v>
      </c>
      <c r="F2014">
        <v>2</v>
      </c>
      <c r="G2014">
        <v>0</v>
      </c>
      <c r="H2014">
        <v>3</v>
      </c>
      <c r="I2014">
        <v>5</v>
      </c>
      <c r="J2014">
        <v>2019</v>
      </c>
      <c r="K2014">
        <v>7</v>
      </c>
      <c r="L2014" t="s">
        <v>14</v>
      </c>
      <c r="M2014">
        <f>SUM(Pharma_Sales_Data[[#This Row],[M01AB]:[R06]])</f>
        <v>50.123000000000005</v>
      </c>
      <c r="N2014" s="2">
        <f>Pharma_Sales_Data[[#This Row],[Total Drug Sales]]*150</f>
        <v>7518.4500000000007</v>
      </c>
      <c r="O2014" s="2">
        <f>Pharma_Sales_Data[[#This Row],[Total Revenue]]*0.3</f>
        <v>2255.5350000000003</v>
      </c>
      <c r="P2014" t="str">
        <f>IF(Pharma_Sales_Data[[#This Row],[Total Revenue]]&gt;20000,"High Value", IF(Pharma_Sales_Data[[#This Row],[Total Revenue]]&gt;=10000,"Medium Value","Low Value"))</f>
        <v>Low Value</v>
      </c>
    </row>
    <row r="2015" spans="1:16" x14ac:dyDescent="0.35">
      <c r="A2015" s="1">
        <v>43654</v>
      </c>
      <c r="B2015">
        <v>6</v>
      </c>
      <c r="C2015">
        <v>4.3730000000000002</v>
      </c>
      <c r="D2015">
        <v>2</v>
      </c>
      <c r="E2015">
        <v>21.4</v>
      </c>
      <c r="F2015">
        <v>9.1999999999999993</v>
      </c>
      <c r="G2015">
        <v>1</v>
      </c>
      <c r="H2015">
        <v>4</v>
      </c>
      <c r="I2015">
        <v>4</v>
      </c>
      <c r="J2015">
        <v>2019</v>
      </c>
      <c r="K2015">
        <v>7</v>
      </c>
      <c r="L2015" t="s">
        <v>15</v>
      </c>
      <c r="M2015">
        <f>SUM(Pharma_Sales_Data[[#This Row],[M01AB]:[R06]])</f>
        <v>51.972999999999999</v>
      </c>
      <c r="N2015" s="2">
        <f>Pharma_Sales_Data[[#This Row],[Total Drug Sales]]*150</f>
        <v>7795.95</v>
      </c>
      <c r="O2015" s="2">
        <f>Pharma_Sales_Data[[#This Row],[Total Revenue]]*0.3</f>
        <v>2338.7849999999999</v>
      </c>
      <c r="P2015" t="str">
        <f>IF(Pharma_Sales_Data[[#This Row],[Total Revenue]]&gt;20000,"High Value", IF(Pharma_Sales_Data[[#This Row],[Total Revenue]]&gt;=10000,"Medium Value","Low Value"))</f>
        <v>Low Value</v>
      </c>
    </row>
    <row r="2016" spans="1:16" x14ac:dyDescent="0.35">
      <c r="A2016" s="1">
        <v>43655</v>
      </c>
      <c r="B2016">
        <v>2.67</v>
      </c>
      <c r="C2016">
        <v>2.7029999999999998</v>
      </c>
      <c r="D2016">
        <v>8</v>
      </c>
      <c r="E2016">
        <v>15</v>
      </c>
      <c r="F2016">
        <v>12</v>
      </c>
      <c r="G2016">
        <v>4</v>
      </c>
      <c r="H2016">
        <v>3</v>
      </c>
      <c r="I2016">
        <v>2</v>
      </c>
      <c r="J2016">
        <v>2019</v>
      </c>
      <c r="K2016">
        <v>7</v>
      </c>
      <c r="L2016" t="s">
        <v>16</v>
      </c>
      <c r="M2016">
        <f>SUM(Pharma_Sales_Data[[#This Row],[M01AB]:[R06]])</f>
        <v>49.372999999999998</v>
      </c>
      <c r="N2016" s="2">
        <f>Pharma_Sales_Data[[#This Row],[Total Drug Sales]]*150</f>
        <v>7405.95</v>
      </c>
      <c r="O2016" s="2">
        <f>Pharma_Sales_Data[[#This Row],[Total Revenue]]*0.3</f>
        <v>2221.7849999999999</v>
      </c>
      <c r="P2016" t="str">
        <f>IF(Pharma_Sales_Data[[#This Row],[Total Revenue]]&gt;20000,"High Value", IF(Pharma_Sales_Data[[#This Row],[Total Revenue]]&gt;=10000,"Medium Value","Low Value"))</f>
        <v>Low Value</v>
      </c>
    </row>
    <row r="2017" spans="1:16" x14ac:dyDescent="0.35">
      <c r="A2017" s="1">
        <v>43656</v>
      </c>
      <c r="B2017">
        <v>10</v>
      </c>
      <c r="C2017">
        <v>5.67</v>
      </c>
      <c r="D2017">
        <v>5</v>
      </c>
      <c r="E2017">
        <v>19.600000000000001</v>
      </c>
      <c r="F2017">
        <v>10.199999999999999</v>
      </c>
      <c r="G2017">
        <v>0</v>
      </c>
      <c r="H2017">
        <v>1</v>
      </c>
      <c r="I2017">
        <v>4</v>
      </c>
      <c r="J2017">
        <v>2019</v>
      </c>
      <c r="K2017">
        <v>7</v>
      </c>
      <c r="L2017" t="s">
        <v>17</v>
      </c>
      <c r="M2017">
        <f>SUM(Pharma_Sales_Data[[#This Row],[M01AB]:[R06]])</f>
        <v>55.47</v>
      </c>
      <c r="N2017" s="2">
        <f>Pharma_Sales_Data[[#This Row],[Total Drug Sales]]*150</f>
        <v>8320.5</v>
      </c>
      <c r="O2017" s="2">
        <f>Pharma_Sales_Data[[#This Row],[Total Revenue]]*0.3</f>
        <v>2496.15</v>
      </c>
      <c r="P2017" t="str">
        <f>IF(Pharma_Sales_Data[[#This Row],[Total Revenue]]&gt;20000,"High Value", IF(Pharma_Sales_Data[[#This Row],[Total Revenue]]&gt;=10000,"Medium Value","Low Value"))</f>
        <v>Low Value</v>
      </c>
    </row>
    <row r="2018" spans="1:16" x14ac:dyDescent="0.35">
      <c r="A2018" s="1">
        <v>43657</v>
      </c>
      <c r="B2018">
        <v>3.33</v>
      </c>
      <c r="C2018">
        <v>4.726</v>
      </c>
      <c r="D2018">
        <v>4</v>
      </c>
      <c r="E2018">
        <v>19</v>
      </c>
      <c r="F2018">
        <v>7</v>
      </c>
      <c r="G2018">
        <v>0</v>
      </c>
      <c r="H2018">
        <v>0</v>
      </c>
      <c r="I2018">
        <v>3</v>
      </c>
      <c r="J2018">
        <v>2019</v>
      </c>
      <c r="K2018">
        <v>7</v>
      </c>
      <c r="L2018" t="s">
        <v>11</v>
      </c>
      <c r="M2018">
        <f>SUM(Pharma_Sales_Data[[#This Row],[M01AB]:[R06]])</f>
        <v>41.055999999999997</v>
      </c>
      <c r="N2018" s="2">
        <f>Pharma_Sales_Data[[#This Row],[Total Drug Sales]]*150</f>
        <v>6158.4</v>
      </c>
      <c r="O2018" s="2">
        <f>Pharma_Sales_Data[[#This Row],[Total Revenue]]*0.3</f>
        <v>1847.5199999999998</v>
      </c>
      <c r="P2018" t="str">
        <f>IF(Pharma_Sales_Data[[#This Row],[Total Revenue]]&gt;20000,"High Value", IF(Pharma_Sales_Data[[#This Row],[Total Revenue]]&gt;=10000,"Medium Value","Low Value"))</f>
        <v>Low Value</v>
      </c>
    </row>
    <row r="2019" spans="1:16" x14ac:dyDescent="0.35">
      <c r="A2019" s="1">
        <v>43658</v>
      </c>
      <c r="B2019">
        <v>11</v>
      </c>
      <c r="C2019">
        <v>5.09</v>
      </c>
      <c r="D2019">
        <v>4.05</v>
      </c>
      <c r="E2019">
        <v>34</v>
      </c>
      <c r="F2019">
        <v>7.2</v>
      </c>
      <c r="G2019">
        <v>0</v>
      </c>
      <c r="H2019">
        <v>2</v>
      </c>
      <c r="I2019">
        <v>2</v>
      </c>
      <c r="J2019">
        <v>2019</v>
      </c>
      <c r="K2019">
        <v>7</v>
      </c>
      <c r="L2019" t="s">
        <v>12</v>
      </c>
      <c r="M2019">
        <f>SUM(Pharma_Sales_Data[[#This Row],[M01AB]:[R06]])</f>
        <v>65.34</v>
      </c>
      <c r="N2019" s="2">
        <f>Pharma_Sales_Data[[#This Row],[Total Drug Sales]]*150</f>
        <v>9801</v>
      </c>
      <c r="O2019" s="2">
        <f>Pharma_Sales_Data[[#This Row],[Total Revenue]]*0.3</f>
        <v>2940.2999999999997</v>
      </c>
      <c r="P2019" t="str">
        <f>IF(Pharma_Sales_Data[[#This Row],[Total Revenue]]&gt;20000,"High Value", IF(Pharma_Sales_Data[[#This Row],[Total Revenue]]&gt;=10000,"Medium Value","Low Value"))</f>
        <v>Low Value</v>
      </c>
    </row>
    <row r="2020" spans="1:16" x14ac:dyDescent="0.35">
      <c r="A2020" s="1">
        <v>43659</v>
      </c>
      <c r="B2020">
        <v>5</v>
      </c>
      <c r="C2020">
        <v>3.4169999999999998</v>
      </c>
      <c r="D2020">
        <v>1</v>
      </c>
      <c r="E2020">
        <v>17.600000000000001</v>
      </c>
      <c r="F2020">
        <v>5</v>
      </c>
      <c r="G2020">
        <v>3</v>
      </c>
      <c r="H2020">
        <v>0</v>
      </c>
      <c r="I2020">
        <v>5</v>
      </c>
      <c r="J2020">
        <v>2019</v>
      </c>
      <c r="K2020">
        <v>7</v>
      </c>
      <c r="L2020" t="s">
        <v>13</v>
      </c>
      <c r="M2020">
        <f>SUM(Pharma_Sales_Data[[#This Row],[M01AB]:[R06]])</f>
        <v>40.017000000000003</v>
      </c>
      <c r="N2020" s="2">
        <f>Pharma_Sales_Data[[#This Row],[Total Drug Sales]]*150</f>
        <v>6002.55</v>
      </c>
      <c r="O2020" s="2">
        <f>Pharma_Sales_Data[[#This Row],[Total Revenue]]*0.3</f>
        <v>1800.7650000000001</v>
      </c>
      <c r="P2020" t="str">
        <f>IF(Pharma_Sales_Data[[#This Row],[Total Revenue]]&gt;20000,"High Value", IF(Pharma_Sales_Data[[#This Row],[Total Revenue]]&gt;=10000,"Medium Value","Low Value"))</f>
        <v>Low Value</v>
      </c>
    </row>
    <row r="2021" spans="1:16" x14ac:dyDescent="0.35">
      <c r="A2021" s="1">
        <v>43660</v>
      </c>
      <c r="B2021">
        <v>6</v>
      </c>
      <c r="C2021">
        <v>5.34</v>
      </c>
      <c r="D2021">
        <v>4</v>
      </c>
      <c r="E2021">
        <v>23</v>
      </c>
      <c r="F2021">
        <v>3</v>
      </c>
      <c r="G2021">
        <v>0</v>
      </c>
      <c r="H2021">
        <v>5</v>
      </c>
      <c r="I2021">
        <v>1</v>
      </c>
      <c r="J2021">
        <v>2019</v>
      </c>
      <c r="K2021">
        <v>7</v>
      </c>
      <c r="L2021" t="s">
        <v>14</v>
      </c>
      <c r="M2021">
        <f>SUM(Pharma_Sales_Data[[#This Row],[M01AB]:[R06]])</f>
        <v>47.34</v>
      </c>
      <c r="N2021" s="2">
        <f>Pharma_Sales_Data[[#This Row],[Total Drug Sales]]*150</f>
        <v>7101.0000000000009</v>
      </c>
      <c r="O2021" s="2">
        <f>Pharma_Sales_Data[[#This Row],[Total Revenue]]*0.3</f>
        <v>2130.3000000000002</v>
      </c>
      <c r="P2021" t="str">
        <f>IF(Pharma_Sales_Data[[#This Row],[Total Revenue]]&gt;20000,"High Value", IF(Pharma_Sales_Data[[#This Row],[Total Revenue]]&gt;=10000,"Medium Value","Low Value"))</f>
        <v>Low Value</v>
      </c>
    </row>
    <row r="2022" spans="1:16" x14ac:dyDescent="0.35">
      <c r="A2022" s="1">
        <v>43661</v>
      </c>
      <c r="B2022">
        <v>7.33</v>
      </c>
      <c r="C2022">
        <v>1.67</v>
      </c>
      <c r="D2022">
        <v>4.55</v>
      </c>
      <c r="E2022">
        <v>24</v>
      </c>
      <c r="F2022">
        <v>6</v>
      </c>
      <c r="G2022">
        <v>1</v>
      </c>
      <c r="H2022">
        <v>0</v>
      </c>
      <c r="I2022">
        <v>7</v>
      </c>
      <c r="J2022">
        <v>2019</v>
      </c>
      <c r="K2022">
        <v>7</v>
      </c>
      <c r="L2022" t="s">
        <v>15</v>
      </c>
      <c r="M2022">
        <f>SUM(Pharma_Sales_Data[[#This Row],[M01AB]:[R06]])</f>
        <v>51.55</v>
      </c>
      <c r="N2022" s="2">
        <f>Pharma_Sales_Data[[#This Row],[Total Drug Sales]]*150</f>
        <v>7732.5</v>
      </c>
      <c r="O2022" s="2">
        <f>Pharma_Sales_Data[[#This Row],[Total Revenue]]*0.3</f>
        <v>2319.75</v>
      </c>
      <c r="P2022" t="str">
        <f>IF(Pharma_Sales_Data[[#This Row],[Total Revenue]]&gt;20000,"High Value", IF(Pharma_Sales_Data[[#This Row],[Total Revenue]]&gt;=10000,"Medium Value","Low Value"))</f>
        <v>Low Value</v>
      </c>
    </row>
    <row r="2023" spans="1:16" x14ac:dyDescent="0.35">
      <c r="A2023" s="1">
        <v>43662</v>
      </c>
      <c r="B2023">
        <v>7</v>
      </c>
      <c r="C2023">
        <v>3.34</v>
      </c>
      <c r="D2023">
        <v>3</v>
      </c>
      <c r="E2023">
        <v>14</v>
      </c>
      <c r="F2023">
        <v>7</v>
      </c>
      <c r="G2023">
        <v>0</v>
      </c>
      <c r="H2023">
        <v>2</v>
      </c>
      <c r="I2023">
        <v>4</v>
      </c>
      <c r="J2023">
        <v>2019</v>
      </c>
      <c r="K2023">
        <v>7</v>
      </c>
      <c r="L2023" t="s">
        <v>16</v>
      </c>
      <c r="M2023">
        <f>SUM(Pharma_Sales_Data[[#This Row],[M01AB]:[R06]])</f>
        <v>40.340000000000003</v>
      </c>
      <c r="N2023" s="2">
        <f>Pharma_Sales_Data[[#This Row],[Total Drug Sales]]*150</f>
        <v>6051.0000000000009</v>
      </c>
      <c r="O2023" s="2">
        <f>Pharma_Sales_Data[[#This Row],[Total Revenue]]*0.3</f>
        <v>1815.3000000000002</v>
      </c>
      <c r="P2023" t="str">
        <f>IF(Pharma_Sales_Data[[#This Row],[Total Revenue]]&gt;20000,"High Value", IF(Pharma_Sales_Data[[#This Row],[Total Revenue]]&gt;=10000,"Medium Value","Low Value"))</f>
        <v>Low Value</v>
      </c>
    </row>
    <row r="2024" spans="1:16" x14ac:dyDescent="0.35">
      <c r="A2024" s="1">
        <v>43663</v>
      </c>
      <c r="B2024">
        <v>3.99</v>
      </c>
      <c r="C2024">
        <v>0.157</v>
      </c>
      <c r="D2024">
        <v>2.5</v>
      </c>
      <c r="E2024">
        <v>26</v>
      </c>
      <c r="F2024">
        <v>7</v>
      </c>
      <c r="G2024">
        <v>1</v>
      </c>
      <c r="H2024">
        <v>0</v>
      </c>
      <c r="I2024">
        <v>2</v>
      </c>
      <c r="J2024">
        <v>2019</v>
      </c>
      <c r="K2024">
        <v>7</v>
      </c>
      <c r="L2024" t="s">
        <v>17</v>
      </c>
      <c r="M2024">
        <f>SUM(Pharma_Sales_Data[[#This Row],[M01AB]:[R06]])</f>
        <v>42.646999999999998</v>
      </c>
      <c r="N2024" s="2">
        <f>Pharma_Sales_Data[[#This Row],[Total Drug Sales]]*150</f>
        <v>6397.05</v>
      </c>
      <c r="O2024" s="2">
        <f>Pharma_Sales_Data[[#This Row],[Total Revenue]]*0.3</f>
        <v>1919.115</v>
      </c>
      <c r="P2024" t="str">
        <f>IF(Pharma_Sales_Data[[#This Row],[Total Revenue]]&gt;20000,"High Value", IF(Pharma_Sales_Data[[#This Row],[Total Revenue]]&gt;=10000,"Medium Value","Low Value"))</f>
        <v>Low Value</v>
      </c>
    </row>
    <row r="2025" spans="1:16" x14ac:dyDescent="0.35">
      <c r="A2025" s="1">
        <v>43664</v>
      </c>
      <c r="B2025">
        <v>11</v>
      </c>
      <c r="C2025">
        <v>3.33</v>
      </c>
      <c r="D2025">
        <v>1.3</v>
      </c>
      <c r="E2025">
        <v>24</v>
      </c>
      <c r="F2025">
        <v>11</v>
      </c>
      <c r="G2025">
        <v>0</v>
      </c>
      <c r="H2025">
        <v>3</v>
      </c>
      <c r="I2025">
        <v>3</v>
      </c>
      <c r="J2025">
        <v>2019</v>
      </c>
      <c r="K2025">
        <v>7</v>
      </c>
      <c r="L2025" t="s">
        <v>11</v>
      </c>
      <c r="M2025">
        <f>SUM(Pharma_Sales_Data[[#This Row],[M01AB]:[R06]])</f>
        <v>56.63</v>
      </c>
      <c r="N2025" s="2">
        <f>Pharma_Sales_Data[[#This Row],[Total Drug Sales]]*150</f>
        <v>8494.5</v>
      </c>
      <c r="O2025" s="2">
        <f>Pharma_Sales_Data[[#This Row],[Total Revenue]]*0.3</f>
        <v>2548.35</v>
      </c>
      <c r="P2025" t="str">
        <f>IF(Pharma_Sales_Data[[#This Row],[Total Revenue]]&gt;20000,"High Value", IF(Pharma_Sales_Data[[#This Row],[Total Revenue]]&gt;=10000,"Medium Value","Low Value"))</f>
        <v>Low Value</v>
      </c>
    </row>
    <row r="2026" spans="1:16" x14ac:dyDescent="0.35">
      <c r="A2026" s="1">
        <v>43665</v>
      </c>
      <c r="B2026">
        <v>7.33</v>
      </c>
      <c r="C2026">
        <v>5.34</v>
      </c>
      <c r="D2026">
        <v>4</v>
      </c>
      <c r="E2026">
        <v>28</v>
      </c>
      <c r="F2026">
        <v>15</v>
      </c>
      <c r="G2026">
        <v>0</v>
      </c>
      <c r="H2026">
        <v>3</v>
      </c>
      <c r="I2026">
        <v>7</v>
      </c>
      <c r="J2026">
        <v>2019</v>
      </c>
      <c r="K2026">
        <v>7</v>
      </c>
      <c r="L2026" t="s">
        <v>12</v>
      </c>
      <c r="M2026">
        <f>SUM(Pharma_Sales_Data[[#This Row],[M01AB]:[R06]])</f>
        <v>69.67</v>
      </c>
      <c r="N2026" s="2">
        <f>Pharma_Sales_Data[[#This Row],[Total Drug Sales]]*150</f>
        <v>10450.5</v>
      </c>
      <c r="O2026" s="2">
        <f>Pharma_Sales_Data[[#This Row],[Total Revenue]]*0.3</f>
        <v>3135.15</v>
      </c>
      <c r="P2026" t="str">
        <f>IF(Pharma_Sales_Data[[#This Row],[Total Revenue]]&gt;20000,"High Value", IF(Pharma_Sales_Data[[#This Row],[Total Revenue]]&gt;=10000,"Medium Value","Low Value"))</f>
        <v>Medium Value</v>
      </c>
    </row>
    <row r="2027" spans="1:16" x14ac:dyDescent="0.35">
      <c r="A2027" s="1">
        <v>43666</v>
      </c>
      <c r="B2027">
        <v>4.34</v>
      </c>
      <c r="C2027">
        <v>4.4489999999999998</v>
      </c>
      <c r="D2027">
        <v>1</v>
      </c>
      <c r="E2027">
        <v>17.2</v>
      </c>
      <c r="F2027">
        <v>4</v>
      </c>
      <c r="G2027">
        <v>0</v>
      </c>
      <c r="H2027">
        <v>6</v>
      </c>
      <c r="I2027">
        <v>2</v>
      </c>
      <c r="J2027">
        <v>2019</v>
      </c>
      <c r="K2027">
        <v>7</v>
      </c>
      <c r="L2027" t="s">
        <v>13</v>
      </c>
      <c r="M2027">
        <f>SUM(Pharma_Sales_Data[[#This Row],[M01AB]:[R06]])</f>
        <v>38.988999999999997</v>
      </c>
      <c r="N2027" s="2">
        <f>Pharma_Sales_Data[[#This Row],[Total Drug Sales]]*150</f>
        <v>5848.3499999999995</v>
      </c>
      <c r="O2027" s="2">
        <f>Pharma_Sales_Data[[#This Row],[Total Revenue]]*0.3</f>
        <v>1754.5049999999999</v>
      </c>
      <c r="P2027" t="str">
        <f>IF(Pharma_Sales_Data[[#This Row],[Total Revenue]]&gt;20000,"High Value", IF(Pharma_Sales_Data[[#This Row],[Total Revenue]]&gt;=10000,"Medium Value","Low Value"))</f>
        <v>Low Value</v>
      </c>
    </row>
    <row r="2028" spans="1:16" x14ac:dyDescent="0.35">
      <c r="A2028" s="1">
        <v>43667</v>
      </c>
      <c r="B2028">
        <v>6.34</v>
      </c>
      <c r="C2028">
        <v>0.36299999999999999</v>
      </c>
      <c r="D2028">
        <v>1.1000000000000001</v>
      </c>
      <c r="E2028">
        <v>16</v>
      </c>
      <c r="F2028">
        <v>5</v>
      </c>
      <c r="G2028">
        <v>0</v>
      </c>
      <c r="H2028">
        <v>1</v>
      </c>
      <c r="I2028">
        <v>3</v>
      </c>
      <c r="J2028">
        <v>2019</v>
      </c>
      <c r="K2028">
        <v>7</v>
      </c>
      <c r="L2028" t="s">
        <v>14</v>
      </c>
      <c r="M2028">
        <f>SUM(Pharma_Sales_Data[[#This Row],[M01AB]:[R06]])</f>
        <v>32.802999999999997</v>
      </c>
      <c r="N2028" s="2">
        <f>Pharma_Sales_Data[[#This Row],[Total Drug Sales]]*150</f>
        <v>4920.45</v>
      </c>
      <c r="O2028" s="2">
        <f>Pharma_Sales_Data[[#This Row],[Total Revenue]]*0.3</f>
        <v>1476.135</v>
      </c>
      <c r="P2028" t="str">
        <f>IF(Pharma_Sales_Data[[#This Row],[Total Revenue]]&gt;20000,"High Value", IF(Pharma_Sales_Data[[#This Row],[Total Revenue]]&gt;=10000,"Medium Value","Low Value"))</f>
        <v>Low Value</v>
      </c>
    </row>
    <row r="2029" spans="1:16" x14ac:dyDescent="0.35">
      <c r="A2029" s="1">
        <v>43668</v>
      </c>
      <c r="B2029">
        <v>1</v>
      </c>
      <c r="C2029">
        <v>2.66</v>
      </c>
      <c r="D2029">
        <v>2</v>
      </c>
      <c r="E2029">
        <v>14.25</v>
      </c>
      <c r="F2029">
        <v>10</v>
      </c>
      <c r="G2029">
        <v>0</v>
      </c>
      <c r="H2029">
        <v>0</v>
      </c>
      <c r="I2029">
        <v>6</v>
      </c>
      <c r="J2029">
        <v>2019</v>
      </c>
      <c r="K2029">
        <v>7</v>
      </c>
      <c r="L2029" t="s">
        <v>15</v>
      </c>
      <c r="M2029">
        <f>SUM(Pharma_Sales_Data[[#This Row],[M01AB]:[R06]])</f>
        <v>35.909999999999997</v>
      </c>
      <c r="N2029" s="2">
        <f>Pharma_Sales_Data[[#This Row],[Total Drug Sales]]*150</f>
        <v>5386.4999999999991</v>
      </c>
      <c r="O2029" s="2">
        <f>Pharma_Sales_Data[[#This Row],[Total Revenue]]*0.3</f>
        <v>1615.9499999999996</v>
      </c>
      <c r="P2029" t="str">
        <f>IF(Pharma_Sales_Data[[#This Row],[Total Revenue]]&gt;20000,"High Value", IF(Pharma_Sales_Data[[#This Row],[Total Revenue]]&gt;=10000,"Medium Value","Low Value"))</f>
        <v>Low Value</v>
      </c>
    </row>
    <row r="2030" spans="1:16" x14ac:dyDescent="0.35">
      <c r="A2030" s="1">
        <v>43669</v>
      </c>
      <c r="B2030">
        <v>1.34</v>
      </c>
      <c r="C2030">
        <v>0.67</v>
      </c>
      <c r="D2030">
        <v>5.2</v>
      </c>
      <c r="E2030">
        <v>7.25</v>
      </c>
      <c r="F2030">
        <v>11</v>
      </c>
      <c r="G2030">
        <v>0</v>
      </c>
      <c r="H2030">
        <v>7</v>
      </c>
      <c r="I2030">
        <v>2.4</v>
      </c>
      <c r="J2030">
        <v>2019</v>
      </c>
      <c r="K2030">
        <v>7</v>
      </c>
      <c r="L2030" t="s">
        <v>16</v>
      </c>
      <c r="M2030">
        <f>SUM(Pharma_Sales_Data[[#This Row],[M01AB]:[R06]])</f>
        <v>34.86</v>
      </c>
      <c r="N2030" s="2">
        <f>Pharma_Sales_Data[[#This Row],[Total Drug Sales]]*150</f>
        <v>5229</v>
      </c>
      <c r="O2030" s="2">
        <f>Pharma_Sales_Data[[#This Row],[Total Revenue]]*0.3</f>
        <v>1568.7</v>
      </c>
      <c r="P2030" t="str">
        <f>IF(Pharma_Sales_Data[[#This Row],[Total Revenue]]&gt;20000,"High Value", IF(Pharma_Sales_Data[[#This Row],[Total Revenue]]&gt;=10000,"Medium Value","Low Value"))</f>
        <v>Low Value</v>
      </c>
    </row>
    <row r="2031" spans="1:16" x14ac:dyDescent="0.35">
      <c r="A2031" s="1">
        <v>43670</v>
      </c>
      <c r="B2031">
        <v>8</v>
      </c>
      <c r="C2031">
        <v>3.7690000000000001</v>
      </c>
      <c r="D2031">
        <v>2</v>
      </c>
      <c r="E2031">
        <v>30.875</v>
      </c>
      <c r="F2031">
        <v>19</v>
      </c>
      <c r="G2031">
        <v>0</v>
      </c>
      <c r="H2031">
        <v>2</v>
      </c>
      <c r="I2031">
        <v>1</v>
      </c>
      <c r="J2031">
        <v>2019</v>
      </c>
      <c r="K2031">
        <v>7</v>
      </c>
      <c r="L2031" t="s">
        <v>17</v>
      </c>
      <c r="M2031">
        <f>SUM(Pharma_Sales_Data[[#This Row],[M01AB]:[R06]])</f>
        <v>66.644000000000005</v>
      </c>
      <c r="N2031" s="2">
        <f>Pharma_Sales_Data[[#This Row],[Total Drug Sales]]*150</f>
        <v>9996.6</v>
      </c>
      <c r="O2031" s="2">
        <f>Pharma_Sales_Data[[#This Row],[Total Revenue]]*0.3</f>
        <v>2998.98</v>
      </c>
      <c r="P2031" t="str">
        <f>IF(Pharma_Sales_Data[[#This Row],[Total Revenue]]&gt;20000,"High Value", IF(Pharma_Sales_Data[[#This Row],[Total Revenue]]&gt;=10000,"Medium Value","Low Value"))</f>
        <v>Low Value</v>
      </c>
    </row>
    <row r="2032" spans="1:16" x14ac:dyDescent="0.35">
      <c r="A2032" s="1">
        <v>43671</v>
      </c>
      <c r="B2032">
        <v>6</v>
      </c>
      <c r="C2032">
        <v>7</v>
      </c>
      <c r="D2032">
        <v>5</v>
      </c>
      <c r="E2032">
        <v>20</v>
      </c>
      <c r="F2032">
        <v>9</v>
      </c>
      <c r="G2032">
        <v>1</v>
      </c>
      <c r="H2032">
        <v>11</v>
      </c>
      <c r="I2032">
        <v>2</v>
      </c>
      <c r="J2032">
        <v>2019</v>
      </c>
      <c r="K2032">
        <v>7</v>
      </c>
      <c r="L2032" t="s">
        <v>11</v>
      </c>
      <c r="M2032">
        <f>SUM(Pharma_Sales_Data[[#This Row],[M01AB]:[R06]])</f>
        <v>61</v>
      </c>
      <c r="N2032" s="2">
        <f>Pharma_Sales_Data[[#This Row],[Total Drug Sales]]*150</f>
        <v>9150</v>
      </c>
      <c r="O2032" s="2">
        <f>Pharma_Sales_Data[[#This Row],[Total Revenue]]*0.3</f>
        <v>2745</v>
      </c>
      <c r="P2032" t="str">
        <f>IF(Pharma_Sales_Data[[#This Row],[Total Revenue]]&gt;20000,"High Value", IF(Pharma_Sales_Data[[#This Row],[Total Revenue]]&gt;=10000,"Medium Value","Low Value"))</f>
        <v>Low Value</v>
      </c>
    </row>
    <row r="2033" spans="1:16" x14ac:dyDescent="0.35">
      <c r="A2033" s="1">
        <v>43672</v>
      </c>
      <c r="B2033">
        <v>12.5</v>
      </c>
      <c r="C2033">
        <v>4</v>
      </c>
      <c r="D2033">
        <v>0.1</v>
      </c>
      <c r="E2033">
        <v>17</v>
      </c>
      <c r="F2033">
        <v>12</v>
      </c>
      <c r="G2033">
        <v>0</v>
      </c>
      <c r="H2033">
        <v>8</v>
      </c>
      <c r="I2033">
        <v>3</v>
      </c>
      <c r="J2033">
        <v>2019</v>
      </c>
      <c r="K2033">
        <v>7</v>
      </c>
      <c r="L2033" t="s">
        <v>12</v>
      </c>
      <c r="M2033">
        <f>SUM(Pharma_Sales_Data[[#This Row],[M01AB]:[R06]])</f>
        <v>56.6</v>
      </c>
      <c r="N2033" s="2">
        <f>Pharma_Sales_Data[[#This Row],[Total Drug Sales]]*150</f>
        <v>8490</v>
      </c>
      <c r="O2033" s="2">
        <f>Pharma_Sales_Data[[#This Row],[Total Revenue]]*0.3</f>
        <v>2547</v>
      </c>
      <c r="P2033" t="str">
        <f>IF(Pharma_Sales_Data[[#This Row],[Total Revenue]]&gt;20000,"High Value", IF(Pharma_Sales_Data[[#This Row],[Total Revenue]]&gt;=10000,"Medium Value","Low Value"))</f>
        <v>Low Value</v>
      </c>
    </row>
    <row r="2034" spans="1:16" x14ac:dyDescent="0.35">
      <c r="A2034" s="1">
        <v>43673</v>
      </c>
      <c r="B2034">
        <v>3.34</v>
      </c>
      <c r="C2034">
        <v>0</v>
      </c>
      <c r="D2034">
        <v>1</v>
      </c>
      <c r="E2034">
        <v>22</v>
      </c>
      <c r="F2034">
        <v>6</v>
      </c>
      <c r="G2034">
        <v>3</v>
      </c>
      <c r="H2034">
        <v>2</v>
      </c>
      <c r="I2034">
        <v>3.4</v>
      </c>
      <c r="J2034">
        <v>2019</v>
      </c>
      <c r="K2034">
        <v>7</v>
      </c>
      <c r="L2034" t="s">
        <v>13</v>
      </c>
      <c r="M2034">
        <f>SUM(Pharma_Sales_Data[[#This Row],[M01AB]:[R06]])</f>
        <v>40.74</v>
      </c>
      <c r="N2034" s="2">
        <f>Pharma_Sales_Data[[#This Row],[Total Drug Sales]]*150</f>
        <v>6111</v>
      </c>
      <c r="O2034" s="2">
        <f>Pharma_Sales_Data[[#This Row],[Total Revenue]]*0.3</f>
        <v>1833.3</v>
      </c>
      <c r="P2034" t="str">
        <f>IF(Pharma_Sales_Data[[#This Row],[Total Revenue]]&gt;20000,"High Value", IF(Pharma_Sales_Data[[#This Row],[Total Revenue]]&gt;=10000,"Medium Value","Low Value"))</f>
        <v>Low Value</v>
      </c>
    </row>
    <row r="2035" spans="1:16" x14ac:dyDescent="0.35">
      <c r="A2035" s="1">
        <v>43674</v>
      </c>
      <c r="B2035">
        <v>4.34</v>
      </c>
      <c r="C2035">
        <v>1.34</v>
      </c>
      <c r="D2035">
        <v>4</v>
      </c>
      <c r="E2035">
        <v>13</v>
      </c>
      <c r="F2035">
        <v>3</v>
      </c>
      <c r="G2035">
        <v>1</v>
      </c>
      <c r="H2035">
        <v>0</v>
      </c>
      <c r="I2035">
        <v>0.6</v>
      </c>
      <c r="J2035">
        <v>2019</v>
      </c>
      <c r="K2035">
        <v>7</v>
      </c>
      <c r="L2035" t="s">
        <v>14</v>
      </c>
      <c r="M2035">
        <f>SUM(Pharma_Sales_Data[[#This Row],[M01AB]:[R06]])</f>
        <v>27.28</v>
      </c>
      <c r="N2035" s="2">
        <f>Pharma_Sales_Data[[#This Row],[Total Drug Sales]]*150</f>
        <v>4092</v>
      </c>
      <c r="O2035" s="2">
        <f>Pharma_Sales_Data[[#This Row],[Total Revenue]]*0.3</f>
        <v>1227.5999999999999</v>
      </c>
      <c r="P2035" t="str">
        <f>IF(Pharma_Sales_Data[[#This Row],[Total Revenue]]&gt;20000,"High Value", IF(Pharma_Sales_Data[[#This Row],[Total Revenue]]&gt;=10000,"Medium Value","Low Value"))</f>
        <v>Low Value</v>
      </c>
    </row>
    <row r="2036" spans="1:16" x14ac:dyDescent="0.35">
      <c r="A2036" s="1">
        <v>43675</v>
      </c>
      <c r="B2036">
        <v>9</v>
      </c>
      <c r="C2036">
        <v>4.33</v>
      </c>
      <c r="D2036">
        <v>2</v>
      </c>
      <c r="E2036">
        <v>25.45</v>
      </c>
      <c r="F2036">
        <v>12</v>
      </c>
      <c r="G2036">
        <v>0</v>
      </c>
      <c r="H2036">
        <v>1</v>
      </c>
      <c r="I2036">
        <v>2</v>
      </c>
      <c r="J2036">
        <v>2019</v>
      </c>
      <c r="K2036">
        <v>7</v>
      </c>
      <c r="L2036" t="s">
        <v>15</v>
      </c>
      <c r="M2036">
        <f>SUM(Pharma_Sales_Data[[#This Row],[M01AB]:[R06]])</f>
        <v>55.78</v>
      </c>
      <c r="N2036" s="2">
        <f>Pharma_Sales_Data[[#This Row],[Total Drug Sales]]*150</f>
        <v>8367</v>
      </c>
      <c r="O2036" s="2">
        <f>Pharma_Sales_Data[[#This Row],[Total Revenue]]*0.3</f>
        <v>2510.1</v>
      </c>
      <c r="P2036" t="str">
        <f>IF(Pharma_Sales_Data[[#This Row],[Total Revenue]]&gt;20000,"High Value", IF(Pharma_Sales_Data[[#This Row],[Total Revenue]]&gt;=10000,"Medium Value","Low Value"))</f>
        <v>Low Value</v>
      </c>
    </row>
    <row r="2037" spans="1:16" x14ac:dyDescent="0.35">
      <c r="A2037" s="1">
        <v>43676</v>
      </c>
      <c r="B2037">
        <v>9.5</v>
      </c>
      <c r="C2037">
        <v>6.1870000000000003</v>
      </c>
      <c r="D2037">
        <v>5</v>
      </c>
      <c r="E2037">
        <v>19</v>
      </c>
      <c r="F2037">
        <v>9</v>
      </c>
      <c r="G2037">
        <v>4</v>
      </c>
      <c r="H2037">
        <v>33</v>
      </c>
      <c r="I2037">
        <v>5</v>
      </c>
      <c r="J2037">
        <v>2019</v>
      </c>
      <c r="K2037">
        <v>7</v>
      </c>
      <c r="L2037" t="s">
        <v>16</v>
      </c>
      <c r="M2037">
        <f>SUM(Pharma_Sales_Data[[#This Row],[M01AB]:[R06]])</f>
        <v>90.686999999999998</v>
      </c>
      <c r="N2037" s="2">
        <f>Pharma_Sales_Data[[#This Row],[Total Drug Sales]]*150</f>
        <v>13603.05</v>
      </c>
      <c r="O2037" s="2">
        <f>Pharma_Sales_Data[[#This Row],[Total Revenue]]*0.3</f>
        <v>4080.9149999999995</v>
      </c>
      <c r="P2037" t="str">
        <f>IF(Pharma_Sales_Data[[#This Row],[Total Revenue]]&gt;20000,"High Value", IF(Pharma_Sales_Data[[#This Row],[Total Revenue]]&gt;=10000,"Medium Value","Low Value"))</f>
        <v>Medium Value</v>
      </c>
    </row>
    <row r="2038" spans="1:16" x14ac:dyDescent="0.35">
      <c r="A2038" s="1">
        <v>43677</v>
      </c>
      <c r="B2038">
        <v>0</v>
      </c>
      <c r="C2038">
        <v>2.84</v>
      </c>
      <c r="D2038">
        <v>2</v>
      </c>
      <c r="E2038">
        <v>21</v>
      </c>
      <c r="F2038">
        <v>4</v>
      </c>
      <c r="G2038">
        <v>0</v>
      </c>
      <c r="H2038">
        <v>4</v>
      </c>
      <c r="I2038">
        <v>2</v>
      </c>
      <c r="J2038">
        <v>2019</v>
      </c>
      <c r="K2038">
        <v>7</v>
      </c>
      <c r="L2038" t="s">
        <v>17</v>
      </c>
      <c r="M2038">
        <f>SUM(Pharma_Sales_Data[[#This Row],[M01AB]:[R06]])</f>
        <v>35.840000000000003</v>
      </c>
      <c r="N2038" s="2">
        <f>Pharma_Sales_Data[[#This Row],[Total Drug Sales]]*150</f>
        <v>5376.0000000000009</v>
      </c>
      <c r="O2038" s="2">
        <f>Pharma_Sales_Data[[#This Row],[Total Revenue]]*0.3</f>
        <v>1612.8000000000002</v>
      </c>
      <c r="P2038" t="str">
        <f>IF(Pharma_Sales_Data[[#This Row],[Total Revenue]]&gt;20000,"High Value", IF(Pharma_Sales_Data[[#This Row],[Total Revenue]]&gt;=10000,"Medium Value","Low Value"))</f>
        <v>Low Value</v>
      </c>
    </row>
    <row r="2039" spans="1:16" x14ac:dyDescent="0.35">
      <c r="A2039" s="1">
        <v>43678</v>
      </c>
      <c r="B2039">
        <v>8.67</v>
      </c>
      <c r="C2039">
        <v>0.91300000000000003</v>
      </c>
      <c r="D2039">
        <v>2</v>
      </c>
      <c r="E2039">
        <v>37</v>
      </c>
      <c r="F2039">
        <v>6</v>
      </c>
      <c r="G2039">
        <v>0</v>
      </c>
      <c r="H2039">
        <v>1</v>
      </c>
      <c r="I2039">
        <v>2</v>
      </c>
      <c r="J2039">
        <v>2019</v>
      </c>
      <c r="K2039">
        <v>8</v>
      </c>
      <c r="L2039" t="s">
        <v>11</v>
      </c>
      <c r="M2039">
        <f>SUM(Pharma_Sales_Data[[#This Row],[M01AB]:[R06]])</f>
        <v>57.582999999999998</v>
      </c>
      <c r="N2039" s="2">
        <f>Pharma_Sales_Data[[#This Row],[Total Drug Sales]]*150</f>
        <v>8637.4499999999989</v>
      </c>
      <c r="O2039" s="2">
        <f>Pharma_Sales_Data[[#This Row],[Total Revenue]]*0.3</f>
        <v>2591.2349999999997</v>
      </c>
      <c r="P2039" t="str">
        <f>IF(Pharma_Sales_Data[[#This Row],[Total Revenue]]&gt;20000,"High Value", IF(Pharma_Sales_Data[[#This Row],[Total Revenue]]&gt;=10000,"Medium Value","Low Value"))</f>
        <v>Low Value</v>
      </c>
    </row>
    <row r="2040" spans="1:16" x14ac:dyDescent="0.35">
      <c r="A2040" s="1">
        <v>43679</v>
      </c>
      <c r="B2040">
        <v>5</v>
      </c>
      <c r="C2040">
        <v>1.68</v>
      </c>
      <c r="D2040">
        <v>3</v>
      </c>
      <c r="E2040">
        <v>18</v>
      </c>
      <c r="F2040">
        <v>7</v>
      </c>
      <c r="G2040">
        <v>2</v>
      </c>
      <c r="H2040">
        <v>6</v>
      </c>
      <c r="I2040">
        <v>1</v>
      </c>
      <c r="J2040">
        <v>2019</v>
      </c>
      <c r="K2040">
        <v>8</v>
      </c>
      <c r="L2040" t="s">
        <v>12</v>
      </c>
      <c r="M2040">
        <f>SUM(Pharma_Sales_Data[[#This Row],[M01AB]:[R06]])</f>
        <v>43.68</v>
      </c>
      <c r="N2040" s="2">
        <f>Pharma_Sales_Data[[#This Row],[Total Drug Sales]]*150</f>
        <v>6552</v>
      </c>
      <c r="O2040" s="2">
        <f>Pharma_Sales_Data[[#This Row],[Total Revenue]]*0.3</f>
        <v>1965.6</v>
      </c>
      <c r="P2040" t="str">
        <f>IF(Pharma_Sales_Data[[#This Row],[Total Revenue]]&gt;20000,"High Value", IF(Pharma_Sales_Data[[#This Row],[Total Revenue]]&gt;=10000,"Medium Value","Low Value"))</f>
        <v>Low Value</v>
      </c>
    </row>
    <row r="2041" spans="1:16" x14ac:dyDescent="0.35">
      <c r="A2041" s="1">
        <v>43680</v>
      </c>
      <c r="B2041">
        <v>5.34</v>
      </c>
      <c r="C2041">
        <v>4.68</v>
      </c>
      <c r="D2041">
        <v>2.2999999999999998</v>
      </c>
      <c r="E2041">
        <v>12</v>
      </c>
      <c r="F2041">
        <v>6</v>
      </c>
      <c r="G2041">
        <v>5</v>
      </c>
      <c r="H2041">
        <v>1</v>
      </c>
      <c r="I2041">
        <v>3.4</v>
      </c>
      <c r="J2041">
        <v>2019</v>
      </c>
      <c r="K2041">
        <v>8</v>
      </c>
      <c r="L2041" t="s">
        <v>13</v>
      </c>
      <c r="M2041">
        <f>SUM(Pharma_Sales_Data[[#This Row],[M01AB]:[R06]])</f>
        <v>39.72</v>
      </c>
      <c r="N2041" s="2">
        <f>Pharma_Sales_Data[[#This Row],[Total Drug Sales]]*150</f>
        <v>5958</v>
      </c>
      <c r="O2041" s="2">
        <f>Pharma_Sales_Data[[#This Row],[Total Revenue]]*0.3</f>
        <v>1787.3999999999999</v>
      </c>
      <c r="P2041" t="str">
        <f>IF(Pharma_Sales_Data[[#This Row],[Total Revenue]]&gt;20000,"High Value", IF(Pharma_Sales_Data[[#This Row],[Total Revenue]]&gt;=10000,"Medium Value","Low Value"))</f>
        <v>Low Value</v>
      </c>
    </row>
    <row r="2042" spans="1:16" x14ac:dyDescent="0.35">
      <c r="A2042" s="1">
        <v>43681</v>
      </c>
      <c r="B2042">
        <v>6.5</v>
      </c>
      <c r="C2042">
        <v>2.67</v>
      </c>
      <c r="D2042">
        <v>5</v>
      </c>
      <c r="E2042">
        <v>24</v>
      </c>
      <c r="F2042">
        <v>10</v>
      </c>
      <c r="G2042">
        <v>0</v>
      </c>
      <c r="H2042">
        <v>2</v>
      </c>
      <c r="I2042">
        <v>4.3</v>
      </c>
      <c r="J2042">
        <v>2019</v>
      </c>
      <c r="K2042">
        <v>8</v>
      </c>
      <c r="L2042" t="s">
        <v>14</v>
      </c>
      <c r="M2042">
        <f>SUM(Pharma_Sales_Data[[#This Row],[M01AB]:[R06]])</f>
        <v>54.47</v>
      </c>
      <c r="N2042" s="2">
        <f>Pharma_Sales_Data[[#This Row],[Total Drug Sales]]*150</f>
        <v>8170.5</v>
      </c>
      <c r="O2042" s="2">
        <f>Pharma_Sales_Data[[#This Row],[Total Revenue]]*0.3</f>
        <v>2451.15</v>
      </c>
      <c r="P2042" t="str">
        <f>IF(Pharma_Sales_Data[[#This Row],[Total Revenue]]&gt;20000,"High Value", IF(Pharma_Sales_Data[[#This Row],[Total Revenue]]&gt;=10000,"Medium Value","Low Value"))</f>
        <v>Low Value</v>
      </c>
    </row>
    <row r="2043" spans="1:16" x14ac:dyDescent="0.35">
      <c r="A2043" s="1">
        <v>43682</v>
      </c>
      <c r="B2043">
        <v>4</v>
      </c>
      <c r="C2043">
        <v>1</v>
      </c>
      <c r="D2043">
        <v>4.3</v>
      </c>
      <c r="E2043">
        <v>6</v>
      </c>
      <c r="F2043">
        <v>7</v>
      </c>
      <c r="G2043">
        <v>1</v>
      </c>
      <c r="H2043">
        <v>5</v>
      </c>
      <c r="I2043">
        <v>0</v>
      </c>
      <c r="J2043">
        <v>2019</v>
      </c>
      <c r="K2043">
        <v>8</v>
      </c>
      <c r="L2043" t="s">
        <v>15</v>
      </c>
      <c r="M2043">
        <f>SUM(Pharma_Sales_Data[[#This Row],[M01AB]:[R06]])</f>
        <v>28.3</v>
      </c>
      <c r="N2043" s="2">
        <f>Pharma_Sales_Data[[#This Row],[Total Drug Sales]]*150</f>
        <v>4245</v>
      </c>
      <c r="O2043" s="2">
        <f>Pharma_Sales_Data[[#This Row],[Total Revenue]]*0.3</f>
        <v>1273.5</v>
      </c>
      <c r="P2043" t="str">
        <f>IF(Pharma_Sales_Data[[#This Row],[Total Revenue]]&gt;20000,"High Value", IF(Pharma_Sales_Data[[#This Row],[Total Revenue]]&gt;=10000,"Medium Value","Low Value"))</f>
        <v>Low Value</v>
      </c>
    </row>
    <row r="2044" spans="1:16" x14ac:dyDescent="0.35">
      <c r="A2044" s="1">
        <v>43683</v>
      </c>
      <c r="B2044">
        <v>10</v>
      </c>
      <c r="C2044">
        <v>4.67</v>
      </c>
      <c r="D2044">
        <v>2</v>
      </c>
      <c r="E2044">
        <v>17.25</v>
      </c>
      <c r="F2044">
        <v>4</v>
      </c>
      <c r="G2044">
        <v>0</v>
      </c>
      <c r="H2044">
        <v>6</v>
      </c>
      <c r="I2044">
        <v>6</v>
      </c>
      <c r="J2044">
        <v>2019</v>
      </c>
      <c r="K2044">
        <v>8</v>
      </c>
      <c r="L2044" t="s">
        <v>16</v>
      </c>
      <c r="M2044">
        <f>SUM(Pharma_Sales_Data[[#This Row],[M01AB]:[R06]])</f>
        <v>49.92</v>
      </c>
      <c r="N2044" s="2">
        <f>Pharma_Sales_Data[[#This Row],[Total Drug Sales]]*150</f>
        <v>7488</v>
      </c>
      <c r="O2044" s="2">
        <f>Pharma_Sales_Data[[#This Row],[Total Revenue]]*0.3</f>
        <v>2246.4</v>
      </c>
      <c r="P2044" t="str">
        <f>IF(Pharma_Sales_Data[[#This Row],[Total Revenue]]&gt;20000,"High Value", IF(Pharma_Sales_Data[[#This Row],[Total Revenue]]&gt;=10000,"Medium Value","Low Value"))</f>
        <v>Low Value</v>
      </c>
    </row>
    <row r="2045" spans="1:16" x14ac:dyDescent="0.35">
      <c r="A2045" s="1">
        <v>43684</v>
      </c>
      <c r="B2045">
        <v>6</v>
      </c>
      <c r="C2045">
        <v>1.7589999999999999</v>
      </c>
      <c r="D2045">
        <v>2</v>
      </c>
      <c r="E2045">
        <v>9</v>
      </c>
      <c r="F2045">
        <v>7</v>
      </c>
      <c r="G2045">
        <v>0</v>
      </c>
      <c r="H2045">
        <v>21</v>
      </c>
      <c r="I2045">
        <v>3</v>
      </c>
      <c r="J2045">
        <v>2019</v>
      </c>
      <c r="K2045">
        <v>8</v>
      </c>
      <c r="L2045" t="s">
        <v>17</v>
      </c>
      <c r="M2045">
        <f>SUM(Pharma_Sales_Data[[#This Row],[M01AB]:[R06]])</f>
        <v>49.759</v>
      </c>
      <c r="N2045" s="2">
        <f>Pharma_Sales_Data[[#This Row],[Total Drug Sales]]*150</f>
        <v>7463.85</v>
      </c>
      <c r="O2045" s="2">
        <f>Pharma_Sales_Data[[#This Row],[Total Revenue]]*0.3</f>
        <v>2239.1550000000002</v>
      </c>
      <c r="P2045" t="str">
        <f>IF(Pharma_Sales_Data[[#This Row],[Total Revenue]]&gt;20000,"High Value", IF(Pharma_Sales_Data[[#This Row],[Total Revenue]]&gt;=10000,"Medium Value","Low Value"))</f>
        <v>Low Value</v>
      </c>
    </row>
    <row r="2046" spans="1:16" x14ac:dyDescent="0.35">
      <c r="A2046" s="1">
        <v>43685</v>
      </c>
      <c r="B2046">
        <v>7.66</v>
      </c>
      <c r="C2046">
        <v>1.01</v>
      </c>
      <c r="D2046">
        <v>3</v>
      </c>
      <c r="E2046">
        <v>15</v>
      </c>
      <c r="F2046">
        <v>10</v>
      </c>
      <c r="G2046">
        <v>0</v>
      </c>
      <c r="H2046">
        <v>31</v>
      </c>
      <c r="I2046">
        <v>3</v>
      </c>
      <c r="J2046">
        <v>2019</v>
      </c>
      <c r="K2046">
        <v>8</v>
      </c>
      <c r="L2046" t="s">
        <v>11</v>
      </c>
      <c r="M2046">
        <f>SUM(Pharma_Sales_Data[[#This Row],[M01AB]:[R06]])</f>
        <v>70.67</v>
      </c>
      <c r="N2046" s="2">
        <f>Pharma_Sales_Data[[#This Row],[Total Drug Sales]]*150</f>
        <v>10600.5</v>
      </c>
      <c r="O2046" s="2">
        <f>Pharma_Sales_Data[[#This Row],[Total Revenue]]*0.3</f>
        <v>3180.15</v>
      </c>
      <c r="P2046" t="str">
        <f>IF(Pharma_Sales_Data[[#This Row],[Total Revenue]]&gt;20000,"High Value", IF(Pharma_Sales_Data[[#This Row],[Total Revenue]]&gt;=10000,"Medium Value","Low Value"))</f>
        <v>Medium Value</v>
      </c>
    </row>
    <row r="2047" spans="1:16" x14ac:dyDescent="0.35">
      <c r="A2047" s="1">
        <v>43686</v>
      </c>
      <c r="B2047">
        <v>3</v>
      </c>
      <c r="C2047">
        <v>3.25</v>
      </c>
      <c r="D2047">
        <v>0</v>
      </c>
      <c r="E2047">
        <v>8</v>
      </c>
      <c r="F2047">
        <v>13</v>
      </c>
      <c r="G2047">
        <v>5</v>
      </c>
      <c r="H2047">
        <v>1</v>
      </c>
      <c r="I2047">
        <v>5</v>
      </c>
      <c r="J2047">
        <v>2019</v>
      </c>
      <c r="K2047">
        <v>8</v>
      </c>
      <c r="L2047" t="s">
        <v>12</v>
      </c>
      <c r="M2047">
        <f>SUM(Pharma_Sales_Data[[#This Row],[M01AB]:[R06]])</f>
        <v>38.25</v>
      </c>
      <c r="N2047" s="2">
        <f>Pharma_Sales_Data[[#This Row],[Total Drug Sales]]*150</f>
        <v>5737.5</v>
      </c>
      <c r="O2047" s="2">
        <f>Pharma_Sales_Data[[#This Row],[Total Revenue]]*0.3</f>
        <v>1721.25</v>
      </c>
      <c r="P2047" t="str">
        <f>IF(Pharma_Sales_Data[[#This Row],[Total Revenue]]&gt;20000,"High Value", IF(Pharma_Sales_Data[[#This Row],[Total Revenue]]&gt;=10000,"Medium Value","Low Value"))</f>
        <v>Low Value</v>
      </c>
    </row>
    <row r="2048" spans="1:16" x14ac:dyDescent="0.35">
      <c r="A2048" s="1">
        <v>43687</v>
      </c>
      <c r="B2048">
        <v>3.33</v>
      </c>
      <c r="C2048">
        <v>0.68</v>
      </c>
      <c r="D2048">
        <v>6</v>
      </c>
      <c r="E2048">
        <v>15</v>
      </c>
      <c r="F2048">
        <v>11</v>
      </c>
      <c r="G2048">
        <v>0</v>
      </c>
      <c r="H2048">
        <v>0</v>
      </c>
      <c r="I2048">
        <v>0</v>
      </c>
      <c r="J2048">
        <v>2019</v>
      </c>
      <c r="K2048">
        <v>8</v>
      </c>
      <c r="L2048" t="s">
        <v>13</v>
      </c>
      <c r="M2048">
        <f>SUM(Pharma_Sales_Data[[#This Row],[M01AB]:[R06]])</f>
        <v>36.01</v>
      </c>
      <c r="N2048" s="2">
        <f>Pharma_Sales_Data[[#This Row],[Total Drug Sales]]*150</f>
        <v>5401.5</v>
      </c>
      <c r="O2048" s="2">
        <f>Pharma_Sales_Data[[#This Row],[Total Revenue]]*0.3</f>
        <v>1620.45</v>
      </c>
      <c r="P2048" t="str">
        <f>IF(Pharma_Sales_Data[[#This Row],[Total Revenue]]&gt;20000,"High Value", IF(Pharma_Sales_Data[[#This Row],[Total Revenue]]&gt;=10000,"Medium Value","Low Value"))</f>
        <v>Low Value</v>
      </c>
    </row>
    <row r="2049" spans="1:16" x14ac:dyDescent="0.35">
      <c r="A2049" s="1">
        <v>43688</v>
      </c>
      <c r="B2049">
        <v>7</v>
      </c>
      <c r="C2049">
        <v>6.85</v>
      </c>
      <c r="D2049">
        <v>4</v>
      </c>
      <c r="E2049">
        <v>16</v>
      </c>
      <c r="F2049">
        <v>5</v>
      </c>
      <c r="G2049">
        <v>2</v>
      </c>
      <c r="H2049">
        <v>2</v>
      </c>
      <c r="I2049">
        <v>3</v>
      </c>
      <c r="J2049">
        <v>2019</v>
      </c>
      <c r="K2049">
        <v>8</v>
      </c>
      <c r="L2049" t="s">
        <v>14</v>
      </c>
      <c r="M2049">
        <f>SUM(Pharma_Sales_Data[[#This Row],[M01AB]:[R06]])</f>
        <v>45.85</v>
      </c>
      <c r="N2049" s="2">
        <f>Pharma_Sales_Data[[#This Row],[Total Drug Sales]]*150</f>
        <v>6877.5</v>
      </c>
      <c r="O2049" s="2">
        <f>Pharma_Sales_Data[[#This Row],[Total Revenue]]*0.3</f>
        <v>2063.25</v>
      </c>
      <c r="P2049" t="str">
        <f>IF(Pharma_Sales_Data[[#This Row],[Total Revenue]]&gt;20000,"High Value", IF(Pharma_Sales_Data[[#This Row],[Total Revenue]]&gt;=10000,"Medium Value","Low Value"))</f>
        <v>Low Value</v>
      </c>
    </row>
    <row r="2050" spans="1:16" x14ac:dyDescent="0.35">
      <c r="A2050" s="1">
        <v>43689</v>
      </c>
      <c r="B2050">
        <v>8.33</v>
      </c>
      <c r="C2050">
        <v>4.4960000000000004</v>
      </c>
      <c r="D2050">
        <v>1</v>
      </c>
      <c r="E2050">
        <v>36</v>
      </c>
      <c r="F2050">
        <v>11</v>
      </c>
      <c r="G2050">
        <v>1</v>
      </c>
      <c r="H2050">
        <v>5</v>
      </c>
      <c r="I2050">
        <v>3.5</v>
      </c>
      <c r="J2050">
        <v>2019</v>
      </c>
      <c r="K2050">
        <v>8</v>
      </c>
      <c r="L2050" t="s">
        <v>15</v>
      </c>
      <c r="M2050">
        <f>SUM(Pharma_Sales_Data[[#This Row],[M01AB]:[R06]])</f>
        <v>70.325999999999993</v>
      </c>
      <c r="N2050" s="2">
        <f>Pharma_Sales_Data[[#This Row],[Total Drug Sales]]*150</f>
        <v>10548.9</v>
      </c>
      <c r="O2050" s="2">
        <f>Pharma_Sales_Data[[#This Row],[Total Revenue]]*0.3</f>
        <v>3164.6699999999996</v>
      </c>
      <c r="P2050" t="str">
        <f>IF(Pharma_Sales_Data[[#This Row],[Total Revenue]]&gt;20000,"High Value", IF(Pharma_Sales_Data[[#This Row],[Total Revenue]]&gt;=10000,"Medium Value","Low Value"))</f>
        <v>Medium Value</v>
      </c>
    </row>
    <row r="2051" spans="1:16" x14ac:dyDescent="0.35">
      <c r="A2051" s="1">
        <v>43690</v>
      </c>
      <c r="B2051">
        <v>8</v>
      </c>
      <c r="C2051">
        <v>1.8959999999999999</v>
      </c>
      <c r="D2051">
        <v>2</v>
      </c>
      <c r="E2051">
        <v>15</v>
      </c>
      <c r="F2051">
        <v>3</v>
      </c>
      <c r="G2051">
        <v>0</v>
      </c>
      <c r="H2051">
        <v>2</v>
      </c>
      <c r="I2051">
        <v>1</v>
      </c>
      <c r="J2051">
        <v>2019</v>
      </c>
      <c r="K2051">
        <v>8</v>
      </c>
      <c r="L2051" t="s">
        <v>16</v>
      </c>
      <c r="M2051">
        <f>SUM(Pharma_Sales_Data[[#This Row],[M01AB]:[R06]])</f>
        <v>32.896000000000001</v>
      </c>
      <c r="N2051" s="2">
        <f>Pharma_Sales_Data[[#This Row],[Total Drug Sales]]*150</f>
        <v>4934.4000000000005</v>
      </c>
      <c r="O2051" s="2">
        <f>Pharma_Sales_Data[[#This Row],[Total Revenue]]*0.3</f>
        <v>1480.3200000000002</v>
      </c>
      <c r="P2051" t="str">
        <f>IF(Pharma_Sales_Data[[#This Row],[Total Revenue]]&gt;20000,"High Value", IF(Pharma_Sales_Data[[#This Row],[Total Revenue]]&gt;=10000,"Medium Value","Low Value"))</f>
        <v>Low Value</v>
      </c>
    </row>
    <row r="2052" spans="1:16" x14ac:dyDescent="0.35">
      <c r="A2052" s="1">
        <v>43691</v>
      </c>
      <c r="B2052">
        <v>4.34</v>
      </c>
      <c r="C2052">
        <v>0.67</v>
      </c>
      <c r="D2052">
        <v>3.1</v>
      </c>
      <c r="E2052">
        <v>20</v>
      </c>
      <c r="F2052">
        <v>6</v>
      </c>
      <c r="G2052">
        <v>0</v>
      </c>
      <c r="H2052">
        <v>0</v>
      </c>
      <c r="I2052">
        <v>3</v>
      </c>
      <c r="J2052">
        <v>2019</v>
      </c>
      <c r="K2052">
        <v>8</v>
      </c>
      <c r="L2052" t="s">
        <v>17</v>
      </c>
      <c r="M2052">
        <f>SUM(Pharma_Sales_Data[[#This Row],[M01AB]:[R06]])</f>
        <v>37.11</v>
      </c>
      <c r="N2052" s="2">
        <f>Pharma_Sales_Data[[#This Row],[Total Drug Sales]]*150</f>
        <v>5566.5</v>
      </c>
      <c r="O2052" s="2">
        <f>Pharma_Sales_Data[[#This Row],[Total Revenue]]*0.3</f>
        <v>1669.95</v>
      </c>
      <c r="P2052" t="str">
        <f>IF(Pharma_Sales_Data[[#This Row],[Total Revenue]]&gt;20000,"High Value", IF(Pharma_Sales_Data[[#This Row],[Total Revenue]]&gt;=10000,"Medium Value","Low Value"))</f>
        <v>Low Value</v>
      </c>
    </row>
    <row r="2053" spans="1:16" x14ac:dyDescent="0.35">
      <c r="A2053" s="1">
        <v>43692</v>
      </c>
      <c r="B2053">
        <v>8.67</v>
      </c>
      <c r="C2053">
        <v>1.99</v>
      </c>
      <c r="D2053">
        <v>2</v>
      </c>
      <c r="E2053">
        <v>12</v>
      </c>
      <c r="F2053">
        <v>9</v>
      </c>
      <c r="G2053">
        <v>0</v>
      </c>
      <c r="H2053">
        <v>11</v>
      </c>
      <c r="I2053">
        <v>2</v>
      </c>
      <c r="J2053">
        <v>2019</v>
      </c>
      <c r="K2053">
        <v>8</v>
      </c>
      <c r="L2053" t="s">
        <v>11</v>
      </c>
      <c r="M2053">
        <f>SUM(Pharma_Sales_Data[[#This Row],[M01AB]:[R06]])</f>
        <v>46.66</v>
      </c>
      <c r="N2053" s="2">
        <f>Pharma_Sales_Data[[#This Row],[Total Drug Sales]]*150</f>
        <v>6998.9999999999991</v>
      </c>
      <c r="O2053" s="2">
        <f>Pharma_Sales_Data[[#This Row],[Total Revenue]]*0.3</f>
        <v>2099.6999999999998</v>
      </c>
      <c r="P2053" t="str">
        <f>IF(Pharma_Sales_Data[[#This Row],[Total Revenue]]&gt;20000,"High Value", IF(Pharma_Sales_Data[[#This Row],[Total Revenue]]&gt;=10000,"Medium Value","Low Value"))</f>
        <v>Low Value</v>
      </c>
    </row>
    <row r="2054" spans="1:16" x14ac:dyDescent="0.35">
      <c r="A2054" s="1">
        <v>43693</v>
      </c>
      <c r="B2054">
        <v>3.33</v>
      </c>
      <c r="C2054">
        <v>2.68</v>
      </c>
      <c r="D2054">
        <v>2</v>
      </c>
      <c r="E2054">
        <v>13</v>
      </c>
      <c r="F2054">
        <v>15</v>
      </c>
      <c r="G2054">
        <v>0</v>
      </c>
      <c r="H2054">
        <v>10</v>
      </c>
      <c r="I2054">
        <v>7</v>
      </c>
      <c r="J2054">
        <v>2019</v>
      </c>
      <c r="K2054">
        <v>8</v>
      </c>
      <c r="L2054" t="s">
        <v>12</v>
      </c>
      <c r="M2054">
        <f>SUM(Pharma_Sales_Data[[#This Row],[M01AB]:[R06]])</f>
        <v>53.01</v>
      </c>
      <c r="N2054" s="2">
        <f>Pharma_Sales_Data[[#This Row],[Total Drug Sales]]*150</f>
        <v>7951.5</v>
      </c>
      <c r="O2054" s="2">
        <f>Pharma_Sales_Data[[#This Row],[Total Revenue]]*0.3</f>
        <v>2385.4499999999998</v>
      </c>
      <c r="P2054" t="str">
        <f>IF(Pharma_Sales_Data[[#This Row],[Total Revenue]]&gt;20000,"High Value", IF(Pharma_Sales_Data[[#This Row],[Total Revenue]]&gt;=10000,"Medium Value","Low Value"))</f>
        <v>Low Value</v>
      </c>
    </row>
    <row r="2055" spans="1:16" x14ac:dyDescent="0.35">
      <c r="A2055" s="1">
        <v>43694</v>
      </c>
      <c r="B2055">
        <v>7.67</v>
      </c>
      <c r="C2055">
        <v>4.5309999999999997</v>
      </c>
      <c r="D2055">
        <v>2.4500000000000002</v>
      </c>
      <c r="E2055">
        <v>18</v>
      </c>
      <c r="F2055">
        <v>5</v>
      </c>
      <c r="G2055">
        <v>1</v>
      </c>
      <c r="H2055">
        <v>0</v>
      </c>
      <c r="I2055">
        <v>2.5</v>
      </c>
      <c r="J2055">
        <v>2019</v>
      </c>
      <c r="K2055">
        <v>8</v>
      </c>
      <c r="L2055" t="s">
        <v>13</v>
      </c>
      <c r="M2055">
        <f>SUM(Pharma_Sales_Data[[#This Row],[M01AB]:[R06]])</f>
        <v>41.150999999999996</v>
      </c>
      <c r="N2055" s="2">
        <f>Pharma_Sales_Data[[#This Row],[Total Drug Sales]]*150</f>
        <v>6172.65</v>
      </c>
      <c r="O2055" s="2">
        <f>Pharma_Sales_Data[[#This Row],[Total Revenue]]*0.3</f>
        <v>1851.7949999999998</v>
      </c>
      <c r="P2055" t="str">
        <f>IF(Pharma_Sales_Data[[#This Row],[Total Revenue]]&gt;20000,"High Value", IF(Pharma_Sales_Data[[#This Row],[Total Revenue]]&gt;=10000,"Medium Value","Low Value"))</f>
        <v>Low Value</v>
      </c>
    </row>
    <row r="2056" spans="1:16" x14ac:dyDescent="0.35">
      <c r="A2056" s="1">
        <v>43695</v>
      </c>
      <c r="B2056">
        <v>4.84</v>
      </c>
      <c r="C2056">
        <v>2.8460000000000001</v>
      </c>
      <c r="D2056">
        <v>1</v>
      </c>
      <c r="E2056">
        <v>11</v>
      </c>
      <c r="F2056">
        <v>4</v>
      </c>
      <c r="G2056">
        <v>0</v>
      </c>
      <c r="H2056">
        <v>7</v>
      </c>
      <c r="I2056">
        <v>4</v>
      </c>
      <c r="J2056">
        <v>2019</v>
      </c>
      <c r="K2056">
        <v>8</v>
      </c>
      <c r="L2056" t="s">
        <v>14</v>
      </c>
      <c r="M2056">
        <f>SUM(Pharma_Sales_Data[[#This Row],[M01AB]:[R06]])</f>
        <v>34.686</v>
      </c>
      <c r="N2056" s="2">
        <f>Pharma_Sales_Data[[#This Row],[Total Drug Sales]]*150</f>
        <v>5202.8999999999996</v>
      </c>
      <c r="O2056" s="2">
        <f>Pharma_Sales_Data[[#This Row],[Total Revenue]]*0.3</f>
        <v>1560.87</v>
      </c>
      <c r="P2056" t="str">
        <f>IF(Pharma_Sales_Data[[#This Row],[Total Revenue]]&gt;20000,"High Value", IF(Pharma_Sales_Data[[#This Row],[Total Revenue]]&gt;=10000,"Medium Value","Low Value"))</f>
        <v>Low Value</v>
      </c>
    </row>
    <row r="2057" spans="1:16" x14ac:dyDescent="0.35">
      <c r="A2057" s="1">
        <v>43696</v>
      </c>
      <c r="B2057">
        <v>3.68</v>
      </c>
      <c r="C2057">
        <v>3.67</v>
      </c>
      <c r="D2057">
        <v>4</v>
      </c>
      <c r="E2057">
        <v>9</v>
      </c>
      <c r="F2057">
        <v>11</v>
      </c>
      <c r="G2057">
        <v>2</v>
      </c>
      <c r="H2057">
        <v>0</v>
      </c>
      <c r="I2057">
        <v>4</v>
      </c>
      <c r="J2057">
        <v>2019</v>
      </c>
      <c r="K2057">
        <v>8</v>
      </c>
      <c r="L2057" t="s">
        <v>15</v>
      </c>
      <c r="M2057">
        <f>SUM(Pharma_Sales_Data[[#This Row],[M01AB]:[R06]])</f>
        <v>37.35</v>
      </c>
      <c r="N2057" s="2">
        <f>Pharma_Sales_Data[[#This Row],[Total Drug Sales]]*150</f>
        <v>5602.5</v>
      </c>
      <c r="O2057" s="2">
        <f>Pharma_Sales_Data[[#This Row],[Total Revenue]]*0.3</f>
        <v>1680.75</v>
      </c>
      <c r="P2057" t="str">
        <f>IF(Pharma_Sales_Data[[#This Row],[Total Revenue]]&gt;20000,"High Value", IF(Pharma_Sales_Data[[#This Row],[Total Revenue]]&gt;=10000,"Medium Value","Low Value"))</f>
        <v>Low Value</v>
      </c>
    </row>
    <row r="2058" spans="1:16" x14ac:dyDescent="0.35">
      <c r="A2058" s="1">
        <v>43697</v>
      </c>
      <c r="B2058">
        <v>2</v>
      </c>
      <c r="C2058">
        <v>1.32</v>
      </c>
      <c r="D2058">
        <v>2</v>
      </c>
      <c r="E2058">
        <v>13.4</v>
      </c>
      <c r="F2058">
        <v>8</v>
      </c>
      <c r="G2058">
        <v>0</v>
      </c>
      <c r="H2058">
        <v>2</v>
      </c>
      <c r="I2058">
        <v>3</v>
      </c>
      <c r="J2058">
        <v>2019</v>
      </c>
      <c r="K2058">
        <v>8</v>
      </c>
      <c r="L2058" t="s">
        <v>16</v>
      </c>
      <c r="M2058">
        <f>SUM(Pharma_Sales_Data[[#This Row],[M01AB]:[R06]])</f>
        <v>31.72</v>
      </c>
      <c r="N2058" s="2">
        <f>Pharma_Sales_Data[[#This Row],[Total Drug Sales]]*150</f>
        <v>4758</v>
      </c>
      <c r="O2058" s="2">
        <f>Pharma_Sales_Data[[#This Row],[Total Revenue]]*0.3</f>
        <v>1427.3999999999999</v>
      </c>
      <c r="P2058" t="str">
        <f>IF(Pharma_Sales_Data[[#This Row],[Total Revenue]]&gt;20000,"High Value", IF(Pharma_Sales_Data[[#This Row],[Total Revenue]]&gt;=10000,"Medium Value","Low Value"))</f>
        <v>Low Value</v>
      </c>
    </row>
    <row r="2059" spans="1:16" x14ac:dyDescent="0.35">
      <c r="A2059" s="1">
        <v>43698</v>
      </c>
      <c r="B2059">
        <v>4.34</v>
      </c>
      <c r="C2059">
        <v>4</v>
      </c>
      <c r="D2059">
        <v>0</v>
      </c>
      <c r="E2059">
        <v>19.45</v>
      </c>
      <c r="F2059">
        <v>10</v>
      </c>
      <c r="G2059">
        <v>0</v>
      </c>
      <c r="H2059">
        <v>5</v>
      </c>
      <c r="I2059">
        <v>3</v>
      </c>
      <c r="J2059">
        <v>2019</v>
      </c>
      <c r="K2059">
        <v>8</v>
      </c>
      <c r="L2059" t="s">
        <v>17</v>
      </c>
      <c r="M2059">
        <f>SUM(Pharma_Sales_Data[[#This Row],[M01AB]:[R06]])</f>
        <v>45.79</v>
      </c>
      <c r="N2059" s="2">
        <f>Pharma_Sales_Data[[#This Row],[Total Drug Sales]]*150</f>
        <v>6868.5</v>
      </c>
      <c r="O2059" s="2">
        <f>Pharma_Sales_Data[[#This Row],[Total Revenue]]*0.3</f>
        <v>2060.5499999999997</v>
      </c>
      <c r="P2059" t="str">
        <f>IF(Pharma_Sales_Data[[#This Row],[Total Revenue]]&gt;20000,"High Value", IF(Pharma_Sales_Data[[#This Row],[Total Revenue]]&gt;=10000,"Medium Value","Low Value"))</f>
        <v>Low Value</v>
      </c>
    </row>
    <row r="2060" spans="1:16" x14ac:dyDescent="0.35">
      <c r="A2060" s="1">
        <v>43699</v>
      </c>
      <c r="B2060">
        <v>5.34</v>
      </c>
      <c r="C2060">
        <v>4</v>
      </c>
      <c r="D2060">
        <v>2</v>
      </c>
      <c r="E2060">
        <v>20</v>
      </c>
      <c r="F2060">
        <v>8</v>
      </c>
      <c r="G2060">
        <v>2</v>
      </c>
      <c r="H2060">
        <v>10</v>
      </c>
      <c r="I2060">
        <v>3</v>
      </c>
      <c r="J2060">
        <v>2019</v>
      </c>
      <c r="K2060">
        <v>8</v>
      </c>
      <c r="L2060" t="s">
        <v>11</v>
      </c>
      <c r="M2060">
        <f>SUM(Pharma_Sales_Data[[#This Row],[M01AB]:[R06]])</f>
        <v>54.34</v>
      </c>
      <c r="N2060" s="2">
        <f>Pharma_Sales_Data[[#This Row],[Total Drug Sales]]*150</f>
        <v>8151.0000000000009</v>
      </c>
      <c r="O2060" s="2">
        <f>Pharma_Sales_Data[[#This Row],[Total Revenue]]*0.3</f>
        <v>2445.3000000000002</v>
      </c>
      <c r="P2060" t="str">
        <f>IF(Pharma_Sales_Data[[#This Row],[Total Revenue]]&gt;20000,"High Value", IF(Pharma_Sales_Data[[#This Row],[Total Revenue]]&gt;=10000,"Medium Value","Low Value"))</f>
        <v>Low Value</v>
      </c>
    </row>
    <row r="2061" spans="1:16" x14ac:dyDescent="0.35">
      <c r="A2061" s="1">
        <v>43700</v>
      </c>
      <c r="B2061">
        <v>9.67</v>
      </c>
      <c r="C2061">
        <v>5.1559999999999997</v>
      </c>
      <c r="D2061">
        <v>4.05</v>
      </c>
      <c r="E2061">
        <v>12</v>
      </c>
      <c r="F2061">
        <v>11</v>
      </c>
      <c r="G2061">
        <v>2</v>
      </c>
      <c r="H2061">
        <v>4</v>
      </c>
      <c r="I2061">
        <v>2</v>
      </c>
      <c r="J2061">
        <v>2019</v>
      </c>
      <c r="K2061">
        <v>8</v>
      </c>
      <c r="L2061" t="s">
        <v>12</v>
      </c>
      <c r="M2061">
        <f>SUM(Pharma_Sales_Data[[#This Row],[M01AB]:[R06]])</f>
        <v>49.876000000000005</v>
      </c>
      <c r="N2061" s="2">
        <f>Pharma_Sales_Data[[#This Row],[Total Drug Sales]]*150</f>
        <v>7481.4000000000005</v>
      </c>
      <c r="O2061" s="2">
        <f>Pharma_Sales_Data[[#This Row],[Total Revenue]]*0.3</f>
        <v>2244.42</v>
      </c>
      <c r="P2061" t="str">
        <f>IF(Pharma_Sales_Data[[#This Row],[Total Revenue]]&gt;20000,"High Value", IF(Pharma_Sales_Data[[#This Row],[Total Revenue]]&gt;=10000,"Medium Value","Low Value"))</f>
        <v>Low Value</v>
      </c>
    </row>
    <row r="2062" spans="1:16" x14ac:dyDescent="0.35">
      <c r="A2062" s="1">
        <v>43701</v>
      </c>
      <c r="B2062">
        <v>13.84</v>
      </c>
      <c r="C2062">
        <v>6.02</v>
      </c>
      <c r="D2062">
        <v>3</v>
      </c>
      <c r="E2062">
        <v>24.6</v>
      </c>
      <c r="F2062">
        <v>9</v>
      </c>
      <c r="G2062">
        <v>0</v>
      </c>
      <c r="H2062">
        <v>0</v>
      </c>
      <c r="I2062">
        <v>5.5</v>
      </c>
      <c r="J2062">
        <v>2019</v>
      </c>
      <c r="K2062">
        <v>8</v>
      </c>
      <c r="L2062" t="s">
        <v>13</v>
      </c>
      <c r="M2062">
        <f>SUM(Pharma_Sales_Data[[#This Row],[M01AB]:[R06]])</f>
        <v>61.96</v>
      </c>
      <c r="N2062" s="2">
        <f>Pharma_Sales_Data[[#This Row],[Total Drug Sales]]*150</f>
        <v>9294</v>
      </c>
      <c r="O2062" s="2">
        <f>Pharma_Sales_Data[[#This Row],[Total Revenue]]*0.3</f>
        <v>2788.2</v>
      </c>
      <c r="P2062" t="str">
        <f>IF(Pharma_Sales_Data[[#This Row],[Total Revenue]]&gt;20000,"High Value", IF(Pharma_Sales_Data[[#This Row],[Total Revenue]]&gt;=10000,"Medium Value","Low Value"))</f>
        <v>Low Value</v>
      </c>
    </row>
    <row r="2063" spans="1:16" x14ac:dyDescent="0.35">
      <c r="A2063" s="1">
        <v>43702</v>
      </c>
      <c r="B2063">
        <v>3</v>
      </c>
      <c r="C2063">
        <v>3.35</v>
      </c>
      <c r="D2063">
        <v>2</v>
      </c>
      <c r="E2063">
        <v>17</v>
      </c>
      <c r="F2063">
        <v>4</v>
      </c>
      <c r="G2063">
        <v>0</v>
      </c>
      <c r="H2063">
        <v>3</v>
      </c>
      <c r="I2063">
        <v>0</v>
      </c>
      <c r="J2063">
        <v>2019</v>
      </c>
      <c r="K2063">
        <v>8</v>
      </c>
      <c r="L2063" t="s">
        <v>14</v>
      </c>
      <c r="M2063">
        <f>SUM(Pharma_Sales_Data[[#This Row],[M01AB]:[R06]])</f>
        <v>32.35</v>
      </c>
      <c r="N2063" s="2">
        <f>Pharma_Sales_Data[[#This Row],[Total Drug Sales]]*150</f>
        <v>4852.5</v>
      </c>
      <c r="O2063" s="2">
        <f>Pharma_Sales_Data[[#This Row],[Total Revenue]]*0.3</f>
        <v>1455.75</v>
      </c>
      <c r="P2063" t="str">
        <f>IF(Pharma_Sales_Data[[#This Row],[Total Revenue]]&gt;20000,"High Value", IF(Pharma_Sales_Data[[#This Row],[Total Revenue]]&gt;=10000,"Medium Value","Low Value"))</f>
        <v>Low Value</v>
      </c>
    </row>
    <row r="2064" spans="1:16" x14ac:dyDescent="0.35">
      <c r="A2064" s="1">
        <v>43703</v>
      </c>
      <c r="B2064">
        <v>2.67</v>
      </c>
      <c r="C2064">
        <v>2.3730000000000002</v>
      </c>
      <c r="D2064">
        <v>3</v>
      </c>
      <c r="E2064">
        <v>18</v>
      </c>
      <c r="F2064">
        <v>11</v>
      </c>
      <c r="G2064">
        <v>0</v>
      </c>
      <c r="H2064">
        <v>3</v>
      </c>
      <c r="I2064">
        <v>3</v>
      </c>
      <c r="J2064">
        <v>2019</v>
      </c>
      <c r="K2064">
        <v>8</v>
      </c>
      <c r="L2064" t="s">
        <v>15</v>
      </c>
      <c r="M2064">
        <f>SUM(Pharma_Sales_Data[[#This Row],[M01AB]:[R06]])</f>
        <v>43.042999999999999</v>
      </c>
      <c r="N2064" s="2">
        <f>Pharma_Sales_Data[[#This Row],[Total Drug Sales]]*150</f>
        <v>6456.45</v>
      </c>
      <c r="O2064" s="2">
        <f>Pharma_Sales_Data[[#This Row],[Total Revenue]]*0.3</f>
        <v>1936.9349999999999</v>
      </c>
      <c r="P2064" t="str">
        <f>IF(Pharma_Sales_Data[[#This Row],[Total Revenue]]&gt;20000,"High Value", IF(Pharma_Sales_Data[[#This Row],[Total Revenue]]&gt;=10000,"Medium Value","Low Value"))</f>
        <v>Low Value</v>
      </c>
    </row>
    <row r="2065" spans="1:16" x14ac:dyDescent="0.35">
      <c r="A2065" s="1">
        <v>43704</v>
      </c>
      <c r="B2065">
        <v>2.34</v>
      </c>
      <c r="C2065">
        <v>2.0099999999999998</v>
      </c>
      <c r="D2065">
        <v>3</v>
      </c>
      <c r="E2065">
        <v>21</v>
      </c>
      <c r="F2065">
        <v>3</v>
      </c>
      <c r="G2065">
        <v>0</v>
      </c>
      <c r="H2065">
        <v>0</v>
      </c>
      <c r="I2065">
        <v>5</v>
      </c>
      <c r="J2065">
        <v>2019</v>
      </c>
      <c r="K2065">
        <v>8</v>
      </c>
      <c r="L2065" t="s">
        <v>16</v>
      </c>
      <c r="M2065">
        <f>SUM(Pharma_Sales_Data[[#This Row],[M01AB]:[R06]])</f>
        <v>36.35</v>
      </c>
      <c r="N2065" s="2">
        <f>Pharma_Sales_Data[[#This Row],[Total Drug Sales]]*150</f>
        <v>5452.5</v>
      </c>
      <c r="O2065" s="2">
        <f>Pharma_Sales_Data[[#This Row],[Total Revenue]]*0.3</f>
        <v>1635.75</v>
      </c>
      <c r="P2065" t="str">
        <f>IF(Pharma_Sales_Data[[#This Row],[Total Revenue]]&gt;20000,"High Value", IF(Pharma_Sales_Data[[#This Row],[Total Revenue]]&gt;=10000,"Medium Value","Low Value"))</f>
        <v>Low Value</v>
      </c>
    </row>
    <row r="2066" spans="1:16" x14ac:dyDescent="0.35">
      <c r="A2066" s="1">
        <v>43705</v>
      </c>
      <c r="B2066">
        <v>3.33</v>
      </c>
      <c r="C2066">
        <v>1.427</v>
      </c>
      <c r="D2066">
        <v>5</v>
      </c>
      <c r="E2066">
        <v>10</v>
      </c>
      <c r="F2066">
        <v>6</v>
      </c>
      <c r="G2066">
        <v>1</v>
      </c>
      <c r="H2066">
        <v>0</v>
      </c>
      <c r="I2066">
        <v>2</v>
      </c>
      <c r="J2066">
        <v>2019</v>
      </c>
      <c r="K2066">
        <v>8</v>
      </c>
      <c r="L2066" t="s">
        <v>17</v>
      </c>
      <c r="M2066">
        <f>SUM(Pharma_Sales_Data[[#This Row],[M01AB]:[R06]])</f>
        <v>28.756999999999998</v>
      </c>
      <c r="N2066" s="2">
        <f>Pharma_Sales_Data[[#This Row],[Total Drug Sales]]*150</f>
        <v>4313.5499999999993</v>
      </c>
      <c r="O2066" s="2">
        <f>Pharma_Sales_Data[[#This Row],[Total Revenue]]*0.3</f>
        <v>1294.0649999999998</v>
      </c>
      <c r="P2066" t="str">
        <f>IF(Pharma_Sales_Data[[#This Row],[Total Revenue]]&gt;20000,"High Value", IF(Pharma_Sales_Data[[#This Row],[Total Revenue]]&gt;=10000,"Medium Value","Low Value"))</f>
        <v>Low Value</v>
      </c>
    </row>
    <row r="2067" spans="1:16" x14ac:dyDescent="0.35">
      <c r="A2067" s="1">
        <v>43706</v>
      </c>
      <c r="B2067">
        <v>9</v>
      </c>
      <c r="C2067">
        <v>1.68</v>
      </c>
      <c r="D2067">
        <v>5</v>
      </c>
      <c r="E2067">
        <v>17.399999999999999</v>
      </c>
      <c r="F2067">
        <v>9</v>
      </c>
      <c r="G2067">
        <v>1</v>
      </c>
      <c r="H2067">
        <v>1</v>
      </c>
      <c r="I2067">
        <v>2</v>
      </c>
      <c r="J2067">
        <v>2019</v>
      </c>
      <c r="K2067">
        <v>8</v>
      </c>
      <c r="L2067" t="s">
        <v>11</v>
      </c>
      <c r="M2067">
        <f>SUM(Pharma_Sales_Data[[#This Row],[M01AB]:[R06]])</f>
        <v>46.08</v>
      </c>
      <c r="N2067" s="2">
        <f>Pharma_Sales_Data[[#This Row],[Total Drug Sales]]*150</f>
        <v>6912</v>
      </c>
      <c r="O2067" s="2">
        <f>Pharma_Sales_Data[[#This Row],[Total Revenue]]*0.3</f>
        <v>2073.6</v>
      </c>
      <c r="P2067" t="str">
        <f>IF(Pharma_Sales_Data[[#This Row],[Total Revenue]]&gt;20000,"High Value", IF(Pharma_Sales_Data[[#This Row],[Total Revenue]]&gt;=10000,"Medium Value","Low Value"))</f>
        <v>Low Value</v>
      </c>
    </row>
    <row r="2068" spans="1:16" x14ac:dyDescent="0.35">
      <c r="A2068" s="1">
        <v>43707</v>
      </c>
      <c r="B2068">
        <v>6.34</v>
      </c>
      <c r="C2068">
        <v>1.056</v>
      </c>
      <c r="D2068">
        <v>2</v>
      </c>
      <c r="E2068">
        <v>19</v>
      </c>
      <c r="F2068">
        <v>3</v>
      </c>
      <c r="G2068">
        <v>0</v>
      </c>
      <c r="H2068">
        <v>2</v>
      </c>
      <c r="I2068">
        <v>5.0999999999999996</v>
      </c>
      <c r="J2068">
        <v>2019</v>
      </c>
      <c r="K2068">
        <v>8</v>
      </c>
      <c r="L2068" t="s">
        <v>12</v>
      </c>
      <c r="M2068">
        <f>SUM(Pharma_Sales_Data[[#This Row],[M01AB]:[R06]])</f>
        <v>38.496000000000002</v>
      </c>
      <c r="N2068" s="2">
        <f>Pharma_Sales_Data[[#This Row],[Total Drug Sales]]*150</f>
        <v>5774.4000000000005</v>
      </c>
      <c r="O2068" s="2">
        <f>Pharma_Sales_Data[[#This Row],[Total Revenue]]*0.3</f>
        <v>1732.3200000000002</v>
      </c>
      <c r="P2068" t="str">
        <f>IF(Pharma_Sales_Data[[#This Row],[Total Revenue]]&gt;20000,"High Value", IF(Pharma_Sales_Data[[#This Row],[Total Revenue]]&gt;=10000,"Medium Value","Low Value"))</f>
        <v>Low Value</v>
      </c>
    </row>
    <row r="2069" spans="1:16" x14ac:dyDescent="0.35">
      <c r="A2069" s="1">
        <v>43708</v>
      </c>
      <c r="B2069">
        <v>4.68</v>
      </c>
      <c r="C2069">
        <v>3.9359999999999999</v>
      </c>
      <c r="D2069">
        <v>2</v>
      </c>
      <c r="E2069">
        <v>15</v>
      </c>
      <c r="F2069">
        <v>5</v>
      </c>
      <c r="G2069">
        <v>1</v>
      </c>
      <c r="H2069">
        <v>4</v>
      </c>
      <c r="I2069">
        <v>6</v>
      </c>
      <c r="J2069">
        <v>2019</v>
      </c>
      <c r="K2069">
        <v>8</v>
      </c>
      <c r="L2069" t="s">
        <v>13</v>
      </c>
      <c r="M2069">
        <f>SUM(Pharma_Sales_Data[[#This Row],[M01AB]:[R06]])</f>
        <v>41.616</v>
      </c>
      <c r="N2069" s="2">
        <f>Pharma_Sales_Data[[#This Row],[Total Drug Sales]]*150</f>
        <v>6242.4</v>
      </c>
      <c r="O2069" s="2">
        <f>Pharma_Sales_Data[[#This Row],[Total Revenue]]*0.3</f>
        <v>1872.7199999999998</v>
      </c>
      <c r="P2069" t="str">
        <f>IF(Pharma_Sales_Data[[#This Row],[Total Revenue]]&gt;20000,"High Value", IF(Pharma_Sales_Data[[#This Row],[Total Revenue]]&gt;=10000,"Medium Value","Low Value"))</f>
        <v>Low Value</v>
      </c>
    </row>
    <row r="2070" spans="1:16" x14ac:dyDescent="0.35">
      <c r="A2070" s="1">
        <v>43709</v>
      </c>
      <c r="B2070">
        <v>2</v>
      </c>
      <c r="C2070">
        <v>4.3600000000000003</v>
      </c>
      <c r="D2070">
        <v>5</v>
      </c>
      <c r="E2070">
        <v>17</v>
      </c>
      <c r="F2070">
        <v>8.1999999999999993</v>
      </c>
      <c r="G2070">
        <v>1</v>
      </c>
      <c r="H2070">
        <v>5</v>
      </c>
      <c r="I2070">
        <v>4</v>
      </c>
      <c r="J2070">
        <v>2019</v>
      </c>
      <c r="K2070">
        <v>9</v>
      </c>
      <c r="L2070" t="s">
        <v>14</v>
      </c>
      <c r="M2070">
        <f>SUM(Pharma_Sales_Data[[#This Row],[M01AB]:[R06]])</f>
        <v>46.56</v>
      </c>
      <c r="N2070" s="2">
        <f>Pharma_Sales_Data[[#This Row],[Total Drug Sales]]*150</f>
        <v>6984</v>
      </c>
      <c r="O2070" s="2">
        <f>Pharma_Sales_Data[[#This Row],[Total Revenue]]*0.3</f>
        <v>2095.1999999999998</v>
      </c>
      <c r="P2070" t="str">
        <f>IF(Pharma_Sales_Data[[#This Row],[Total Revenue]]&gt;20000,"High Value", IF(Pharma_Sales_Data[[#This Row],[Total Revenue]]&gt;=10000,"Medium Value","Low Value"))</f>
        <v>Low Value</v>
      </c>
    </row>
    <row r="2071" spans="1:16" x14ac:dyDescent="0.35">
      <c r="A2071" s="1">
        <v>43710</v>
      </c>
      <c r="B2071">
        <v>5.33</v>
      </c>
      <c r="C2071">
        <v>2.0870000000000002</v>
      </c>
      <c r="D2071">
        <v>2.5</v>
      </c>
      <c r="E2071">
        <v>18</v>
      </c>
      <c r="F2071">
        <v>7</v>
      </c>
      <c r="G2071">
        <v>0</v>
      </c>
      <c r="H2071">
        <v>1</v>
      </c>
      <c r="I2071">
        <v>9</v>
      </c>
      <c r="J2071">
        <v>2019</v>
      </c>
      <c r="K2071">
        <v>9</v>
      </c>
      <c r="L2071" t="s">
        <v>15</v>
      </c>
      <c r="M2071">
        <f>SUM(Pharma_Sales_Data[[#This Row],[M01AB]:[R06]])</f>
        <v>44.917000000000002</v>
      </c>
      <c r="N2071" s="2">
        <f>Pharma_Sales_Data[[#This Row],[Total Drug Sales]]*150</f>
        <v>6737.55</v>
      </c>
      <c r="O2071" s="2">
        <f>Pharma_Sales_Data[[#This Row],[Total Revenue]]*0.3</f>
        <v>2021.2649999999999</v>
      </c>
      <c r="P2071" t="str">
        <f>IF(Pharma_Sales_Data[[#This Row],[Total Revenue]]&gt;20000,"High Value", IF(Pharma_Sales_Data[[#This Row],[Total Revenue]]&gt;=10000,"Medium Value","Low Value"))</f>
        <v>Low Value</v>
      </c>
    </row>
    <row r="2072" spans="1:16" x14ac:dyDescent="0.35">
      <c r="A2072" s="1">
        <v>43711</v>
      </c>
      <c r="B2072">
        <v>9.36</v>
      </c>
      <c r="C2072">
        <v>2.35</v>
      </c>
      <c r="D2072">
        <v>3.1</v>
      </c>
      <c r="E2072">
        <v>12.125</v>
      </c>
      <c r="F2072">
        <v>8</v>
      </c>
      <c r="G2072">
        <v>3</v>
      </c>
      <c r="H2072">
        <v>1</v>
      </c>
      <c r="I2072">
        <v>2</v>
      </c>
      <c r="J2072">
        <v>2019</v>
      </c>
      <c r="K2072">
        <v>9</v>
      </c>
      <c r="L2072" t="s">
        <v>16</v>
      </c>
      <c r="M2072">
        <f>SUM(Pharma_Sales_Data[[#This Row],[M01AB]:[R06]])</f>
        <v>40.935000000000002</v>
      </c>
      <c r="N2072" s="2">
        <f>Pharma_Sales_Data[[#This Row],[Total Drug Sales]]*150</f>
        <v>6140.25</v>
      </c>
      <c r="O2072" s="2">
        <f>Pharma_Sales_Data[[#This Row],[Total Revenue]]*0.3</f>
        <v>1842.0749999999998</v>
      </c>
      <c r="P2072" t="str">
        <f>IF(Pharma_Sales_Data[[#This Row],[Total Revenue]]&gt;20000,"High Value", IF(Pharma_Sales_Data[[#This Row],[Total Revenue]]&gt;=10000,"Medium Value","Low Value"))</f>
        <v>Low Value</v>
      </c>
    </row>
    <row r="2073" spans="1:16" x14ac:dyDescent="0.35">
      <c r="A2073" s="1">
        <v>43712</v>
      </c>
      <c r="B2073">
        <v>2</v>
      </c>
      <c r="C2073">
        <v>0.373</v>
      </c>
      <c r="D2073">
        <v>2.15</v>
      </c>
      <c r="E2073">
        <v>29.23</v>
      </c>
      <c r="F2073">
        <v>7</v>
      </c>
      <c r="G2073">
        <v>0</v>
      </c>
      <c r="H2073">
        <v>3</v>
      </c>
      <c r="I2073">
        <v>3</v>
      </c>
      <c r="J2073">
        <v>2019</v>
      </c>
      <c r="K2073">
        <v>9</v>
      </c>
      <c r="L2073" t="s">
        <v>17</v>
      </c>
      <c r="M2073">
        <f>SUM(Pharma_Sales_Data[[#This Row],[M01AB]:[R06]])</f>
        <v>46.753</v>
      </c>
      <c r="N2073" s="2">
        <f>Pharma_Sales_Data[[#This Row],[Total Drug Sales]]*150</f>
        <v>7012.95</v>
      </c>
      <c r="O2073" s="2">
        <f>Pharma_Sales_Data[[#This Row],[Total Revenue]]*0.3</f>
        <v>2103.8849999999998</v>
      </c>
      <c r="P2073" t="str">
        <f>IF(Pharma_Sales_Data[[#This Row],[Total Revenue]]&gt;20000,"High Value", IF(Pharma_Sales_Data[[#This Row],[Total Revenue]]&gt;=10000,"Medium Value","Low Value"))</f>
        <v>Low Value</v>
      </c>
    </row>
    <row r="2074" spans="1:16" x14ac:dyDescent="0.35">
      <c r="A2074" s="1">
        <v>43713</v>
      </c>
      <c r="B2074">
        <v>7</v>
      </c>
      <c r="C2074">
        <v>9.5299999999999994</v>
      </c>
      <c r="D2074">
        <v>2</v>
      </c>
      <c r="E2074">
        <v>14</v>
      </c>
      <c r="F2074">
        <v>1</v>
      </c>
      <c r="G2074">
        <v>0</v>
      </c>
      <c r="H2074">
        <v>1</v>
      </c>
      <c r="I2074">
        <v>8</v>
      </c>
      <c r="J2074">
        <v>2019</v>
      </c>
      <c r="K2074">
        <v>9</v>
      </c>
      <c r="L2074" t="s">
        <v>11</v>
      </c>
      <c r="M2074">
        <f>SUM(Pharma_Sales_Data[[#This Row],[M01AB]:[R06]])</f>
        <v>42.53</v>
      </c>
      <c r="N2074" s="2">
        <f>Pharma_Sales_Data[[#This Row],[Total Drug Sales]]*150</f>
        <v>6379.5</v>
      </c>
      <c r="O2074" s="2">
        <f>Pharma_Sales_Data[[#This Row],[Total Revenue]]*0.3</f>
        <v>1913.85</v>
      </c>
      <c r="P2074" t="str">
        <f>IF(Pharma_Sales_Data[[#This Row],[Total Revenue]]&gt;20000,"High Value", IF(Pharma_Sales_Data[[#This Row],[Total Revenue]]&gt;=10000,"Medium Value","Low Value"))</f>
        <v>Low Value</v>
      </c>
    </row>
    <row r="2075" spans="1:16" x14ac:dyDescent="0.35">
      <c r="A2075" s="1">
        <v>43714</v>
      </c>
      <c r="B2075">
        <v>1.68</v>
      </c>
      <c r="C2075">
        <v>2.67</v>
      </c>
      <c r="D2075">
        <v>1</v>
      </c>
      <c r="E2075">
        <v>28.4</v>
      </c>
      <c r="F2075">
        <v>7</v>
      </c>
      <c r="G2075">
        <v>0</v>
      </c>
      <c r="H2075">
        <v>0</v>
      </c>
      <c r="I2075">
        <v>1.5</v>
      </c>
      <c r="J2075">
        <v>2019</v>
      </c>
      <c r="K2075">
        <v>9</v>
      </c>
      <c r="L2075" t="s">
        <v>12</v>
      </c>
      <c r="M2075">
        <f>SUM(Pharma_Sales_Data[[#This Row],[M01AB]:[R06]])</f>
        <v>42.25</v>
      </c>
      <c r="N2075" s="2">
        <f>Pharma_Sales_Data[[#This Row],[Total Drug Sales]]*150</f>
        <v>6337.5</v>
      </c>
      <c r="O2075" s="2">
        <f>Pharma_Sales_Data[[#This Row],[Total Revenue]]*0.3</f>
        <v>1901.25</v>
      </c>
      <c r="P2075" t="str">
        <f>IF(Pharma_Sales_Data[[#This Row],[Total Revenue]]&gt;20000,"High Value", IF(Pharma_Sales_Data[[#This Row],[Total Revenue]]&gt;=10000,"Medium Value","Low Value"))</f>
        <v>Low Value</v>
      </c>
    </row>
    <row r="2076" spans="1:16" x14ac:dyDescent="0.35">
      <c r="A2076" s="1">
        <v>43715</v>
      </c>
      <c r="B2076">
        <v>8.33</v>
      </c>
      <c r="C2076">
        <v>3.67</v>
      </c>
      <c r="D2076">
        <v>2</v>
      </c>
      <c r="E2076">
        <v>27</v>
      </c>
      <c r="F2076">
        <v>14</v>
      </c>
      <c r="G2076">
        <v>3</v>
      </c>
      <c r="H2076">
        <v>6</v>
      </c>
      <c r="I2076">
        <v>2</v>
      </c>
      <c r="J2076">
        <v>2019</v>
      </c>
      <c r="K2076">
        <v>9</v>
      </c>
      <c r="L2076" t="s">
        <v>13</v>
      </c>
      <c r="M2076">
        <f>SUM(Pharma_Sales_Data[[#This Row],[M01AB]:[R06]])</f>
        <v>66</v>
      </c>
      <c r="N2076" s="2">
        <f>Pharma_Sales_Data[[#This Row],[Total Drug Sales]]*150</f>
        <v>9900</v>
      </c>
      <c r="O2076" s="2">
        <f>Pharma_Sales_Data[[#This Row],[Total Revenue]]*0.3</f>
        <v>2970</v>
      </c>
      <c r="P2076" t="str">
        <f>IF(Pharma_Sales_Data[[#This Row],[Total Revenue]]&gt;20000,"High Value", IF(Pharma_Sales_Data[[#This Row],[Total Revenue]]&gt;=10000,"Medium Value","Low Value"))</f>
        <v>Low Value</v>
      </c>
    </row>
    <row r="2077" spans="1:16" x14ac:dyDescent="0.35">
      <c r="A2077" s="1">
        <v>43716</v>
      </c>
      <c r="B2077">
        <v>7.01</v>
      </c>
      <c r="C2077">
        <v>6.0869999999999997</v>
      </c>
      <c r="D2077">
        <v>3</v>
      </c>
      <c r="E2077">
        <v>26</v>
      </c>
      <c r="F2077">
        <v>7</v>
      </c>
      <c r="G2077">
        <v>0</v>
      </c>
      <c r="H2077">
        <v>3</v>
      </c>
      <c r="I2077">
        <v>3</v>
      </c>
      <c r="J2077">
        <v>2019</v>
      </c>
      <c r="K2077">
        <v>9</v>
      </c>
      <c r="L2077" t="s">
        <v>14</v>
      </c>
      <c r="M2077">
        <f>SUM(Pharma_Sales_Data[[#This Row],[M01AB]:[R06]])</f>
        <v>55.097000000000001</v>
      </c>
      <c r="N2077" s="2">
        <f>Pharma_Sales_Data[[#This Row],[Total Drug Sales]]*150</f>
        <v>8264.5500000000011</v>
      </c>
      <c r="O2077" s="2">
        <f>Pharma_Sales_Data[[#This Row],[Total Revenue]]*0.3</f>
        <v>2479.3650000000002</v>
      </c>
      <c r="P2077" t="str">
        <f>IF(Pharma_Sales_Data[[#This Row],[Total Revenue]]&gt;20000,"High Value", IF(Pharma_Sales_Data[[#This Row],[Total Revenue]]&gt;=10000,"Medium Value","Low Value"))</f>
        <v>Low Value</v>
      </c>
    </row>
    <row r="2078" spans="1:16" x14ac:dyDescent="0.35">
      <c r="A2078" s="1">
        <v>43717</v>
      </c>
      <c r="B2078">
        <v>1.18</v>
      </c>
      <c r="C2078">
        <v>2.1240000000000001</v>
      </c>
      <c r="D2078">
        <v>3</v>
      </c>
      <c r="E2078">
        <v>26</v>
      </c>
      <c r="F2078">
        <v>4</v>
      </c>
      <c r="G2078">
        <v>3</v>
      </c>
      <c r="H2078">
        <v>5</v>
      </c>
      <c r="I2078">
        <v>2</v>
      </c>
      <c r="J2078">
        <v>2019</v>
      </c>
      <c r="K2078">
        <v>9</v>
      </c>
      <c r="L2078" t="s">
        <v>15</v>
      </c>
      <c r="M2078">
        <f>SUM(Pharma_Sales_Data[[#This Row],[M01AB]:[R06]])</f>
        <v>46.304000000000002</v>
      </c>
      <c r="N2078" s="2">
        <f>Pharma_Sales_Data[[#This Row],[Total Drug Sales]]*150</f>
        <v>6945.6</v>
      </c>
      <c r="O2078" s="2">
        <f>Pharma_Sales_Data[[#This Row],[Total Revenue]]*0.3</f>
        <v>2083.6799999999998</v>
      </c>
      <c r="P2078" t="str">
        <f>IF(Pharma_Sales_Data[[#This Row],[Total Revenue]]&gt;20000,"High Value", IF(Pharma_Sales_Data[[#This Row],[Total Revenue]]&gt;=10000,"Medium Value","Low Value"))</f>
        <v>Low Value</v>
      </c>
    </row>
    <row r="2079" spans="1:16" x14ac:dyDescent="0.35">
      <c r="A2079" s="1">
        <v>43718</v>
      </c>
      <c r="B2079">
        <v>8.66</v>
      </c>
      <c r="C2079">
        <v>6.68</v>
      </c>
      <c r="D2079">
        <v>4.2</v>
      </c>
      <c r="E2079">
        <v>22</v>
      </c>
      <c r="F2079">
        <v>17</v>
      </c>
      <c r="G2079">
        <v>0</v>
      </c>
      <c r="H2079">
        <v>1</v>
      </c>
      <c r="I2079">
        <v>1</v>
      </c>
      <c r="J2079">
        <v>2019</v>
      </c>
      <c r="K2079">
        <v>9</v>
      </c>
      <c r="L2079" t="s">
        <v>16</v>
      </c>
      <c r="M2079">
        <f>SUM(Pharma_Sales_Data[[#This Row],[M01AB]:[R06]])</f>
        <v>60.54</v>
      </c>
      <c r="N2079" s="2">
        <f>Pharma_Sales_Data[[#This Row],[Total Drug Sales]]*150</f>
        <v>9081</v>
      </c>
      <c r="O2079" s="2">
        <f>Pharma_Sales_Data[[#This Row],[Total Revenue]]*0.3</f>
        <v>2724.2999999999997</v>
      </c>
      <c r="P2079" t="str">
        <f>IF(Pharma_Sales_Data[[#This Row],[Total Revenue]]&gt;20000,"High Value", IF(Pharma_Sales_Data[[#This Row],[Total Revenue]]&gt;=10000,"Medium Value","Low Value"))</f>
        <v>Low Value</v>
      </c>
    </row>
    <row r="2080" spans="1:16" x14ac:dyDescent="0.35">
      <c r="A2080" s="1">
        <v>43719</v>
      </c>
      <c r="B2080">
        <v>2.67</v>
      </c>
      <c r="C2080">
        <v>5.0759999999999996</v>
      </c>
      <c r="D2080">
        <v>3</v>
      </c>
      <c r="E2080">
        <v>42</v>
      </c>
      <c r="F2080">
        <v>5</v>
      </c>
      <c r="G2080">
        <v>0</v>
      </c>
      <c r="H2080">
        <v>5</v>
      </c>
      <c r="I2080">
        <v>2.5</v>
      </c>
      <c r="J2080">
        <v>2019</v>
      </c>
      <c r="K2080">
        <v>9</v>
      </c>
      <c r="L2080" t="s">
        <v>17</v>
      </c>
      <c r="M2080">
        <f>SUM(Pharma_Sales_Data[[#This Row],[M01AB]:[R06]])</f>
        <v>65.245999999999995</v>
      </c>
      <c r="N2080" s="2">
        <f>Pharma_Sales_Data[[#This Row],[Total Drug Sales]]*150</f>
        <v>9786.9</v>
      </c>
      <c r="O2080" s="2">
        <f>Pharma_Sales_Data[[#This Row],[Total Revenue]]*0.3</f>
        <v>2936.0699999999997</v>
      </c>
      <c r="P2080" t="str">
        <f>IF(Pharma_Sales_Data[[#This Row],[Total Revenue]]&gt;20000,"High Value", IF(Pharma_Sales_Data[[#This Row],[Total Revenue]]&gt;=10000,"Medium Value","Low Value"))</f>
        <v>Low Value</v>
      </c>
    </row>
    <row r="2081" spans="1:16" x14ac:dyDescent="0.35">
      <c r="A2081" s="1">
        <v>43720</v>
      </c>
      <c r="B2081">
        <v>2.33</v>
      </c>
      <c r="C2081">
        <v>1.34</v>
      </c>
      <c r="D2081">
        <v>2</v>
      </c>
      <c r="E2081">
        <v>21.975000000000001</v>
      </c>
      <c r="F2081">
        <v>11.2</v>
      </c>
      <c r="G2081">
        <v>0</v>
      </c>
      <c r="H2081">
        <v>10</v>
      </c>
      <c r="I2081">
        <v>4</v>
      </c>
      <c r="J2081">
        <v>2019</v>
      </c>
      <c r="K2081">
        <v>9</v>
      </c>
      <c r="L2081" t="s">
        <v>11</v>
      </c>
      <c r="M2081">
        <f>SUM(Pharma_Sales_Data[[#This Row],[M01AB]:[R06]])</f>
        <v>52.844999999999999</v>
      </c>
      <c r="N2081" s="2">
        <f>Pharma_Sales_Data[[#This Row],[Total Drug Sales]]*150</f>
        <v>7926.75</v>
      </c>
      <c r="O2081" s="2">
        <f>Pharma_Sales_Data[[#This Row],[Total Revenue]]*0.3</f>
        <v>2378.0250000000001</v>
      </c>
      <c r="P2081" t="str">
        <f>IF(Pharma_Sales_Data[[#This Row],[Total Revenue]]&gt;20000,"High Value", IF(Pharma_Sales_Data[[#This Row],[Total Revenue]]&gt;=10000,"Medium Value","Low Value"))</f>
        <v>Low Value</v>
      </c>
    </row>
    <row r="2082" spans="1:16" x14ac:dyDescent="0.35">
      <c r="A2082" s="1">
        <v>43721</v>
      </c>
      <c r="B2082">
        <v>6.34</v>
      </c>
      <c r="C2082">
        <v>3.35</v>
      </c>
      <c r="D2082">
        <v>2</v>
      </c>
      <c r="E2082">
        <v>17</v>
      </c>
      <c r="F2082">
        <v>12</v>
      </c>
      <c r="G2082">
        <v>2</v>
      </c>
      <c r="H2082">
        <v>5</v>
      </c>
      <c r="I2082">
        <v>5</v>
      </c>
      <c r="J2082">
        <v>2019</v>
      </c>
      <c r="K2082">
        <v>9</v>
      </c>
      <c r="L2082" t="s">
        <v>12</v>
      </c>
      <c r="M2082">
        <f>SUM(Pharma_Sales_Data[[#This Row],[M01AB]:[R06]])</f>
        <v>52.69</v>
      </c>
      <c r="N2082" s="2">
        <f>Pharma_Sales_Data[[#This Row],[Total Drug Sales]]*150</f>
        <v>7903.5</v>
      </c>
      <c r="O2082" s="2">
        <f>Pharma_Sales_Data[[#This Row],[Total Revenue]]*0.3</f>
        <v>2371.0499999999997</v>
      </c>
      <c r="P2082" t="str">
        <f>IF(Pharma_Sales_Data[[#This Row],[Total Revenue]]&gt;20000,"High Value", IF(Pharma_Sales_Data[[#This Row],[Total Revenue]]&gt;=10000,"Medium Value","Low Value"))</f>
        <v>Low Value</v>
      </c>
    </row>
    <row r="2083" spans="1:16" x14ac:dyDescent="0.35">
      <c r="A2083" s="1">
        <v>43722</v>
      </c>
      <c r="B2083">
        <v>8.99</v>
      </c>
      <c r="C2083">
        <v>6.3970000000000002</v>
      </c>
      <c r="D2083">
        <v>3.45</v>
      </c>
      <c r="E2083">
        <v>24</v>
      </c>
      <c r="F2083">
        <v>12</v>
      </c>
      <c r="G2083">
        <v>0</v>
      </c>
      <c r="H2083">
        <v>2</v>
      </c>
      <c r="I2083">
        <v>10</v>
      </c>
      <c r="J2083">
        <v>2019</v>
      </c>
      <c r="K2083">
        <v>9</v>
      </c>
      <c r="L2083" t="s">
        <v>13</v>
      </c>
      <c r="M2083">
        <f>SUM(Pharma_Sales_Data[[#This Row],[M01AB]:[R06]])</f>
        <v>66.837000000000003</v>
      </c>
      <c r="N2083" s="2">
        <f>Pharma_Sales_Data[[#This Row],[Total Drug Sales]]*150</f>
        <v>10025.550000000001</v>
      </c>
      <c r="O2083" s="2">
        <f>Pharma_Sales_Data[[#This Row],[Total Revenue]]*0.3</f>
        <v>3007.6650000000004</v>
      </c>
      <c r="P2083" t="str">
        <f>IF(Pharma_Sales_Data[[#This Row],[Total Revenue]]&gt;20000,"High Value", IF(Pharma_Sales_Data[[#This Row],[Total Revenue]]&gt;=10000,"Medium Value","Low Value"))</f>
        <v>Medium Value</v>
      </c>
    </row>
    <row r="2084" spans="1:16" x14ac:dyDescent="0.35">
      <c r="A2084" s="1">
        <v>43723</v>
      </c>
      <c r="B2084">
        <v>5.34</v>
      </c>
      <c r="C2084">
        <v>6.01</v>
      </c>
      <c r="D2084">
        <v>2</v>
      </c>
      <c r="E2084">
        <v>25.4</v>
      </c>
      <c r="F2084">
        <v>6</v>
      </c>
      <c r="G2084">
        <v>0</v>
      </c>
      <c r="H2084">
        <v>2</v>
      </c>
      <c r="I2084">
        <v>6</v>
      </c>
      <c r="J2084">
        <v>2019</v>
      </c>
      <c r="K2084">
        <v>9</v>
      </c>
      <c r="L2084" t="s">
        <v>14</v>
      </c>
      <c r="M2084">
        <f>SUM(Pharma_Sales_Data[[#This Row],[M01AB]:[R06]])</f>
        <v>52.75</v>
      </c>
      <c r="N2084" s="2">
        <f>Pharma_Sales_Data[[#This Row],[Total Drug Sales]]*150</f>
        <v>7912.5</v>
      </c>
      <c r="O2084" s="2">
        <f>Pharma_Sales_Data[[#This Row],[Total Revenue]]*0.3</f>
        <v>2373.75</v>
      </c>
      <c r="P2084" t="str">
        <f>IF(Pharma_Sales_Data[[#This Row],[Total Revenue]]&gt;20000,"High Value", IF(Pharma_Sales_Data[[#This Row],[Total Revenue]]&gt;=10000,"Medium Value","Low Value"))</f>
        <v>Low Value</v>
      </c>
    </row>
    <row r="2085" spans="1:16" x14ac:dyDescent="0.35">
      <c r="A2085" s="1">
        <v>43724</v>
      </c>
      <c r="B2085">
        <v>9.33</v>
      </c>
      <c r="C2085">
        <v>2.3159999999999998</v>
      </c>
      <c r="D2085">
        <v>3</v>
      </c>
      <c r="E2085">
        <v>22</v>
      </c>
      <c r="F2085">
        <v>5</v>
      </c>
      <c r="G2085">
        <v>1</v>
      </c>
      <c r="H2085">
        <v>0</v>
      </c>
      <c r="I2085">
        <v>2</v>
      </c>
      <c r="J2085">
        <v>2019</v>
      </c>
      <c r="K2085">
        <v>9</v>
      </c>
      <c r="L2085" t="s">
        <v>15</v>
      </c>
      <c r="M2085">
        <f>SUM(Pharma_Sales_Data[[#This Row],[M01AB]:[R06]])</f>
        <v>44.646000000000001</v>
      </c>
      <c r="N2085" s="2">
        <f>Pharma_Sales_Data[[#This Row],[Total Drug Sales]]*150</f>
        <v>6696.9000000000005</v>
      </c>
      <c r="O2085" s="2">
        <f>Pharma_Sales_Data[[#This Row],[Total Revenue]]*0.3</f>
        <v>2009.0700000000002</v>
      </c>
      <c r="P2085" t="str">
        <f>IF(Pharma_Sales_Data[[#This Row],[Total Revenue]]&gt;20000,"High Value", IF(Pharma_Sales_Data[[#This Row],[Total Revenue]]&gt;=10000,"Medium Value","Low Value"))</f>
        <v>Low Value</v>
      </c>
    </row>
    <row r="2086" spans="1:16" x14ac:dyDescent="0.35">
      <c r="A2086" s="1">
        <v>43725</v>
      </c>
      <c r="B2086">
        <v>4.5</v>
      </c>
      <c r="C2086">
        <v>3.0070000000000001</v>
      </c>
      <c r="D2086">
        <v>6.5</v>
      </c>
      <c r="E2086">
        <v>19.2</v>
      </c>
      <c r="F2086">
        <v>8.1999999999999993</v>
      </c>
      <c r="G2086">
        <v>0</v>
      </c>
      <c r="H2086">
        <v>6</v>
      </c>
      <c r="I2086">
        <v>2</v>
      </c>
      <c r="J2086">
        <v>2019</v>
      </c>
      <c r="K2086">
        <v>9</v>
      </c>
      <c r="L2086" t="s">
        <v>16</v>
      </c>
      <c r="M2086">
        <f>SUM(Pharma_Sales_Data[[#This Row],[M01AB]:[R06]])</f>
        <v>49.406999999999996</v>
      </c>
      <c r="N2086" s="2">
        <f>Pharma_Sales_Data[[#This Row],[Total Drug Sales]]*150</f>
        <v>7411.0499999999993</v>
      </c>
      <c r="O2086" s="2">
        <f>Pharma_Sales_Data[[#This Row],[Total Revenue]]*0.3</f>
        <v>2223.3149999999996</v>
      </c>
      <c r="P2086" t="str">
        <f>IF(Pharma_Sales_Data[[#This Row],[Total Revenue]]&gt;20000,"High Value", IF(Pharma_Sales_Data[[#This Row],[Total Revenue]]&gt;=10000,"Medium Value","Low Value"))</f>
        <v>Low Value</v>
      </c>
    </row>
    <row r="2087" spans="1:16" x14ac:dyDescent="0.35">
      <c r="A2087" s="1">
        <v>43726</v>
      </c>
      <c r="B2087">
        <v>6.33</v>
      </c>
      <c r="C2087">
        <v>4.33</v>
      </c>
      <c r="D2087">
        <v>7</v>
      </c>
      <c r="E2087">
        <v>22</v>
      </c>
      <c r="F2087">
        <v>4</v>
      </c>
      <c r="G2087">
        <v>0</v>
      </c>
      <c r="H2087">
        <v>2</v>
      </c>
      <c r="I2087">
        <v>2</v>
      </c>
      <c r="J2087">
        <v>2019</v>
      </c>
      <c r="K2087">
        <v>9</v>
      </c>
      <c r="L2087" t="s">
        <v>17</v>
      </c>
      <c r="M2087">
        <f>SUM(Pharma_Sales_Data[[#This Row],[M01AB]:[R06]])</f>
        <v>47.66</v>
      </c>
      <c r="N2087" s="2">
        <f>Pharma_Sales_Data[[#This Row],[Total Drug Sales]]*150</f>
        <v>7148.9999999999991</v>
      </c>
      <c r="O2087" s="2">
        <f>Pharma_Sales_Data[[#This Row],[Total Revenue]]*0.3</f>
        <v>2144.6999999999998</v>
      </c>
      <c r="P2087" t="str">
        <f>IF(Pharma_Sales_Data[[#This Row],[Total Revenue]]&gt;20000,"High Value", IF(Pharma_Sales_Data[[#This Row],[Total Revenue]]&gt;=10000,"Medium Value","Low Value"))</f>
        <v>Low Value</v>
      </c>
    </row>
    <row r="2088" spans="1:16" x14ac:dyDescent="0.35">
      <c r="A2088" s="1">
        <v>43727</v>
      </c>
      <c r="B2088">
        <v>7.33</v>
      </c>
      <c r="C2088">
        <v>3.34</v>
      </c>
      <c r="D2088">
        <v>3</v>
      </c>
      <c r="E2088">
        <v>33</v>
      </c>
      <c r="F2088">
        <v>5</v>
      </c>
      <c r="G2088">
        <v>2</v>
      </c>
      <c r="H2088">
        <v>3</v>
      </c>
      <c r="I2088">
        <v>4</v>
      </c>
      <c r="J2088">
        <v>2019</v>
      </c>
      <c r="K2088">
        <v>9</v>
      </c>
      <c r="L2088" t="s">
        <v>11</v>
      </c>
      <c r="M2088">
        <f>SUM(Pharma_Sales_Data[[#This Row],[M01AB]:[R06]])</f>
        <v>60.67</v>
      </c>
      <c r="N2088" s="2">
        <f>Pharma_Sales_Data[[#This Row],[Total Drug Sales]]*150</f>
        <v>9100.5</v>
      </c>
      <c r="O2088" s="2">
        <f>Pharma_Sales_Data[[#This Row],[Total Revenue]]*0.3</f>
        <v>2730.15</v>
      </c>
      <c r="P2088" t="str">
        <f>IF(Pharma_Sales_Data[[#This Row],[Total Revenue]]&gt;20000,"High Value", IF(Pharma_Sales_Data[[#This Row],[Total Revenue]]&gt;=10000,"Medium Value","Low Value"))</f>
        <v>Low Value</v>
      </c>
    </row>
    <row r="2089" spans="1:16" x14ac:dyDescent="0.35">
      <c r="A2089" s="1">
        <v>43728</v>
      </c>
      <c r="B2089">
        <v>5.34</v>
      </c>
      <c r="C2089">
        <v>3.383</v>
      </c>
      <c r="D2089">
        <v>2</v>
      </c>
      <c r="E2089">
        <v>51.3</v>
      </c>
      <c r="F2089">
        <v>3</v>
      </c>
      <c r="G2089">
        <v>0</v>
      </c>
      <c r="H2089">
        <v>1</v>
      </c>
      <c r="I2089">
        <v>3</v>
      </c>
      <c r="J2089">
        <v>2019</v>
      </c>
      <c r="K2089">
        <v>9</v>
      </c>
      <c r="L2089" t="s">
        <v>12</v>
      </c>
      <c r="M2089">
        <f>SUM(Pharma_Sales_Data[[#This Row],[M01AB]:[R06]])</f>
        <v>69.022999999999996</v>
      </c>
      <c r="N2089" s="2">
        <f>Pharma_Sales_Data[[#This Row],[Total Drug Sales]]*150</f>
        <v>10353.449999999999</v>
      </c>
      <c r="O2089" s="2">
        <f>Pharma_Sales_Data[[#This Row],[Total Revenue]]*0.3</f>
        <v>3106.0349999999994</v>
      </c>
      <c r="P2089" t="str">
        <f>IF(Pharma_Sales_Data[[#This Row],[Total Revenue]]&gt;20000,"High Value", IF(Pharma_Sales_Data[[#This Row],[Total Revenue]]&gt;=10000,"Medium Value","Low Value"))</f>
        <v>Medium Value</v>
      </c>
    </row>
    <row r="2090" spans="1:16" x14ac:dyDescent="0.35">
      <c r="A2090" s="1">
        <v>43729</v>
      </c>
      <c r="B2090">
        <v>10.68</v>
      </c>
      <c r="C2090">
        <v>5.68</v>
      </c>
      <c r="D2090">
        <v>1</v>
      </c>
      <c r="E2090">
        <v>44.25</v>
      </c>
      <c r="F2090">
        <v>3</v>
      </c>
      <c r="G2090">
        <v>0</v>
      </c>
      <c r="H2090">
        <v>6</v>
      </c>
      <c r="I2090">
        <v>4</v>
      </c>
      <c r="J2090">
        <v>2019</v>
      </c>
      <c r="K2090">
        <v>9</v>
      </c>
      <c r="L2090" t="s">
        <v>13</v>
      </c>
      <c r="M2090">
        <f>SUM(Pharma_Sales_Data[[#This Row],[M01AB]:[R06]])</f>
        <v>74.61</v>
      </c>
      <c r="N2090" s="2">
        <f>Pharma_Sales_Data[[#This Row],[Total Drug Sales]]*150</f>
        <v>11191.5</v>
      </c>
      <c r="O2090" s="2">
        <f>Pharma_Sales_Data[[#This Row],[Total Revenue]]*0.3</f>
        <v>3357.45</v>
      </c>
      <c r="P2090" t="str">
        <f>IF(Pharma_Sales_Data[[#This Row],[Total Revenue]]&gt;20000,"High Value", IF(Pharma_Sales_Data[[#This Row],[Total Revenue]]&gt;=10000,"Medium Value","Low Value"))</f>
        <v>Medium Value</v>
      </c>
    </row>
    <row r="2091" spans="1:16" x14ac:dyDescent="0.35">
      <c r="A2091" s="1">
        <v>43730</v>
      </c>
      <c r="B2091">
        <v>3.33</v>
      </c>
      <c r="C2091">
        <v>3.34</v>
      </c>
      <c r="D2091">
        <v>1.9</v>
      </c>
      <c r="E2091">
        <v>56.5</v>
      </c>
      <c r="F2091">
        <v>3</v>
      </c>
      <c r="G2091">
        <v>0</v>
      </c>
      <c r="H2091">
        <v>8</v>
      </c>
      <c r="I2091">
        <v>4</v>
      </c>
      <c r="J2091">
        <v>2019</v>
      </c>
      <c r="K2091">
        <v>9</v>
      </c>
      <c r="L2091" t="s">
        <v>14</v>
      </c>
      <c r="M2091">
        <f>SUM(Pharma_Sales_Data[[#This Row],[M01AB]:[R06]])</f>
        <v>80.069999999999993</v>
      </c>
      <c r="N2091" s="2">
        <f>Pharma_Sales_Data[[#This Row],[Total Drug Sales]]*150</f>
        <v>12010.499999999998</v>
      </c>
      <c r="O2091" s="2">
        <f>Pharma_Sales_Data[[#This Row],[Total Revenue]]*0.3</f>
        <v>3603.1499999999992</v>
      </c>
      <c r="P2091" t="str">
        <f>IF(Pharma_Sales_Data[[#This Row],[Total Revenue]]&gt;20000,"High Value", IF(Pharma_Sales_Data[[#This Row],[Total Revenue]]&gt;=10000,"Medium Value","Low Value"))</f>
        <v>Medium Value</v>
      </c>
    </row>
    <row r="2092" spans="1:16" x14ac:dyDescent="0.35">
      <c r="A2092" s="1">
        <v>43731</v>
      </c>
      <c r="B2092">
        <v>5.34</v>
      </c>
      <c r="C2092">
        <v>4.5490000000000004</v>
      </c>
      <c r="D2092">
        <v>3.3</v>
      </c>
      <c r="E2092">
        <v>55</v>
      </c>
      <c r="F2092">
        <v>6</v>
      </c>
      <c r="G2092">
        <v>0</v>
      </c>
      <c r="H2092">
        <v>1</v>
      </c>
      <c r="I2092">
        <v>4</v>
      </c>
      <c r="J2092">
        <v>2019</v>
      </c>
      <c r="K2092">
        <v>9</v>
      </c>
      <c r="L2092" t="s">
        <v>15</v>
      </c>
      <c r="M2092">
        <f>SUM(Pharma_Sales_Data[[#This Row],[M01AB]:[R06]])</f>
        <v>79.188999999999993</v>
      </c>
      <c r="N2092" s="2">
        <f>Pharma_Sales_Data[[#This Row],[Total Drug Sales]]*150</f>
        <v>11878.349999999999</v>
      </c>
      <c r="O2092" s="2">
        <f>Pharma_Sales_Data[[#This Row],[Total Revenue]]*0.3</f>
        <v>3563.5049999999997</v>
      </c>
      <c r="P2092" t="str">
        <f>IF(Pharma_Sales_Data[[#This Row],[Total Revenue]]&gt;20000,"High Value", IF(Pharma_Sales_Data[[#This Row],[Total Revenue]]&gt;=10000,"Medium Value","Low Value"))</f>
        <v>Medium Value</v>
      </c>
    </row>
    <row r="2093" spans="1:16" x14ac:dyDescent="0.35">
      <c r="A2093" s="1">
        <v>43732</v>
      </c>
      <c r="B2093">
        <v>2</v>
      </c>
      <c r="C2093">
        <v>1.34</v>
      </c>
      <c r="D2093">
        <v>6</v>
      </c>
      <c r="E2093">
        <v>61.3</v>
      </c>
      <c r="F2093">
        <v>12</v>
      </c>
      <c r="G2093">
        <v>0</v>
      </c>
      <c r="H2093">
        <v>1</v>
      </c>
      <c r="I2093">
        <v>6</v>
      </c>
      <c r="J2093">
        <v>2019</v>
      </c>
      <c r="K2093">
        <v>9</v>
      </c>
      <c r="L2093" t="s">
        <v>16</v>
      </c>
      <c r="M2093">
        <f>SUM(Pharma_Sales_Data[[#This Row],[M01AB]:[R06]])</f>
        <v>89.64</v>
      </c>
      <c r="N2093" s="2">
        <f>Pharma_Sales_Data[[#This Row],[Total Drug Sales]]*150</f>
        <v>13446</v>
      </c>
      <c r="O2093" s="2">
        <f>Pharma_Sales_Data[[#This Row],[Total Revenue]]*0.3</f>
        <v>4033.7999999999997</v>
      </c>
      <c r="P2093" t="str">
        <f>IF(Pharma_Sales_Data[[#This Row],[Total Revenue]]&gt;20000,"High Value", IF(Pharma_Sales_Data[[#This Row],[Total Revenue]]&gt;=10000,"Medium Value","Low Value"))</f>
        <v>Medium Value</v>
      </c>
    </row>
    <row r="2094" spans="1:16" x14ac:dyDescent="0.35">
      <c r="A2094" s="1">
        <v>43733</v>
      </c>
      <c r="B2094">
        <v>6</v>
      </c>
      <c r="C2094">
        <v>3.67</v>
      </c>
      <c r="D2094">
        <v>4.2</v>
      </c>
      <c r="E2094">
        <v>32.5</v>
      </c>
      <c r="F2094">
        <v>14</v>
      </c>
      <c r="G2094">
        <v>1</v>
      </c>
      <c r="H2094">
        <v>1.4166666670000001</v>
      </c>
      <c r="I2094">
        <v>4</v>
      </c>
      <c r="J2094">
        <v>2019</v>
      </c>
      <c r="K2094">
        <v>9</v>
      </c>
      <c r="L2094" t="s">
        <v>17</v>
      </c>
      <c r="M2094">
        <f>SUM(Pharma_Sales_Data[[#This Row],[M01AB]:[R06]])</f>
        <v>66.786666667000006</v>
      </c>
      <c r="N2094" s="2">
        <f>Pharma_Sales_Data[[#This Row],[Total Drug Sales]]*150</f>
        <v>10018.00000005</v>
      </c>
      <c r="O2094" s="2">
        <f>Pharma_Sales_Data[[#This Row],[Total Revenue]]*0.3</f>
        <v>3005.4000000149999</v>
      </c>
      <c r="P2094" t="str">
        <f>IF(Pharma_Sales_Data[[#This Row],[Total Revenue]]&gt;20000,"High Value", IF(Pharma_Sales_Data[[#This Row],[Total Revenue]]&gt;=10000,"Medium Value","Low Value"))</f>
        <v>Medium Value</v>
      </c>
    </row>
    <row r="2095" spans="1:16" x14ac:dyDescent="0.35">
      <c r="A2095" s="1">
        <v>43734</v>
      </c>
      <c r="B2095">
        <v>5.5</v>
      </c>
      <c r="C2095">
        <v>3.0329999999999999</v>
      </c>
      <c r="D2095">
        <v>2</v>
      </c>
      <c r="E2095">
        <v>31</v>
      </c>
      <c r="F2095">
        <v>13</v>
      </c>
      <c r="G2095">
        <v>0</v>
      </c>
      <c r="H2095">
        <v>31</v>
      </c>
      <c r="I2095">
        <v>0</v>
      </c>
      <c r="J2095">
        <v>2019</v>
      </c>
      <c r="K2095">
        <v>9</v>
      </c>
      <c r="L2095" t="s">
        <v>11</v>
      </c>
      <c r="M2095">
        <f>SUM(Pharma_Sales_Data[[#This Row],[M01AB]:[R06]])</f>
        <v>85.533000000000001</v>
      </c>
      <c r="N2095" s="2">
        <f>Pharma_Sales_Data[[#This Row],[Total Drug Sales]]*150</f>
        <v>12829.95</v>
      </c>
      <c r="O2095" s="2">
        <f>Pharma_Sales_Data[[#This Row],[Total Revenue]]*0.3</f>
        <v>3848.9850000000001</v>
      </c>
      <c r="P2095" t="str">
        <f>IF(Pharma_Sales_Data[[#This Row],[Total Revenue]]&gt;20000,"High Value", IF(Pharma_Sales_Data[[#This Row],[Total Revenue]]&gt;=10000,"Medium Value","Low Value"))</f>
        <v>Medium Value</v>
      </c>
    </row>
    <row r="2096" spans="1:16" x14ac:dyDescent="0.35">
      <c r="A2096" s="1">
        <v>43735</v>
      </c>
      <c r="B2096">
        <v>4.66</v>
      </c>
      <c r="C2096">
        <v>4.359</v>
      </c>
      <c r="D2096">
        <v>4</v>
      </c>
      <c r="E2096">
        <v>41.1</v>
      </c>
      <c r="F2096">
        <v>4</v>
      </c>
      <c r="G2096">
        <v>0</v>
      </c>
      <c r="H2096">
        <v>2</v>
      </c>
      <c r="I2096">
        <v>4</v>
      </c>
      <c r="J2096">
        <v>2019</v>
      </c>
      <c r="K2096">
        <v>9</v>
      </c>
      <c r="L2096" t="s">
        <v>12</v>
      </c>
      <c r="M2096">
        <f>SUM(Pharma_Sales_Data[[#This Row],[M01AB]:[R06]])</f>
        <v>64.119</v>
      </c>
      <c r="N2096" s="2">
        <f>Pharma_Sales_Data[[#This Row],[Total Drug Sales]]*150</f>
        <v>9617.85</v>
      </c>
      <c r="O2096" s="2">
        <f>Pharma_Sales_Data[[#This Row],[Total Revenue]]*0.3</f>
        <v>2885.355</v>
      </c>
      <c r="P2096" t="str">
        <f>IF(Pharma_Sales_Data[[#This Row],[Total Revenue]]&gt;20000,"High Value", IF(Pharma_Sales_Data[[#This Row],[Total Revenue]]&gt;=10000,"Medium Value","Low Value"))</f>
        <v>Low Value</v>
      </c>
    </row>
    <row r="2097" spans="1:16" x14ac:dyDescent="0.35">
      <c r="A2097" s="1">
        <v>43736</v>
      </c>
      <c r="B2097">
        <v>7</v>
      </c>
      <c r="C2097">
        <v>1.68</v>
      </c>
      <c r="D2097">
        <v>4.0999999999999996</v>
      </c>
      <c r="E2097">
        <v>48</v>
      </c>
      <c r="F2097">
        <v>6.2</v>
      </c>
      <c r="G2097">
        <v>0</v>
      </c>
      <c r="H2097">
        <v>1</v>
      </c>
      <c r="I2097">
        <v>3</v>
      </c>
      <c r="J2097">
        <v>2019</v>
      </c>
      <c r="K2097">
        <v>9</v>
      </c>
      <c r="L2097" t="s">
        <v>13</v>
      </c>
      <c r="M2097">
        <f>SUM(Pharma_Sales_Data[[#This Row],[M01AB]:[R06]])</f>
        <v>70.98</v>
      </c>
      <c r="N2097" s="2">
        <f>Pharma_Sales_Data[[#This Row],[Total Drug Sales]]*150</f>
        <v>10647</v>
      </c>
      <c r="O2097" s="2">
        <f>Pharma_Sales_Data[[#This Row],[Total Revenue]]*0.3</f>
        <v>3194.1</v>
      </c>
      <c r="P2097" t="str">
        <f>IF(Pharma_Sales_Data[[#This Row],[Total Revenue]]&gt;20000,"High Value", IF(Pharma_Sales_Data[[#This Row],[Total Revenue]]&gt;=10000,"Medium Value","Low Value"))</f>
        <v>Medium Value</v>
      </c>
    </row>
    <row r="2098" spans="1:16" x14ac:dyDescent="0.35">
      <c r="A2098" s="1">
        <v>43737</v>
      </c>
      <c r="B2098">
        <v>3.51</v>
      </c>
      <c r="C2098">
        <v>3.867</v>
      </c>
      <c r="D2098">
        <v>3</v>
      </c>
      <c r="E2098">
        <v>67.8</v>
      </c>
      <c r="F2098">
        <v>6</v>
      </c>
      <c r="G2098">
        <v>0</v>
      </c>
      <c r="H2098">
        <v>3</v>
      </c>
      <c r="I2098">
        <v>2.1</v>
      </c>
      <c r="J2098">
        <v>2019</v>
      </c>
      <c r="K2098">
        <v>9</v>
      </c>
      <c r="L2098" t="s">
        <v>14</v>
      </c>
      <c r="M2098">
        <f>SUM(Pharma_Sales_Data[[#This Row],[M01AB]:[R06]])</f>
        <v>89.276999999999987</v>
      </c>
      <c r="N2098" s="2">
        <f>Pharma_Sales_Data[[#This Row],[Total Drug Sales]]*150</f>
        <v>13391.549999999997</v>
      </c>
      <c r="O2098" s="2">
        <f>Pharma_Sales_Data[[#This Row],[Total Revenue]]*0.3</f>
        <v>4017.4649999999992</v>
      </c>
      <c r="P2098" t="str">
        <f>IF(Pharma_Sales_Data[[#This Row],[Total Revenue]]&gt;20000,"High Value", IF(Pharma_Sales_Data[[#This Row],[Total Revenue]]&gt;=10000,"Medium Value","Low Value"))</f>
        <v>Medium Value</v>
      </c>
    </row>
    <row r="2099" spans="1:16" x14ac:dyDescent="0.35">
      <c r="A2099" s="1">
        <v>43738</v>
      </c>
      <c r="B2099">
        <v>2</v>
      </c>
      <c r="C2099">
        <v>1.4390000000000001</v>
      </c>
      <c r="D2099">
        <v>2.1</v>
      </c>
      <c r="E2099">
        <v>49.4</v>
      </c>
      <c r="F2099">
        <v>9</v>
      </c>
      <c r="G2099">
        <v>0</v>
      </c>
      <c r="H2099">
        <v>5</v>
      </c>
      <c r="I2099">
        <v>2</v>
      </c>
      <c r="J2099">
        <v>2019</v>
      </c>
      <c r="K2099">
        <v>9</v>
      </c>
      <c r="L2099" t="s">
        <v>15</v>
      </c>
      <c r="M2099">
        <f>SUM(Pharma_Sales_Data[[#This Row],[M01AB]:[R06]])</f>
        <v>70.938999999999993</v>
      </c>
      <c r="N2099" s="2">
        <f>Pharma_Sales_Data[[#This Row],[Total Drug Sales]]*150</f>
        <v>10640.849999999999</v>
      </c>
      <c r="O2099" s="2">
        <f>Pharma_Sales_Data[[#This Row],[Total Revenue]]*0.3</f>
        <v>3192.2549999999997</v>
      </c>
      <c r="P2099" t="str">
        <f>IF(Pharma_Sales_Data[[#This Row],[Total Revenue]]&gt;20000,"High Value", IF(Pharma_Sales_Data[[#This Row],[Total Revenue]]&gt;=10000,"Medium Value","Low Value"))</f>
        <v>Medium Value</v>
      </c>
    </row>
    <row r="2100" spans="1:16" x14ac:dyDescent="0.35">
      <c r="A2100" s="1">
        <v>43739</v>
      </c>
      <c r="B2100">
        <v>11.34</v>
      </c>
      <c r="C2100">
        <v>2.4060000000000001</v>
      </c>
      <c r="D2100">
        <v>0.1</v>
      </c>
      <c r="E2100">
        <v>47</v>
      </c>
      <c r="F2100">
        <v>15</v>
      </c>
      <c r="G2100">
        <v>4</v>
      </c>
      <c r="H2100">
        <v>17</v>
      </c>
      <c r="I2100">
        <v>1.5</v>
      </c>
      <c r="J2100">
        <v>2019</v>
      </c>
      <c r="K2100">
        <v>10</v>
      </c>
      <c r="L2100" t="s">
        <v>16</v>
      </c>
      <c r="M2100">
        <f>SUM(Pharma_Sales_Data[[#This Row],[M01AB]:[R06]])</f>
        <v>98.346000000000004</v>
      </c>
      <c r="N2100" s="2">
        <f>Pharma_Sales_Data[[#This Row],[Total Drug Sales]]*150</f>
        <v>14751.900000000001</v>
      </c>
      <c r="O2100" s="2">
        <f>Pharma_Sales_Data[[#This Row],[Total Revenue]]*0.3</f>
        <v>4425.5700000000006</v>
      </c>
      <c r="P2100" t="str">
        <f>IF(Pharma_Sales_Data[[#This Row],[Total Revenue]]&gt;20000,"High Value", IF(Pharma_Sales_Data[[#This Row],[Total Revenue]]&gt;=10000,"Medium Value","Low Value"))</f>
        <v>Medium Value</v>
      </c>
    </row>
    <row r="2101" spans="1:16" x14ac:dyDescent="0.35">
      <c r="A2101" s="1">
        <v>43740</v>
      </c>
      <c r="B2101">
        <v>5.18</v>
      </c>
      <c r="C2101">
        <v>3.274</v>
      </c>
      <c r="D2101">
        <v>2.8</v>
      </c>
      <c r="E2101">
        <v>30.2</v>
      </c>
      <c r="F2101">
        <v>9</v>
      </c>
      <c r="G2101">
        <v>1</v>
      </c>
      <c r="H2101">
        <v>0</v>
      </c>
      <c r="I2101">
        <v>1.1000000000000001</v>
      </c>
      <c r="J2101">
        <v>2019</v>
      </c>
      <c r="K2101">
        <v>10</v>
      </c>
      <c r="L2101" t="s">
        <v>17</v>
      </c>
      <c r="M2101">
        <f>SUM(Pharma_Sales_Data[[#This Row],[M01AB]:[R06]])</f>
        <v>52.554000000000002</v>
      </c>
      <c r="N2101" s="2">
        <f>Pharma_Sales_Data[[#This Row],[Total Drug Sales]]*150</f>
        <v>7883.1</v>
      </c>
      <c r="O2101" s="2">
        <f>Pharma_Sales_Data[[#This Row],[Total Revenue]]*0.3</f>
        <v>2364.9299999999998</v>
      </c>
      <c r="P2101" t="str">
        <f>IF(Pharma_Sales_Data[[#This Row],[Total Revenue]]&gt;20000,"High Value", IF(Pharma_Sales_Data[[#This Row],[Total Revenue]]&gt;=10000,"Medium Value","Low Value"))</f>
        <v>Low Value</v>
      </c>
    </row>
    <row r="2102" spans="1:16" x14ac:dyDescent="0.35">
      <c r="A2102" s="1">
        <v>43741</v>
      </c>
      <c r="B2102">
        <v>5</v>
      </c>
      <c r="C2102">
        <v>3</v>
      </c>
      <c r="D2102">
        <v>4</v>
      </c>
      <c r="E2102">
        <v>40.4</v>
      </c>
      <c r="F2102">
        <v>10</v>
      </c>
      <c r="G2102">
        <v>0</v>
      </c>
      <c r="H2102">
        <v>2</v>
      </c>
      <c r="I2102">
        <v>2</v>
      </c>
      <c r="J2102">
        <v>2019</v>
      </c>
      <c r="K2102">
        <v>10</v>
      </c>
      <c r="L2102" t="s">
        <v>11</v>
      </c>
      <c r="M2102">
        <f>SUM(Pharma_Sales_Data[[#This Row],[M01AB]:[R06]])</f>
        <v>66.400000000000006</v>
      </c>
      <c r="N2102" s="2">
        <f>Pharma_Sales_Data[[#This Row],[Total Drug Sales]]*150</f>
        <v>9960</v>
      </c>
      <c r="O2102" s="2">
        <f>Pharma_Sales_Data[[#This Row],[Total Revenue]]*0.3</f>
        <v>2988</v>
      </c>
      <c r="P2102" t="str">
        <f>IF(Pharma_Sales_Data[[#This Row],[Total Revenue]]&gt;20000,"High Value", IF(Pharma_Sales_Data[[#This Row],[Total Revenue]]&gt;=10000,"Medium Value","Low Value"))</f>
        <v>Low Value</v>
      </c>
    </row>
    <row r="2103" spans="1:16" x14ac:dyDescent="0.35">
      <c r="A2103" s="1">
        <v>43742</v>
      </c>
      <c r="B2103">
        <v>7.34</v>
      </c>
      <c r="C2103">
        <v>5.6829999999999998</v>
      </c>
      <c r="D2103">
        <v>2.25</v>
      </c>
      <c r="E2103">
        <v>22.45</v>
      </c>
      <c r="F2103">
        <v>13</v>
      </c>
      <c r="G2103">
        <v>0</v>
      </c>
      <c r="H2103">
        <v>1</v>
      </c>
      <c r="I2103">
        <v>1</v>
      </c>
      <c r="J2103">
        <v>2019</v>
      </c>
      <c r="K2103">
        <v>10</v>
      </c>
      <c r="L2103" t="s">
        <v>12</v>
      </c>
      <c r="M2103">
        <f>SUM(Pharma_Sales_Data[[#This Row],[M01AB]:[R06]])</f>
        <v>52.722999999999999</v>
      </c>
      <c r="N2103" s="2">
        <f>Pharma_Sales_Data[[#This Row],[Total Drug Sales]]*150</f>
        <v>7908.45</v>
      </c>
      <c r="O2103" s="2">
        <f>Pharma_Sales_Data[[#This Row],[Total Revenue]]*0.3</f>
        <v>2372.5349999999999</v>
      </c>
      <c r="P2103" t="str">
        <f>IF(Pharma_Sales_Data[[#This Row],[Total Revenue]]&gt;20000,"High Value", IF(Pharma_Sales_Data[[#This Row],[Total Revenue]]&gt;=10000,"Medium Value","Low Value"))</f>
        <v>Low Value</v>
      </c>
    </row>
    <row r="2104" spans="1:16" x14ac:dyDescent="0.35">
      <c r="A2104" s="1">
        <v>43743</v>
      </c>
      <c r="B2104">
        <v>3.84</v>
      </c>
      <c r="C2104">
        <v>5.01</v>
      </c>
      <c r="D2104">
        <v>6</v>
      </c>
      <c r="E2104">
        <v>25.4</v>
      </c>
      <c r="F2104">
        <v>7</v>
      </c>
      <c r="G2104">
        <v>0</v>
      </c>
      <c r="H2104">
        <v>0</v>
      </c>
      <c r="I2104">
        <v>0.33</v>
      </c>
      <c r="J2104">
        <v>2019</v>
      </c>
      <c r="K2104">
        <v>10</v>
      </c>
      <c r="L2104" t="s">
        <v>13</v>
      </c>
      <c r="M2104">
        <f>SUM(Pharma_Sales_Data[[#This Row],[M01AB]:[R06]])</f>
        <v>47.58</v>
      </c>
      <c r="N2104" s="2">
        <f>Pharma_Sales_Data[[#This Row],[Total Drug Sales]]*150</f>
        <v>7137</v>
      </c>
      <c r="O2104" s="2">
        <f>Pharma_Sales_Data[[#This Row],[Total Revenue]]*0.3</f>
        <v>2141.1</v>
      </c>
      <c r="P2104" t="str">
        <f>IF(Pharma_Sales_Data[[#This Row],[Total Revenue]]&gt;20000,"High Value", IF(Pharma_Sales_Data[[#This Row],[Total Revenue]]&gt;=10000,"Medium Value","Low Value"))</f>
        <v>Low Value</v>
      </c>
    </row>
    <row r="2105" spans="1:16" x14ac:dyDescent="0.35">
      <c r="A2105" s="1">
        <v>43744</v>
      </c>
      <c r="B2105">
        <v>4</v>
      </c>
      <c r="C2105">
        <v>11.69</v>
      </c>
      <c r="D2105">
        <v>2</v>
      </c>
      <c r="E2105">
        <v>34.6</v>
      </c>
      <c r="F2105">
        <v>6</v>
      </c>
      <c r="G2105">
        <v>0</v>
      </c>
      <c r="H2105">
        <v>5</v>
      </c>
      <c r="I2105">
        <v>4.2</v>
      </c>
      <c r="J2105">
        <v>2019</v>
      </c>
      <c r="K2105">
        <v>10</v>
      </c>
      <c r="L2105" t="s">
        <v>14</v>
      </c>
      <c r="M2105">
        <f>SUM(Pharma_Sales_Data[[#This Row],[M01AB]:[R06]])</f>
        <v>67.489999999999995</v>
      </c>
      <c r="N2105" s="2">
        <f>Pharma_Sales_Data[[#This Row],[Total Drug Sales]]*150</f>
        <v>10123.5</v>
      </c>
      <c r="O2105" s="2">
        <f>Pharma_Sales_Data[[#This Row],[Total Revenue]]*0.3</f>
        <v>3037.0499999999997</v>
      </c>
      <c r="P2105" t="str">
        <f>IF(Pharma_Sales_Data[[#This Row],[Total Revenue]]&gt;20000,"High Value", IF(Pharma_Sales_Data[[#This Row],[Total Revenue]]&gt;=10000,"Medium Value","Low Value"))</f>
        <v>Medium Value</v>
      </c>
    </row>
    <row r="2106" spans="1:16" x14ac:dyDescent="0.35">
      <c r="A2106" s="1">
        <v>43745</v>
      </c>
      <c r="B2106">
        <v>7.34</v>
      </c>
      <c r="C2106">
        <v>4.5069999999999997</v>
      </c>
      <c r="D2106">
        <v>3</v>
      </c>
      <c r="E2106">
        <v>50.8</v>
      </c>
      <c r="F2106">
        <v>6</v>
      </c>
      <c r="G2106">
        <v>0</v>
      </c>
      <c r="H2106">
        <v>10</v>
      </c>
      <c r="I2106">
        <v>1</v>
      </c>
      <c r="J2106">
        <v>2019</v>
      </c>
      <c r="K2106">
        <v>10</v>
      </c>
      <c r="L2106" t="s">
        <v>15</v>
      </c>
      <c r="M2106">
        <f>SUM(Pharma_Sales_Data[[#This Row],[M01AB]:[R06]])</f>
        <v>82.646999999999991</v>
      </c>
      <c r="N2106" s="2">
        <f>Pharma_Sales_Data[[#This Row],[Total Drug Sales]]*150</f>
        <v>12397.05</v>
      </c>
      <c r="O2106" s="2">
        <f>Pharma_Sales_Data[[#This Row],[Total Revenue]]*0.3</f>
        <v>3719.1149999999998</v>
      </c>
      <c r="P2106" t="str">
        <f>IF(Pharma_Sales_Data[[#This Row],[Total Revenue]]&gt;20000,"High Value", IF(Pharma_Sales_Data[[#This Row],[Total Revenue]]&gt;=10000,"Medium Value","Low Value"))</f>
        <v>Medium Value</v>
      </c>
    </row>
    <row r="2107" spans="1:16" x14ac:dyDescent="0.35">
      <c r="A2107" s="1">
        <v>43746</v>
      </c>
      <c r="B2107">
        <v>0.33</v>
      </c>
      <c r="C2107">
        <v>1.73</v>
      </c>
      <c r="D2107">
        <v>0.5</v>
      </c>
      <c r="E2107">
        <v>44.3</v>
      </c>
      <c r="F2107">
        <v>20</v>
      </c>
      <c r="G2107">
        <v>2</v>
      </c>
      <c r="H2107">
        <v>2</v>
      </c>
      <c r="I2107">
        <v>0</v>
      </c>
      <c r="J2107">
        <v>2019</v>
      </c>
      <c r="K2107">
        <v>10</v>
      </c>
      <c r="L2107" t="s">
        <v>16</v>
      </c>
      <c r="M2107">
        <f>SUM(Pharma_Sales_Data[[#This Row],[M01AB]:[R06]])</f>
        <v>70.86</v>
      </c>
      <c r="N2107" s="2">
        <f>Pharma_Sales_Data[[#This Row],[Total Drug Sales]]*150</f>
        <v>10629</v>
      </c>
      <c r="O2107" s="2">
        <f>Pharma_Sales_Data[[#This Row],[Total Revenue]]*0.3</f>
        <v>3188.7</v>
      </c>
      <c r="P2107" t="str">
        <f>IF(Pharma_Sales_Data[[#This Row],[Total Revenue]]&gt;20000,"High Value", IF(Pharma_Sales_Data[[#This Row],[Total Revenue]]&gt;=10000,"Medium Value","Low Value"))</f>
        <v>Medium Value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Pivot_Engine</vt:lpstr>
      <vt:lpstr>Sheet1</vt:lpstr>
      <vt:lpstr>salesdaily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2026-04-13T13:35:56Z</dcterms:created>
  <dcterms:modified xsi:type="dcterms:W3CDTF">2026-04-14T16:13:52Z</dcterms:modified>
</cp:coreProperties>
</file>